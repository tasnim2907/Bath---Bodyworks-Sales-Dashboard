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D:\E\JOB 3.0\4. DATA ANALYTICS\PROJECT 2.0\Bath and Body Works - Excel\"/>
    </mc:Choice>
  </mc:AlternateContent>
  <xr:revisionPtr revIDLastSave="0" documentId="13_ncr:1_{1F4640DD-3E0D-4899-B3FD-EF184B823EAB}" xr6:coauthVersionLast="47" xr6:coauthVersionMax="47" xr10:uidLastSave="{00000000-0000-0000-0000-000000000000}"/>
  <bookViews>
    <workbookView xWindow="-120" yWindow="-120" windowWidth="20730" windowHeight="11310" firstSheet="1" activeTab="3" xr2:uid="{6719C93C-7E32-435E-8872-C9743ABA872B}"/>
  </bookViews>
  <sheets>
    <sheet name="bbw_canada_sales_raw" sheetId="1" r:id="rId1"/>
    <sheet name="bbw_canada_sales_SOLUTION" sheetId="2" r:id="rId2"/>
    <sheet name="bbw_Pivot Table" sheetId="3" r:id="rId3"/>
    <sheet name="bbw_Dashboard" sheetId="7" r:id="rId4"/>
  </sheets>
  <definedNames>
    <definedName name="ExternalData_1" localSheetId="1" hidden="1">bbw_canada_sales_SOLUTION!$P$1:$Q$1001</definedName>
    <definedName name="ExternalData_2" localSheetId="1" hidden="1">bbw_canada_sales_SOLUTION!$R$1:$S$1001</definedName>
    <definedName name="Slicer_Province_CLEA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7" l="1"/>
  <c r="G13" i="7"/>
  <c r="H13" i="7"/>
  <c r="I13" i="7"/>
  <c r="G14" i="7"/>
  <c r="H14" i="7"/>
  <c r="I14" i="7"/>
  <c r="G15" i="7"/>
  <c r="H15" i="7"/>
  <c r="I15" i="7"/>
  <c r="G16" i="7"/>
  <c r="H16" i="7"/>
  <c r="I16" i="7"/>
  <c r="G17" i="7"/>
  <c r="H17" i="7"/>
  <c r="I17" i="7"/>
  <c r="G18" i="7"/>
  <c r="H18" i="7"/>
  <c r="I18" i="7"/>
  <c r="H12" i="7"/>
  <c r="I12" i="7"/>
  <c r="C13" i="7"/>
  <c r="D13" i="7"/>
  <c r="E13" i="7"/>
  <c r="C14" i="7"/>
  <c r="D14" i="7"/>
  <c r="E14" i="7"/>
  <c r="C15" i="7"/>
  <c r="D15" i="7"/>
  <c r="E15" i="7"/>
  <c r="C16" i="7"/>
  <c r="D16" i="7"/>
  <c r="E16" i="7"/>
  <c r="C17" i="7"/>
  <c r="D17" i="7"/>
  <c r="E17" i="7"/>
  <c r="C18" i="7"/>
  <c r="D18" i="7"/>
  <c r="E18" i="7"/>
  <c r="D12" i="7"/>
  <c r="E12" i="7"/>
  <c r="C12" i="7"/>
  <c r="O2" i="2" a="1"/>
  <c r="O2" i="2" s="1"/>
  <c r="O3" i="2" a="1"/>
  <c r="O3" i="2" s="1"/>
  <c r="O4" i="2" a="1"/>
  <c r="O4" i="2" s="1"/>
  <c r="O5" i="2" a="1"/>
  <c r="O5" i="2" s="1"/>
  <c r="O6" i="2" a="1"/>
  <c r="O6" i="2" s="1"/>
  <c r="O7" i="2" a="1"/>
  <c r="O7" i="2" s="1"/>
  <c r="O8" i="2" a="1"/>
  <c r="O8" i="2" s="1"/>
  <c r="O9" i="2" a="1"/>
  <c r="O9" i="2" s="1"/>
  <c r="O10" i="2" a="1"/>
  <c r="O10" i="2" s="1"/>
  <c r="O11" i="2" a="1"/>
  <c r="O11" i="2" s="1"/>
  <c r="O12" i="2" a="1"/>
  <c r="O12" i="2" s="1"/>
  <c r="O13" i="2" a="1"/>
  <c r="O13" i="2"/>
  <c r="O14" i="2" a="1"/>
  <c r="O14" i="2" s="1"/>
  <c r="O15" i="2" a="1"/>
  <c r="O15" i="2" s="1"/>
  <c r="O16" i="2" a="1"/>
  <c r="O16" i="2" s="1"/>
  <c r="O17" i="2" a="1"/>
  <c r="O17" i="2" s="1"/>
  <c r="O18" i="2" a="1"/>
  <c r="O18" i="2" s="1"/>
  <c r="O19" i="2" a="1"/>
  <c r="O19" i="2" s="1"/>
  <c r="O20" i="2" a="1"/>
  <c r="O20" i="2" s="1"/>
  <c r="O21" i="2" a="1"/>
  <c r="O21" i="2" s="1"/>
  <c r="O22" i="2" a="1"/>
  <c r="O22" i="2" s="1"/>
  <c r="O23" i="2" a="1"/>
  <c r="O23" i="2" s="1"/>
  <c r="O24" i="2" a="1"/>
  <c r="O24" i="2" s="1"/>
  <c r="O25" i="2" a="1"/>
  <c r="O25" i="2"/>
  <c r="O26" i="2" a="1"/>
  <c r="O26" i="2" s="1"/>
  <c r="O27" i="2" a="1"/>
  <c r="O27" i="2" s="1"/>
  <c r="O28" i="2" a="1"/>
  <c r="O28" i="2" s="1"/>
  <c r="O29" i="2" a="1"/>
  <c r="O29" i="2"/>
  <c r="O30" i="2" a="1"/>
  <c r="O30" i="2" s="1"/>
  <c r="O31" i="2" a="1"/>
  <c r="O31" i="2" s="1"/>
  <c r="O32" i="2" a="1"/>
  <c r="O32" i="2" s="1"/>
  <c r="O33" i="2" a="1"/>
  <c r="O33" i="2" s="1"/>
  <c r="O34" i="2" a="1"/>
  <c r="O34" i="2" s="1"/>
  <c r="O35" i="2" a="1"/>
  <c r="O35" i="2" s="1"/>
  <c r="O36" i="2" a="1"/>
  <c r="O36" i="2" s="1"/>
  <c r="O37" i="2" a="1"/>
  <c r="O37" i="2" s="1"/>
  <c r="O38" i="2" a="1"/>
  <c r="O38" i="2" s="1"/>
  <c r="O39" i="2" a="1"/>
  <c r="O39" i="2" s="1"/>
  <c r="O40" i="2" a="1"/>
  <c r="O40" i="2" s="1"/>
  <c r="O41" i="2" a="1"/>
  <c r="O41" i="2" s="1"/>
  <c r="O42" i="2" a="1"/>
  <c r="O42" i="2" s="1"/>
  <c r="O43" i="2" a="1"/>
  <c r="O43" i="2" s="1"/>
  <c r="O44" i="2" a="1"/>
  <c r="O44" i="2" s="1"/>
  <c r="O45" i="2" a="1"/>
  <c r="O45" i="2"/>
  <c r="O46" i="2" a="1"/>
  <c r="O46" i="2" s="1"/>
  <c r="O47" i="2" a="1"/>
  <c r="O47" i="2" s="1"/>
  <c r="O48" i="2" a="1"/>
  <c r="O48" i="2" s="1"/>
  <c r="O49" i="2" a="1"/>
  <c r="O49" i="2"/>
  <c r="O50" i="2" a="1"/>
  <c r="O50" i="2" s="1"/>
  <c r="O51" i="2" a="1"/>
  <c r="O51" i="2" s="1"/>
  <c r="O52" i="2" a="1"/>
  <c r="O52" i="2" s="1"/>
  <c r="O53" i="2" a="1"/>
  <c r="O53" i="2" s="1"/>
  <c r="O54" i="2" a="1"/>
  <c r="O54" i="2" s="1"/>
  <c r="O55" i="2" a="1"/>
  <c r="O55" i="2" s="1"/>
  <c r="O56" i="2" a="1"/>
  <c r="O56" i="2" s="1"/>
  <c r="O57" i="2" a="1"/>
  <c r="O57" i="2" s="1"/>
  <c r="O58" i="2" a="1"/>
  <c r="O58" i="2" s="1"/>
  <c r="O59" i="2" a="1"/>
  <c r="O59" i="2" s="1"/>
  <c r="O60" i="2" a="1"/>
  <c r="O60" i="2" s="1"/>
  <c r="O61" i="2" a="1"/>
  <c r="O61" i="2"/>
  <c r="O62" i="2" a="1"/>
  <c r="O62" i="2" s="1"/>
  <c r="O63" i="2" a="1"/>
  <c r="O63" i="2" s="1"/>
  <c r="O64" i="2" a="1"/>
  <c r="O64" i="2" s="1"/>
  <c r="O65" i="2" a="1"/>
  <c r="O65" i="2" s="1"/>
  <c r="O66" i="2" a="1"/>
  <c r="O66" i="2" s="1"/>
  <c r="O67" i="2" a="1"/>
  <c r="O67" i="2" s="1"/>
  <c r="O68" i="2" a="1"/>
  <c r="O68" i="2" s="1"/>
  <c r="O69" i="2" a="1"/>
  <c r="O69" i="2" s="1"/>
  <c r="O70" i="2" a="1"/>
  <c r="O70" i="2" s="1"/>
  <c r="O71" i="2" a="1"/>
  <c r="O71" i="2" s="1"/>
  <c r="O72" i="2" a="1"/>
  <c r="O72" i="2" s="1"/>
  <c r="O73" i="2" a="1"/>
  <c r="O73" i="2" s="1"/>
  <c r="O74" i="2" a="1"/>
  <c r="O74" i="2" s="1"/>
  <c r="O75" i="2" a="1"/>
  <c r="O75" i="2" s="1"/>
  <c r="O76" i="2" a="1"/>
  <c r="O76" i="2" s="1"/>
  <c r="O77" i="2" a="1"/>
  <c r="O77" i="2"/>
  <c r="O78" i="2" a="1"/>
  <c r="O78" i="2" s="1"/>
  <c r="O79" i="2" a="1"/>
  <c r="O79" i="2" s="1"/>
  <c r="O80" i="2" a="1"/>
  <c r="O80" i="2" s="1"/>
  <c r="O81" i="2" a="1"/>
  <c r="O81" i="2"/>
  <c r="O82" i="2" a="1"/>
  <c r="O82" i="2" s="1"/>
  <c r="O83" i="2" a="1"/>
  <c r="O83" i="2" s="1"/>
  <c r="O84" i="2" a="1"/>
  <c r="O84" i="2" s="1"/>
  <c r="O85" i="2" a="1"/>
  <c r="O85" i="2" s="1"/>
  <c r="O86" i="2" a="1"/>
  <c r="O86" i="2" s="1"/>
  <c r="O87" i="2" a="1"/>
  <c r="O87" i="2" s="1"/>
  <c r="O88" i="2" a="1"/>
  <c r="O88" i="2" s="1"/>
  <c r="O89" i="2" a="1"/>
  <c r="O89" i="2" s="1"/>
  <c r="O90" i="2" a="1"/>
  <c r="O90" i="2" s="1"/>
  <c r="O91" i="2" a="1"/>
  <c r="O91" i="2" s="1"/>
  <c r="O92" i="2" a="1"/>
  <c r="O92" i="2" s="1"/>
  <c r="O93" i="2" a="1"/>
  <c r="O93" i="2"/>
  <c r="O94" i="2" a="1"/>
  <c r="O94" i="2" s="1"/>
  <c r="O95" i="2" a="1"/>
  <c r="O95" i="2" s="1"/>
  <c r="O96" i="2" a="1"/>
  <c r="O96" i="2" s="1"/>
  <c r="O97" i="2" a="1"/>
  <c r="O97" i="2" s="1"/>
  <c r="O98" i="2" a="1"/>
  <c r="O98" i="2" s="1"/>
  <c r="O99" i="2" a="1"/>
  <c r="O99" i="2" s="1"/>
  <c r="O100" i="2" a="1"/>
  <c r="O100" i="2" s="1"/>
  <c r="O101" i="2" a="1"/>
  <c r="O101" i="2" s="1"/>
  <c r="O102" i="2" a="1"/>
  <c r="O102" i="2" s="1"/>
  <c r="O103" i="2" a="1"/>
  <c r="O103" i="2" s="1"/>
  <c r="O104" i="2" a="1"/>
  <c r="O104" i="2" s="1"/>
  <c r="O105" i="2" a="1"/>
  <c r="O105" i="2"/>
  <c r="O106" i="2" a="1"/>
  <c r="O106" i="2" s="1"/>
  <c r="O107" i="2" a="1"/>
  <c r="O107" i="2" s="1"/>
  <c r="O108" i="2" a="1"/>
  <c r="O108" i="2" s="1"/>
  <c r="O109" i="2" a="1"/>
  <c r="O109" i="2"/>
  <c r="O110" i="2" a="1"/>
  <c r="O110" i="2" s="1"/>
  <c r="O111" i="2" a="1"/>
  <c r="O111" i="2" s="1"/>
  <c r="O112" i="2" a="1"/>
  <c r="O112" i="2" s="1"/>
  <c r="O113" i="2" a="1"/>
  <c r="O113" i="2"/>
  <c r="O114" i="2" a="1"/>
  <c r="O114" i="2" s="1"/>
  <c r="O115" i="2" a="1"/>
  <c r="O115" i="2" s="1"/>
  <c r="O116" i="2" a="1"/>
  <c r="O116" i="2" s="1"/>
  <c r="O117" i="2" a="1"/>
  <c r="O117" i="2" s="1"/>
  <c r="O118" i="2" a="1"/>
  <c r="O118" i="2" s="1"/>
  <c r="O119" i="2" a="1"/>
  <c r="O119" i="2" s="1"/>
  <c r="O120" i="2" a="1"/>
  <c r="O120" i="2" s="1"/>
  <c r="O121" i="2" a="1"/>
  <c r="O121" i="2"/>
  <c r="O122" i="2" a="1"/>
  <c r="O122" i="2" s="1"/>
  <c r="O123" i="2" a="1"/>
  <c r="O123" i="2" s="1"/>
  <c r="O124" i="2" a="1"/>
  <c r="O124" i="2" s="1"/>
  <c r="O125" i="2" a="1"/>
  <c r="O125" i="2"/>
  <c r="O126" i="2" a="1"/>
  <c r="O126" i="2" s="1"/>
  <c r="O127" i="2" a="1"/>
  <c r="O127" i="2" s="1"/>
  <c r="O128" i="2" a="1"/>
  <c r="O128" i="2" s="1"/>
  <c r="O129" i="2" a="1"/>
  <c r="O129" i="2"/>
  <c r="O130" i="2" a="1"/>
  <c r="O130" i="2" s="1"/>
  <c r="O131" i="2" a="1"/>
  <c r="O131" i="2" s="1"/>
  <c r="O132" i="2" a="1"/>
  <c r="O132" i="2" s="1"/>
  <c r="O133" i="2" a="1"/>
  <c r="O133" i="2" s="1"/>
  <c r="O134" i="2" a="1"/>
  <c r="O134" i="2" s="1"/>
  <c r="O135" i="2" a="1"/>
  <c r="O135" i="2" s="1"/>
  <c r="O136" i="2" a="1"/>
  <c r="O136" i="2" s="1"/>
  <c r="O137" i="2" a="1"/>
  <c r="O137" i="2"/>
  <c r="O138" i="2" a="1"/>
  <c r="O138" i="2" s="1"/>
  <c r="O139" i="2" a="1"/>
  <c r="O139" i="2" s="1"/>
  <c r="O140" i="2" a="1"/>
  <c r="O140" i="2" s="1"/>
  <c r="O141" i="2" a="1"/>
  <c r="O141" i="2"/>
  <c r="O142" i="2" a="1"/>
  <c r="O142" i="2" s="1"/>
  <c r="O143" i="2" a="1"/>
  <c r="O143" i="2" s="1"/>
  <c r="O144" i="2" a="1"/>
  <c r="O144" i="2" s="1"/>
  <c r="O145" i="2" a="1"/>
  <c r="O145" i="2"/>
  <c r="O146" i="2" a="1"/>
  <c r="O146" i="2" s="1"/>
  <c r="O147" i="2" a="1"/>
  <c r="O147" i="2" s="1"/>
  <c r="O148" i="2" a="1"/>
  <c r="O148" i="2" s="1"/>
  <c r="O149" i="2" a="1"/>
  <c r="O149" i="2" s="1"/>
  <c r="O150" i="2" a="1"/>
  <c r="O150" i="2" s="1"/>
  <c r="O151" i="2" a="1"/>
  <c r="O151" i="2" s="1"/>
  <c r="O152" i="2" a="1"/>
  <c r="O152" i="2" s="1"/>
  <c r="O153" i="2" a="1"/>
  <c r="O153" i="2" s="1"/>
  <c r="O154" i="2" a="1"/>
  <c r="O154" i="2" s="1"/>
  <c r="O155" i="2" a="1"/>
  <c r="O155" i="2" s="1"/>
  <c r="O156" i="2" a="1"/>
  <c r="O156" i="2" s="1"/>
  <c r="O157" i="2" a="1"/>
  <c r="O157" i="2"/>
  <c r="O158" i="2" a="1"/>
  <c r="O158" i="2" s="1"/>
  <c r="O159" i="2" a="1"/>
  <c r="O159" i="2" s="1"/>
  <c r="O160" i="2" a="1"/>
  <c r="O160" i="2" s="1"/>
  <c r="O161" i="2" a="1"/>
  <c r="O161" i="2"/>
  <c r="O162" i="2" a="1"/>
  <c r="O162" i="2" s="1"/>
  <c r="O163" i="2" a="1"/>
  <c r="O163" i="2" s="1"/>
  <c r="O164" i="2" a="1"/>
  <c r="O164" i="2" s="1"/>
  <c r="O165" i="2" a="1"/>
  <c r="O165" i="2" s="1"/>
  <c r="O166" i="2" a="1"/>
  <c r="O166" i="2" s="1"/>
  <c r="O167" i="2" a="1"/>
  <c r="O167" i="2" s="1"/>
  <c r="O168" i="2" a="1"/>
  <c r="O168" i="2" s="1"/>
  <c r="O169" i="2" a="1"/>
  <c r="O169" i="2"/>
  <c r="O170" i="2" a="1"/>
  <c r="O170" i="2" s="1"/>
  <c r="O171" i="2" a="1"/>
  <c r="O171" i="2" s="1"/>
  <c r="O172" i="2" a="1"/>
  <c r="O172" i="2" s="1"/>
  <c r="O173" i="2" a="1"/>
  <c r="O173" i="2"/>
  <c r="O174" i="2" a="1"/>
  <c r="O174" i="2" s="1"/>
  <c r="O175" i="2" a="1"/>
  <c r="O175" i="2" s="1"/>
  <c r="O176" i="2" a="1"/>
  <c r="O176" i="2" s="1"/>
  <c r="O177" i="2" a="1"/>
  <c r="O177" i="2"/>
  <c r="O178" i="2" a="1"/>
  <c r="O178" i="2" s="1"/>
  <c r="O179" i="2" a="1"/>
  <c r="O179" i="2" s="1"/>
  <c r="O180" i="2" a="1"/>
  <c r="O180" i="2" s="1"/>
  <c r="O181" i="2" a="1"/>
  <c r="O181" i="2" s="1"/>
  <c r="O182" i="2" a="1"/>
  <c r="O182" i="2" s="1"/>
  <c r="O183" i="2" a="1"/>
  <c r="O183" i="2" s="1"/>
  <c r="O184" i="2" a="1"/>
  <c r="O184" i="2" s="1"/>
  <c r="O185" i="2" a="1"/>
  <c r="O185" i="2" s="1"/>
  <c r="O186" i="2" a="1"/>
  <c r="O186" i="2" s="1"/>
  <c r="O187" i="2" a="1"/>
  <c r="O187" i="2" s="1"/>
  <c r="O188" i="2" a="1"/>
  <c r="O188" i="2" s="1"/>
  <c r="O189" i="2" a="1"/>
  <c r="O189" i="2"/>
  <c r="O190" i="2" a="1"/>
  <c r="O190" i="2" s="1"/>
  <c r="O191" i="2" a="1"/>
  <c r="O191" i="2" s="1"/>
  <c r="O192" i="2" a="1"/>
  <c r="O192" i="2" s="1"/>
  <c r="O193" i="2" a="1"/>
  <c r="O193" i="2" s="1"/>
  <c r="O194" i="2" a="1"/>
  <c r="O194" i="2" s="1"/>
  <c r="O195" i="2" a="1"/>
  <c r="O195" i="2" s="1"/>
  <c r="O196" i="2" a="1"/>
  <c r="O196" i="2" s="1"/>
  <c r="O197" i="2" a="1"/>
  <c r="O197" i="2" s="1"/>
  <c r="O198" i="2" a="1"/>
  <c r="O198" i="2" s="1"/>
  <c r="O199" i="2" a="1"/>
  <c r="O199" i="2" s="1"/>
  <c r="O200" i="2" a="1"/>
  <c r="O200" i="2" s="1"/>
  <c r="O201" i="2" a="1"/>
  <c r="O201" i="2"/>
  <c r="O202" i="2" a="1"/>
  <c r="O202" i="2" s="1"/>
  <c r="O203" i="2" a="1"/>
  <c r="O203" i="2" s="1"/>
  <c r="O204" i="2" a="1"/>
  <c r="O204" i="2" s="1"/>
  <c r="O205" i="2" a="1"/>
  <c r="O205" i="2"/>
  <c r="O206" i="2" a="1"/>
  <c r="O206" i="2" s="1"/>
  <c r="O207" i="2" a="1"/>
  <c r="O207" i="2" s="1"/>
  <c r="O208" i="2" a="1"/>
  <c r="O208" i="2" s="1"/>
  <c r="O209" i="2" a="1"/>
  <c r="O209" i="2"/>
  <c r="O210" i="2" a="1"/>
  <c r="O210" i="2" s="1"/>
  <c r="O211" i="2" a="1"/>
  <c r="O211" i="2" s="1"/>
  <c r="O212" i="2" a="1"/>
  <c r="O212" i="2" s="1"/>
  <c r="O213" i="2" a="1"/>
  <c r="O213" i="2" s="1"/>
  <c r="O214" i="2" a="1"/>
  <c r="O214" i="2" s="1"/>
  <c r="O215" i="2" a="1"/>
  <c r="O215" i="2" s="1"/>
  <c r="O216" i="2" a="1"/>
  <c r="O216" i="2" s="1"/>
  <c r="O217" i="2" a="1"/>
  <c r="O217" i="2" s="1"/>
  <c r="O218" i="2" a="1"/>
  <c r="O218" i="2" s="1"/>
  <c r="O219" i="2" a="1"/>
  <c r="O219" i="2" s="1"/>
  <c r="O220" i="2" a="1"/>
  <c r="O220" i="2" s="1"/>
  <c r="O221" i="2" a="1"/>
  <c r="O221" i="2"/>
  <c r="O222" i="2" a="1"/>
  <c r="O222" i="2" s="1"/>
  <c r="O223" i="2" a="1"/>
  <c r="O223" i="2" s="1"/>
  <c r="O224" i="2" a="1"/>
  <c r="O224" i="2" s="1"/>
  <c r="O225" i="2" a="1"/>
  <c r="O225" i="2" s="1"/>
  <c r="O226" i="2" a="1"/>
  <c r="O226" i="2" s="1"/>
  <c r="O227" i="2" a="1"/>
  <c r="O227" i="2" s="1"/>
  <c r="O228" i="2" a="1"/>
  <c r="O228" i="2" s="1"/>
  <c r="O229" i="2" a="1"/>
  <c r="O229" i="2" s="1"/>
  <c r="O230" i="2" a="1"/>
  <c r="O230" i="2" s="1"/>
  <c r="O231" i="2" a="1"/>
  <c r="O231" i="2" s="1"/>
  <c r="O232" i="2" a="1"/>
  <c r="O232" i="2" s="1"/>
  <c r="O233" i="2" a="1"/>
  <c r="O233" i="2"/>
  <c r="O234" i="2" a="1"/>
  <c r="O234" i="2" s="1"/>
  <c r="O235" i="2" a="1"/>
  <c r="O235" i="2" s="1"/>
  <c r="O236" i="2" a="1"/>
  <c r="O236" i="2" s="1"/>
  <c r="O237" i="2" a="1"/>
  <c r="O237" i="2"/>
  <c r="O238" i="2" a="1"/>
  <c r="O238" i="2" s="1"/>
  <c r="O239" i="2" a="1"/>
  <c r="O239" i="2" s="1"/>
  <c r="O240" i="2" a="1"/>
  <c r="O240" i="2" s="1"/>
  <c r="O241" i="2" a="1"/>
  <c r="O241" i="2" s="1"/>
  <c r="O242" i="2" a="1"/>
  <c r="O242" i="2" s="1"/>
  <c r="O243" i="2" a="1"/>
  <c r="O243" i="2" s="1"/>
  <c r="O244" i="2" a="1"/>
  <c r="O244" i="2" s="1"/>
  <c r="O245" i="2" a="1"/>
  <c r="O245" i="2" s="1"/>
  <c r="O246" i="2" a="1"/>
  <c r="O246" i="2" s="1"/>
  <c r="O247" i="2" a="1"/>
  <c r="O247" i="2" s="1"/>
  <c r="O248" i="2" a="1"/>
  <c r="O248" i="2" s="1"/>
  <c r="O249" i="2" a="1"/>
  <c r="O249" i="2" s="1"/>
  <c r="O250" i="2" a="1"/>
  <c r="O250" i="2" s="1"/>
  <c r="O251" i="2" a="1"/>
  <c r="O251" i="2" s="1"/>
  <c r="O252" i="2" a="1"/>
  <c r="O252" i="2" s="1"/>
  <c r="O253" i="2" a="1"/>
  <c r="O253" i="2"/>
  <c r="O254" i="2" a="1"/>
  <c r="O254" i="2" s="1"/>
  <c r="O255" i="2" a="1"/>
  <c r="O255" i="2" s="1"/>
  <c r="O256" i="2" a="1"/>
  <c r="O256" i="2" s="1"/>
  <c r="O257" i="2" a="1"/>
  <c r="O257" i="2"/>
  <c r="O258" i="2" a="1"/>
  <c r="O258" i="2" s="1"/>
  <c r="O259" i="2" a="1"/>
  <c r="O259" i="2" s="1"/>
  <c r="O260" i="2" a="1"/>
  <c r="O260" i="2" s="1"/>
  <c r="O261" i="2" a="1"/>
  <c r="O261" i="2" s="1"/>
  <c r="O262" i="2" a="1"/>
  <c r="O262" i="2" s="1"/>
  <c r="O263" i="2" a="1"/>
  <c r="O263" i="2" s="1"/>
  <c r="O264" i="2" a="1"/>
  <c r="O264" i="2" s="1"/>
  <c r="O265" i="2" a="1"/>
  <c r="O265" i="2"/>
  <c r="O266" i="2" a="1"/>
  <c r="O266" i="2" s="1"/>
  <c r="O267" i="2" a="1"/>
  <c r="O267" i="2" s="1"/>
  <c r="O268" i="2" a="1"/>
  <c r="O268" i="2" s="1"/>
  <c r="O269" i="2" a="1"/>
  <c r="O269" i="2"/>
  <c r="O270" i="2" a="1"/>
  <c r="O270" i="2" s="1"/>
  <c r="O271" i="2" a="1"/>
  <c r="O271" i="2" s="1"/>
  <c r="O272" i="2" a="1"/>
  <c r="O272" i="2" s="1"/>
  <c r="O273" i="2" a="1"/>
  <c r="O273" i="2" s="1"/>
  <c r="O274" i="2" a="1"/>
  <c r="O274" i="2" s="1"/>
  <c r="O275" i="2" a="1"/>
  <c r="O275" i="2" s="1"/>
  <c r="O276" i="2" a="1"/>
  <c r="O276" i="2" s="1"/>
  <c r="O277" i="2" a="1"/>
  <c r="O277" i="2" s="1"/>
  <c r="O278" i="2" a="1"/>
  <c r="O278" i="2" s="1"/>
  <c r="O279" i="2" a="1"/>
  <c r="O279" i="2" s="1"/>
  <c r="O280" i="2" a="1"/>
  <c r="O280" i="2" s="1"/>
  <c r="O281" i="2" a="1"/>
  <c r="O281" i="2" s="1"/>
  <c r="O282" i="2" a="1"/>
  <c r="O282" i="2" s="1"/>
  <c r="O283" i="2" a="1"/>
  <c r="O283" i="2" s="1"/>
  <c r="O284" i="2" a="1"/>
  <c r="O284" i="2" s="1"/>
  <c r="O285" i="2" a="1"/>
  <c r="O285" i="2"/>
  <c r="O286" i="2" a="1"/>
  <c r="O286" i="2" s="1"/>
  <c r="O287" i="2" a="1"/>
  <c r="O287" i="2" s="1"/>
  <c r="O288" i="2" a="1"/>
  <c r="O288" i="2" s="1"/>
  <c r="O289" i="2" a="1"/>
  <c r="O289" i="2"/>
  <c r="O290" i="2" a="1"/>
  <c r="O290" i="2" s="1"/>
  <c r="O291" i="2" a="1"/>
  <c r="O291" i="2" s="1"/>
  <c r="O292" i="2" a="1"/>
  <c r="O292" i="2" s="1"/>
  <c r="O293" i="2" a="1"/>
  <c r="O293" i="2" s="1"/>
  <c r="O294" i="2" a="1"/>
  <c r="O294" i="2" s="1"/>
  <c r="O295" i="2" a="1"/>
  <c r="O295" i="2" s="1"/>
  <c r="O296" i="2" a="1"/>
  <c r="O296" i="2" s="1"/>
  <c r="O297" i="2" a="1"/>
  <c r="O297" i="2"/>
  <c r="O298" i="2" a="1"/>
  <c r="O298" i="2" s="1"/>
  <c r="O299" i="2" a="1"/>
  <c r="O299" i="2" s="1"/>
  <c r="O300" i="2" a="1"/>
  <c r="O300" i="2" s="1"/>
  <c r="O301" i="2" a="1"/>
  <c r="O301" i="2"/>
  <c r="O302" i="2" a="1"/>
  <c r="O302" i="2" s="1"/>
  <c r="O303" i="2" a="1"/>
  <c r="O303" i="2" s="1"/>
  <c r="O304" i="2" a="1"/>
  <c r="O304" i="2" s="1"/>
  <c r="O305" i="2" a="1"/>
  <c r="O305" i="2"/>
  <c r="O306" i="2" a="1"/>
  <c r="O306" i="2" s="1"/>
  <c r="O307" i="2" a="1"/>
  <c r="O307" i="2" s="1"/>
  <c r="O308" i="2" a="1"/>
  <c r="O308" i="2" s="1"/>
  <c r="O309" i="2" a="1"/>
  <c r="O309" i="2" s="1"/>
  <c r="O310" i="2" a="1"/>
  <c r="O310" i="2" s="1"/>
  <c r="O311" i="2" a="1"/>
  <c r="O311" i="2" s="1"/>
  <c r="O312" i="2" a="1"/>
  <c r="O312" i="2" s="1"/>
  <c r="O313" i="2" a="1"/>
  <c r="O313" i="2" s="1"/>
  <c r="O314" i="2" a="1"/>
  <c r="O314" i="2" s="1"/>
  <c r="O315" i="2" a="1"/>
  <c r="O315" i="2" s="1"/>
  <c r="O316" i="2" a="1"/>
  <c r="O316" i="2" s="1"/>
  <c r="O317" i="2" a="1"/>
  <c r="O317" i="2"/>
  <c r="O318" i="2" a="1"/>
  <c r="O318" i="2" s="1"/>
  <c r="O319" i="2" a="1"/>
  <c r="O319" i="2" s="1"/>
  <c r="O320" i="2" a="1"/>
  <c r="O320" i="2" s="1"/>
  <c r="O321" i="2" a="1"/>
  <c r="O321" i="2" s="1"/>
  <c r="O322" i="2" a="1"/>
  <c r="O322" i="2" s="1"/>
  <c r="O323" i="2" a="1"/>
  <c r="O323" i="2" s="1"/>
  <c r="O324" i="2" a="1"/>
  <c r="O324" i="2" s="1"/>
  <c r="O325" i="2" a="1"/>
  <c r="O325" i="2" s="1"/>
  <c r="O326" i="2" a="1"/>
  <c r="O326" i="2" s="1"/>
  <c r="O327" i="2" a="1"/>
  <c r="O327" i="2" s="1"/>
  <c r="O328" i="2" a="1"/>
  <c r="O328" i="2" s="1"/>
  <c r="O329" i="2" a="1"/>
  <c r="O329" i="2"/>
  <c r="O330" i="2" a="1"/>
  <c r="O330" i="2" s="1"/>
  <c r="O331" i="2" a="1"/>
  <c r="O331" i="2" s="1"/>
  <c r="O332" i="2" a="1"/>
  <c r="O332" i="2" s="1"/>
  <c r="O333" i="2" a="1"/>
  <c r="O333" i="2"/>
  <c r="O334" i="2" a="1"/>
  <c r="O334" i="2" s="1"/>
  <c r="O335" i="2" a="1"/>
  <c r="O335" i="2" s="1"/>
  <c r="O336" i="2" a="1"/>
  <c r="O336" i="2" s="1"/>
  <c r="O337" i="2" a="1"/>
  <c r="O337" i="2"/>
  <c r="O338" i="2" a="1"/>
  <c r="O338" i="2" s="1"/>
  <c r="O339" i="2" a="1"/>
  <c r="O339" i="2" s="1"/>
  <c r="O340" i="2" a="1"/>
  <c r="O340" i="2" s="1"/>
  <c r="O341" i="2" a="1"/>
  <c r="O341" i="2" s="1"/>
  <c r="O342" i="2" a="1"/>
  <c r="O342" i="2"/>
  <c r="O343" i="2" a="1"/>
  <c r="O343" i="2" s="1"/>
  <c r="O344" i="2" a="1"/>
  <c r="O344" i="2"/>
  <c r="O345" i="2" a="1"/>
  <c r="O345" i="2" s="1"/>
  <c r="O346" i="2" a="1"/>
  <c r="O346" i="2"/>
  <c r="O347" i="2" a="1"/>
  <c r="O347" i="2" s="1"/>
  <c r="O348" i="2" a="1"/>
  <c r="O348" i="2"/>
  <c r="O349" i="2" a="1"/>
  <c r="O349" i="2" s="1"/>
  <c r="O350" i="2" a="1"/>
  <c r="O350" i="2"/>
  <c r="O351" i="2" a="1"/>
  <c r="O351" i="2" s="1"/>
  <c r="O352" i="2" a="1"/>
  <c r="O352" i="2"/>
  <c r="O353" i="2" a="1"/>
  <c r="O353" i="2" s="1"/>
  <c r="O354" i="2" a="1"/>
  <c r="O354" i="2"/>
  <c r="O355" i="2" a="1"/>
  <c r="O355" i="2" s="1"/>
  <c r="O356" i="2" a="1"/>
  <c r="O356" i="2"/>
  <c r="O357" i="2" a="1"/>
  <c r="O357" i="2" s="1"/>
  <c r="O358" i="2" a="1"/>
  <c r="O358" i="2" s="1"/>
  <c r="O359" i="2" a="1"/>
  <c r="O359" i="2" s="1"/>
  <c r="O360" i="2" a="1"/>
  <c r="O360" i="2" s="1"/>
  <c r="O361" i="2" a="1"/>
  <c r="O361" i="2" s="1"/>
  <c r="O362" i="2" a="1"/>
  <c r="O362" i="2"/>
  <c r="O363" i="2" a="1"/>
  <c r="O363" i="2" s="1"/>
  <c r="O364" i="2" a="1"/>
  <c r="O364" i="2"/>
  <c r="O365" i="2" a="1"/>
  <c r="O365" i="2" s="1"/>
  <c r="O366" i="2" a="1"/>
  <c r="O366" i="2"/>
  <c r="O367" i="2" a="1"/>
  <c r="O367" i="2" s="1"/>
  <c r="O368" i="2" a="1"/>
  <c r="O368" i="2" s="1"/>
  <c r="O369" i="2" a="1"/>
  <c r="O369" i="2" s="1"/>
  <c r="O370" i="2" a="1"/>
  <c r="O370" i="2"/>
  <c r="O371" i="2" a="1"/>
  <c r="O371" i="2" s="1"/>
  <c r="O372" i="2" a="1"/>
  <c r="O372" i="2"/>
  <c r="O373" i="2" a="1"/>
  <c r="O373" i="2" s="1"/>
  <c r="O374" i="2" a="1"/>
  <c r="O374" i="2" s="1"/>
  <c r="O375" i="2" a="1"/>
  <c r="O375" i="2" s="1"/>
  <c r="O376" i="2" a="1"/>
  <c r="O376" i="2" s="1"/>
  <c r="O377" i="2" a="1"/>
  <c r="O377" i="2" s="1"/>
  <c r="O378" i="2" a="1"/>
  <c r="O378" i="2"/>
  <c r="O379" i="2" a="1"/>
  <c r="O379" i="2" s="1"/>
  <c r="O380" i="2" a="1"/>
  <c r="O380" i="2"/>
  <c r="O381" i="2" a="1"/>
  <c r="O381" i="2" s="1"/>
  <c r="O382" i="2" a="1"/>
  <c r="O382" i="2"/>
  <c r="O383" i="2" a="1"/>
  <c r="O383" i="2" s="1"/>
  <c r="O384" i="2" a="1"/>
  <c r="O384" i="2" s="1"/>
  <c r="O385" i="2" a="1"/>
  <c r="O385" i="2" s="1"/>
  <c r="O386" i="2" a="1"/>
  <c r="O386" i="2"/>
  <c r="O387" i="2" a="1"/>
  <c r="O387" i="2" s="1"/>
  <c r="O388" i="2" a="1"/>
  <c r="O388" i="2"/>
  <c r="O389" i="2" a="1"/>
  <c r="O389" i="2" s="1"/>
  <c r="O390" i="2" a="1"/>
  <c r="O390" i="2" s="1"/>
  <c r="O391" i="2" a="1"/>
  <c r="O391" i="2" s="1"/>
  <c r="O392" i="2" a="1"/>
  <c r="O392" i="2" s="1"/>
  <c r="O393" i="2" a="1"/>
  <c r="O393" i="2" s="1"/>
  <c r="O394" i="2" a="1"/>
  <c r="O394" i="2"/>
  <c r="O395" i="2" a="1"/>
  <c r="O395" i="2" s="1"/>
  <c r="O396" i="2" a="1"/>
  <c r="O396" i="2"/>
  <c r="O397" i="2" a="1"/>
  <c r="O397" i="2" s="1"/>
  <c r="O398" i="2" a="1"/>
  <c r="O398" i="2"/>
  <c r="O399" i="2" a="1"/>
  <c r="O399" i="2" s="1"/>
  <c r="O400" i="2" a="1"/>
  <c r="O400" i="2" s="1"/>
  <c r="O401" i="2" a="1"/>
  <c r="O401" i="2" s="1"/>
  <c r="O402" i="2" a="1"/>
  <c r="O402" i="2"/>
  <c r="O403" i="2" a="1"/>
  <c r="O403" i="2" s="1"/>
  <c r="O404" i="2" a="1"/>
  <c r="O404" i="2"/>
  <c r="O405" i="2" a="1"/>
  <c r="O405" i="2" s="1"/>
  <c r="O406" i="2" a="1"/>
  <c r="O406" i="2" s="1"/>
  <c r="O407" i="2" a="1"/>
  <c r="O407" i="2" s="1"/>
  <c r="O408" i="2" a="1"/>
  <c r="O408" i="2" s="1"/>
  <c r="O409" i="2" a="1"/>
  <c r="O409" i="2" s="1"/>
  <c r="O410" i="2" a="1"/>
  <c r="O410" i="2"/>
  <c r="O411" i="2" a="1"/>
  <c r="O411" i="2" s="1"/>
  <c r="O412" i="2" a="1"/>
  <c r="O412" i="2"/>
  <c r="O413" i="2" a="1"/>
  <c r="O413" i="2" s="1"/>
  <c r="O414" i="2" a="1"/>
  <c r="O414" i="2"/>
  <c r="O415" i="2" a="1"/>
  <c r="O415" i="2" s="1"/>
  <c r="O416" i="2" a="1"/>
  <c r="O416" i="2" s="1"/>
  <c r="O417" i="2" a="1"/>
  <c r="O417" i="2" s="1"/>
  <c r="O418" i="2" a="1"/>
  <c r="O418" i="2"/>
  <c r="O419" i="2" a="1"/>
  <c r="O419" i="2" s="1"/>
  <c r="O420" i="2" a="1"/>
  <c r="O420" i="2"/>
  <c r="O421" i="2" a="1"/>
  <c r="O421" i="2" s="1"/>
  <c r="O422" i="2" a="1"/>
  <c r="O422" i="2" s="1"/>
  <c r="O423" i="2" a="1"/>
  <c r="O423" i="2" s="1"/>
  <c r="O424" i="2" a="1"/>
  <c r="O424" i="2" s="1"/>
  <c r="O425" i="2" a="1"/>
  <c r="O425" i="2" s="1"/>
  <c r="O426" i="2" a="1"/>
  <c r="O426" i="2"/>
  <c r="O427" i="2" a="1"/>
  <c r="O427" i="2" s="1"/>
  <c r="O428" i="2" a="1"/>
  <c r="O428" i="2"/>
  <c r="O429" i="2" a="1"/>
  <c r="O429" i="2" s="1"/>
  <c r="O430" i="2" a="1"/>
  <c r="O430" i="2"/>
  <c r="O431" i="2" a="1"/>
  <c r="O431" i="2" s="1"/>
  <c r="O432" i="2" a="1"/>
  <c r="O432" i="2" s="1"/>
  <c r="O433" i="2" a="1"/>
  <c r="O433" i="2" s="1"/>
  <c r="O434" i="2" a="1"/>
  <c r="O434" i="2"/>
  <c r="O435" i="2" a="1"/>
  <c r="O435" i="2" s="1"/>
  <c r="O436" i="2" a="1"/>
  <c r="O436" i="2"/>
  <c r="O437" i="2" a="1"/>
  <c r="O437" i="2" s="1"/>
  <c r="O438" i="2" a="1"/>
  <c r="O438" i="2" s="1"/>
  <c r="O439" i="2" a="1"/>
  <c r="O439" i="2" s="1"/>
  <c r="O440" i="2" a="1"/>
  <c r="O440" i="2" s="1"/>
  <c r="O441" i="2" a="1"/>
  <c r="O441" i="2" s="1"/>
  <c r="O442" i="2" a="1"/>
  <c r="O442" i="2"/>
  <c r="O443" i="2" a="1"/>
  <c r="O443" i="2" s="1"/>
  <c r="O444" i="2" a="1"/>
  <c r="O444" i="2"/>
  <c r="O445" i="2" a="1"/>
  <c r="O445" i="2" s="1"/>
  <c r="O446" i="2" a="1"/>
  <c r="O446" i="2"/>
  <c r="O447" i="2" a="1"/>
  <c r="O447" i="2" s="1"/>
  <c r="O448" i="2" a="1"/>
  <c r="O448" i="2" s="1"/>
  <c r="O449" i="2" a="1"/>
  <c r="O449" i="2" s="1"/>
  <c r="O450" i="2" a="1"/>
  <c r="O450" i="2"/>
  <c r="O451" i="2" a="1"/>
  <c r="O451" i="2" s="1"/>
  <c r="O452" i="2" a="1"/>
  <c r="O452" i="2"/>
  <c r="O453" i="2" a="1"/>
  <c r="O453" i="2" s="1"/>
  <c r="O454" i="2" a="1"/>
  <c r="O454" i="2" s="1"/>
  <c r="O455" i="2" a="1"/>
  <c r="O455" i="2" s="1"/>
  <c r="O456" i="2" a="1"/>
  <c r="O456" i="2" s="1"/>
  <c r="O457" i="2" a="1"/>
  <c r="O457" i="2" s="1"/>
  <c r="O458" i="2" a="1"/>
  <c r="O458" i="2"/>
  <c r="O459" i="2" a="1"/>
  <c r="O459" i="2" s="1"/>
  <c r="O460" i="2" a="1"/>
  <c r="O460" i="2"/>
  <c r="O461" i="2" a="1"/>
  <c r="O461" i="2" s="1"/>
  <c r="O462" i="2" a="1"/>
  <c r="O462" i="2"/>
  <c r="O463" i="2" a="1"/>
  <c r="O463" i="2" s="1"/>
  <c r="O464" i="2" a="1"/>
  <c r="O464" i="2" s="1"/>
  <c r="O465" i="2" a="1"/>
  <c r="O465" i="2" s="1"/>
  <c r="O466" i="2" a="1"/>
  <c r="O466" i="2"/>
  <c r="O467" i="2" a="1"/>
  <c r="O467" i="2" s="1"/>
  <c r="O468" i="2" a="1"/>
  <c r="O468" i="2"/>
  <c r="O469" i="2" a="1"/>
  <c r="O469" i="2" s="1"/>
  <c r="O470" i="2" a="1"/>
  <c r="O470" i="2" s="1"/>
  <c r="O471" i="2" a="1"/>
  <c r="O471" i="2" s="1"/>
  <c r="O472" i="2" a="1"/>
  <c r="O472" i="2" s="1"/>
  <c r="O473" i="2" a="1"/>
  <c r="O473" i="2" s="1"/>
  <c r="O474" i="2" a="1"/>
  <c r="O474" i="2"/>
  <c r="O475" i="2" a="1"/>
  <c r="O475" i="2" s="1"/>
  <c r="O476" i="2" a="1"/>
  <c r="O476" i="2"/>
  <c r="O477" i="2" a="1"/>
  <c r="O477" i="2" s="1"/>
  <c r="O478" i="2" a="1"/>
  <c r="O478" i="2"/>
  <c r="O479" i="2" a="1"/>
  <c r="O479" i="2" s="1"/>
  <c r="O480" i="2" a="1"/>
  <c r="O480" i="2" s="1"/>
  <c r="O481" i="2" a="1"/>
  <c r="O481" i="2" s="1"/>
  <c r="O482" i="2" a="1"/>
  <c r="O482" i="2"/>
  <c r="O483" i="2" a="1"/>
  <c r="O483" i="2" s="1"/>
  <c r="O484" i="2" a="1"/>
  <c r="O484" i="2"/>
  <c r="O485" i="2" a="1"/>
  <c r="O485" i="2" s="1"/>
  <c r="O486" i="2" a="1"/>
  <c r="O486" i="2" s="1"/>
  <c r="O487" i="2" a="1"/>
  <c r="O487" i="2" s="1"/>
  <c r="O488" i="2" a="1"/>
  <c r="O488" i="2" s="1"/>
  <c r="O489" i="2" a="1"/>
  <c r="O489" i="2" s="1"/>
  <c r="O490" i="2" a="1"/>
  <c r="O490" i="2"/>
  <c r="O491" i="2" a="1"/>
  <c r="O491" i="2" s="1"/>
  <c r="O492" i="2" a="1"/>
  <c r="O492" i="2"/>
  <c r="O493" i="2" a="1"/>
  <c r="O493" i="2" s="1"/>
  <c r="O494" i="2" a="1"/>
  <c r="O494" i="2"/>
  <c r="O495" i="2" a="1"/>
  <c r="O495" i="2" s="1"/>
  <c r="O496" i="2" a="1"/>
  <c r="O496" i="2" s="1"/>
  <c r="O497" i="2" a="1"/>
  <c r="O497" i="2" s="1"/>
  <c r="O498" i="2" a="1"/>
  <c r="O498" i="2"/>
  <c r="O499" i="2" a="1"/>
  <c r="O499" i="2" s="1"/>
  <c r="O500" i="2" a="1"/>
  <c r="O500" i="2"/>
  <c r="O501" i="2" a="1"/>
  <c r="O501" i="2" s="1"/>
  <c r="O502" i="2" a="1"/>
  <c r="O502" i="2" s="1"/>
  <c r="O503" i="2" a="1"/>
  <c r="O503" i="2" s="1"/>
  <c r="O504" i="2" a="1"/>
  <c r="O504" i="2" s="1"/>
  <c r="O505" i="2" a="1"/>
  <c r="O505" i="2" s="1"/>
  <c r="O506" i="2" a="1"/>
  <c r="O506" i="2"/>
  <c r="O507" i="2" a="1"/>
  <c r="O507" i="2" s="1"/>
  <c r="O508" i="2" a="1"/>
  <c r="O508" i="2"/>
  <c r="O509" i="2" a="1"/>
  <c r="O509" i="2" s="1"/>
  <c r="O510" i="2" a="1"/>
  <c r="O510" i="2"/>
  <c r="O511" i="2" a="1"/>
  <c r="O511" i="2" s="1"/>
  <c r="O512" i="2" a="1"/>
  <c r="O512" i="2" s="1"/>
  <c r="O513" i="2" a="1"/>
  <c r="O513" i="2" s="1"/>
  <c r="O514" i="2" a="1"/>
  <c r="O514" i="2"/>
  <c r="O515" i="2" a="1"/>
  <c r="O515" i="2" s="1"/>
  <c r="O516" i="2" a="1"/>
  <c r="O516" i="2"/>
  <c r="O517" i="2" a="1"/>
  <c r="O517" i="2" s="1"/>
  <c r="O518" i="2" a="1"/>
  <c r="O518" i="2" s="1"/>
  <c r="O519" i="2" a="1"/>
  <c r="O519" i="2" s="1"/>
  <c r="O520" i="2" a="1"/>
  <c r="O520" i="2" s="1"/>
  <c r="O521" i="2" a="1"/>
  <c r="O521" i="2" s="1"/>
  <c r="O522" i="2" a="1"/>
  <c r="O522" i="2"/>
  <c r="O523" i="2" a="1"/>
  <c r="O523" i="2" s="1"/>
  <c r="O524" i="2" a="1"/>
  <c r="O524" i="2"/>
  <c r="O525" i="2" a="1"/>
  <c r="O525" i="2" s="1"/>
  <c r="O526" i="2" a="1"/>
  <c r="O526" i="2"/>
  <c r="O527" i="2" a="1"/>
  <c r="O527" i="2" s="1"/>
  <c r="O528" i="2" a="1"/>
  <c r="O528" i="2" s="1"/>
  <c r="O529" i="2" a="1"/>
  <c r="O529" i="2" s="1"/>
  <c r="O530" i="2" a="1"/>
  <c r="O530" i="2"/>
  <c r="O531" i="2" a="1"/>
  <c r="O531" i="2" s="1"/>
  <c r="O532" i="2" a="1"/>
  <c r="O532" i="2"/>
  <c r="O533" i="2" a="1"/>
  <c r="O533" i="2" s="1"/>
  <c r="O534" i="2" a="1"/>
  <c r="O534" i="2" s="1"/>
  <c r="O535" i="2" a="1"/>
  <c r="O535" i="2" s="1"/>
  <c r="O536" i="2" a="1"/>
  <c r="O536" i="2" s="1"/>
  <c r="O537" i="2" a="1"/>
  <c r="O537" i="2" s="1"/>
  <c r="O538" i="2" a="1"/>
  <c r="O538" i="2"/>
  <c r="O539" i="2" a="1"/>
  <c r="O539" i="2" s="1"/>
  <c r="O540" i="2" a="1"/>
  <c r="O540" i="2"/>
  <c r="O541" i="2" a="1"/>
  <c r="O541" i="2" s="1"/>
  <c r="O542" i="2" a="1"/>
  <c r="O542" i="2"/>
  <c r="O543" i="2" a="1"/>
  <c r="O543" i="2" s="1"/>
  <c r="O544" i="2" a="1"/>
  <c r="O544" i="2" s="1"/>
  <c r="O545" i="2" a="1"/>
  <c r="O545" i="2" s="1"/>
  <c r="O546" i="2" a="1"/>
  <c r="O546" i="2"/>
  <c r="O547" i="2" a="1"/>
  <c r="O547" i="2" s="1"/>
  <c r="O548" i="2" a="1"/>
  <c r="O548" i="2"/>
  <c r="O549" i="2" a="1"/>
  <c r="O549" i="2" s="1"/>
  <c r="O550" i="2" a="1"/>
  <c r="O550" i="2" s="1"/>
  <c r="O551" i="2" a="1"/>
  <c r="O551" i="2" s="1"/>
  <c r="O552" i="2" a="1"/>
  <c r="O552" i="2" s="1"/>
  <c r="O553" i="2" a="1"/>
  <c r="O553" i="2" s="1"/>
  <c r="O554" i="2" a="1"/>
  <c r="O554" i="2"/>
  <c r="O555" i="2" a="1"/>
  <c r="O555" i="2" s="1"/>
  <c r="O556" i="2" a="1"/>
  <c r="O556" i="2"/>
  <c r="O557" i="2" a="1"/>
  <c r="O557" i="2" s="1"/>
  <c r="O558" i="2" a="1"/>
  <c r="O558" i="2"/>
  <c r="O559" i="2" a="1"/>
  <c r="O559" i="2" s="1"/>
  <c r="O560" i="2" a="1"/>
  <c r="O560" i="2" s="1"/>
  <c r="O561" i="2" a="1"/>
  <c r="O561" i="2" s="1"/>
  <c r="O562" i="2" a="1"/>
  <c r="O562" i="2"/>
  <c r="O563" i="2" a="1"/>
  <c r="O563" i="2" s="1"/>
  <c r="O564" i="2" a="1"/>
  <c r="O564" i="2"/>
  <c r="O565" i="2" a="1"/>
  <c r="O565" i="2" s="1"/>
  <c r="O566" i="2" a="1"/>
  <c r="O566" i="2" s="1"/>
  <c r="O567" i="2" a="1"/>
  <c r="O567" i="2" s="1"/>
  <c r="O568" i="2" a="1"/>
  <c r="O568" i="2" s="1"/>
  <c r="O569" i="2" a="1"/>
  <c r="O569" i="2" s="1"/>
  <c r="O570" i="2" a="1"/>
  <c r="O570" i="2"/>
  <c r="O571" i="2" a="1"/>
  <c r="O571" i="2" s="1"/>
  <c r="O572" i="2" a="1"/>
  <c r="O572" i="2"/>
  <c r="O573" i="2" a="1"/>
  <c r="O573" i="2" s="1"/>
  <c r="O574" i="2" a="1"/>
  <c r="O574" i="2"/>
  <c r="O575" i="2" a="1"/>
  <c r="O575" i="2" s="1"/>
  <c r="O576" i="2" a="1"/>
  <c r="O576" i="2" s="1"/>
  <c r="O577" i="2" a="1"/>
  <c r="O577" i="2" s="1"/>
  <c r="O578" i="2" a="1"/>
  <c r="O578" i="2"/>
  <c r="O579" i="2" a="1"/>
  <c r="O579" i="2" s="1"/>
  <c r="O580" i="2" a="1"/>
  <c r="O580" i="2"/>
  <c r="O581" i="2" a="1"/>
  <c r="O581" i="2" s="1"/>
  <c r="O582" i="2" a="1"/>
  <c r="O582" i="2" s="1"/>
  <c r="O583" i="2" a="1"/>
  <c r="O583" i="2" s="1"/>
  <c r="O584" i="2" a="1"/>
  <c r="O584" i="2" s="1"/>
  <c r="O585" i="2" a="1"/>
  <c r="O585" i="2" s="1"/>
  <c r="O586" i="2" a="1"/>
  <c r="O586" i="2"/>
  <c r="O587" i="2" a="1"/>
  <c r="O587" i="2" s="1"/>
  <c r="O588" i="2" a="1"/>
  <c r="O588" i="2"/>
  <c r="O589" i="2" a="1"/>
  <c r="O589" i="2" s="1"/>
  <c r="O590" i="2" a="1"/>
  <c r="O590" i="2"/>
  <c r="O591" i="2" a="1"/>
  <c r="O591" i="2" s="1"/>
  <c r="O592" i="2" a="1"/>
  <c r="O592" i="2" s="1"/>
  <c r="O593" i="2" a="1"/>
  <c r="O593" i="2" s="1"/>
  <c r="O594" i="2" a="1"/>
  <c r="O594" i="2"/>
  <c r="O595" i="2" a="1"/>
  <c r="O595" i="2" s="1"/>
  <c r="O596" i="2" a="1"/>
  <c r="O596" i="2"/>
  <c r="O597" i="2" a="1"/>
  <c r="O597" i="2" s="1"/>
  <c r="O598" i="2" a="1"/>
  <c r="O598" i="2" s="1"/>
  <c r="O599" i="2" a="1"/>
  <c r="O599" i="2" s="1"/>
  <c r="O600" i="2" a="1"/>
  <c r="O600" i="2" s="1"/>
  <c r="O601" i="2" a="1"/>
  <c r="O601" i="2" s="1"/>
  <c r="O602" i="2" a="1"/>
  <c r="O602" i="2"/>
  <c r="O603" i="2" a="1"/>
  <c r="O603" i="2" s="1"/>
  <c r="O604" i="2" a="1"/>
  <c r="O604" i="2"/>
  <c r="O605" i="2" a="1"/>
  <c r="O605" i="2" s="1"/>
  <c r="O606" i="2" a="1"/>
  <c r="O606" i="2"/>
  <c r="O607" i="2" a="1"/>
  <c r="O607" i="2"/>
  <c r="O608" i="2" a="1"/>
  <c r="O608" i="2" s="1"/>
  <c r="O609" i="2" a="1"/>
  <c r="O609" i="2" s="1"/>
  <c r="O610" i="2" a="1"/>
  <c r="O610" i="2" s="1"/>
  <c r="O611" i="2" a="1"/>
  <c r="O611" i="2"/>
  <c r="O612" i="2" a="1"/>
  <c r="O612" i="2" s="1"/>
  <c r="O613" i="2" a="1"/>
  <c r="O613" i="2" s="1"/>
  <c r="O614" i="2" a="1"/>
  <c r="O614" i="2"/>
  <c r="O615" i="2" a="1"/>
  <c r="O615" i="2"/>
  <c r="O616" i="2" a="1"/>
  <c r="O616" i="2"/>
  <c r="O617" i="2" a="1"/>
  <c r="O617" i="2" s="1"/>
  <c r="O618" i="2" a="1"/>
  <c r="O618" i="2"/>
  <c r="O619" i="2" a="1"/>
  <c r="O619" i="2" s="1"/>
  <c r="O620" i="2" a="1"/>
  <c r="O620" i="2"/>
  <c r="O621" i="2" a="1"/>
  <c r="O621" i="2" s="1"/>
  <c r="O622" i="2" a="1"/>
  <c r="O622" i="2" s="1"/>
  <c r="O623" i="2" a="1"/>
  <c r="O623" i="2"/>
  <c r="O624" i="2" a="1"/>
  <c r="O624" i="2"/>
  <c r="O625" i="2" a="1"/>
  <c r="O625" i="2" s="1"/>
  <c r="O626" i="2" a="1"/>
  <c r="O626" i="2" s="1"/>
  <c r="O627" i="2" a="1"/>
  <c r="O627" i="2"/>
  <c r="O628" i="2" a="1"/>
  <c r="O628" i="2" s="1"/>
  <c r="O629" i="2" a="1"/>
  <c r="O629" i="2" s="1"/>
  <c r="O630" i="2" a="1"/>
  <c r="O630" i="2"/>
  <c r="O631" i="2" a="1"/>
  <c r="O631" i="2" s="1"/>
  <c r="O632" i="2" a="1"/>
  <c r="O632" i="2"/>
  <c r="O633" i="2" a="1"/>
  <c r="O633" i="2" s="1"/>
  <c r="O634" i="2" a="1"/>
  <c r="O634" i="2"/>
  <c r="O635" i="2" a="1"/>
  <c r="O635" i="2" s="1"/>
  <c r="O636" i="2" a="1"/>
  <c r="O636" i="2"/>
  <c r="O637" i="2" a="1"/>
  <c r="O637" i="2" s="1"/>
  <c r="O638" i="2" a="1"/>
  <c r="O638" i="2"/>
  <c r="O639" i="2" a="1"/>
  <c r="O639" i="2"/>
  <c r="O640" i="2" a="1"/>
  <c r="O640" i="2" s="1"/>
  <c r="O641" i="2" a="1"/>
  <c r="O641" i="2"/>
  <c r="O642" i="2" a="1"/>
  <c r="O642" i="2"/>
  <c r="O643" i="2" a="1"/>
  <c r="O643" i="2"/>
  <c r="O644" i="2" a="1"/>
  <c r="O644" i="2" s="1"/>
  <c r="O645" i="2" a="1"/>
  <c r="O645" i="2"/>
  <c r="O646" i="2" a="1"/>
  <c r="O646" i="2"/>
  <c r="O647" i="2" a="1"/>
  <c r="O647" i="2"/>
  <c r="O648" i="2" a="1"/>
  <c r="O648" i="2" s="1"/>
  <c r="O649" i="2" a="1"/>
  <c r="O649" i="2"/>
  <c r="O650" i="2" a="1"/>
  <c r="O650" i="2"/>
  <c r="O651" i="2" a="1"/>
  <c r="O651" i="2"/>
  <c r="O652" i="2" a="1"/>
  <c r="O652" i="2" s="1"/>
  <c r="O653" i="2" a="1"/>
  <c r="O653" i="2"/>
  <c r="O654" i="2" a="1"/>
  <c r="O654" i="2"/>
  <c r="O655" i="2" a="1"/>
  <c r="O655" i="2"/>
  <c r="O656" i="2" a="1"/>
  <c r="O656" i="2" s="1"/>
  <c r="O657" i="2" a="1"/>
  <c r="O657" i="2"/>
  <c r="O658" i="2" a="1"/>
  <c r="O658" i="2"/>
  <c r="O659" i="2" a="1"/>
  <c r="O659" i="2"/>
  <c r="O660" i="2" a="1"/>
  <c r="O660" i="2" s="1"/>
  <c r="O661" i="2" a="1"/>
  <c r="O661" i="2"/>
  <c r="O662" i="2" a="1"/>
  <c r="O662" i="2"/>
  <c r="O663" i="2" a="1"/>
  <c r="O663" i="2"/>
  <c r="O664" i="2" a="1"/>
  <c r="O664" i="2" s="1"/>
  <c r="O665" i="2" a="1"/>
  <c r="O665" i="2"/>
  <c r="O666" i="2" a="1"/>
  <c r="O666" i="2"/>
  <c r="O667" i="2" a="1"/>
  <c r="O667" i="2"/>
  <c r="O668" i="2" a="1"/>
  <c r="O668" i="2" s="1"/>
  <c r="O669" i="2" a="1"/>
  <c r="O669" i="2"/>
  <c r="O670" i="2" a="1"/>
  <c r="O670" i="2"/>
  <c r="O671" i="2" a="1"/>
  <c r="O671" i="2"/>
  <c r="O672" i="2" a="1"/>
  <c r="O672" i="2" s="1"/>
  <c r="O673" i="2" a="1"/>
  <c r="O673" i="2"/>
  <c r="O674" i="2" a="1"/>
  <c r="O674" i="2"/>
  <c r="O675" i="2" a="1"/>
  <c r="O675" i="2"/>
  <c r="O676" i="2" a="1"/>
  <c r="O676" i="2" s="1"/>
  <c r="O677" i="2" a="1"/>
  <c r="O677" i="2"/>
  <c r="O678" i="2" a="1"/>
  <c r="O678" i="2"/>
  <c r="O679" i="2" a="1"/>
  <c r="O679" i="2"/>
  <c r="O680" i="2" a="1"/>
  <c r="O680" i="2" s="1"/>
  <c r="O681" i="2" a="1"/>
  <c r="O681" i="2"/>
  <c r="O682" i="2" a="1"/>
  <c r="O682" i="2"/>
  <c r="O683" i="2" a="1"/>
  <c r="O683" i="2"/>
  <c r="O684" i="2" a="1"/>
  <c r="O684" i="2" s="1"/>
  <c r="O685" i="2" a="1"/>
  <c r="O685" i="2"/>
  <c r="O686" i="2" a="1"/>
  <c r="O686" i="2"/>
  <c r="O687" i="2" a="1"/>
  <c r="O687" i="2"/>
  <c r="O688" i="2" a="1"/>
  <c r="O688" i="2" s="1"/>
  <c r="O689" i="2" a="1"/>
  <c r="O689" i="2"/>
  <c r="O690" i="2" a="1"/>
  <c r="O690" i="2"/>
  <c r="O691" i="2" a="1"/>
  <c r="O691" i="2"/>
  <c r="O692" i="2" a="1"/>
  <c r="O692" i="2" s="1"/>
  <c r="O693" i="2" a="1"/>
  <c r="O693" i="2"/>
  <c r="O694" i="2" a="1"/>
  <c r="O694" i="2"/>
  <c r="O695" i="2" a="1"/>
  <c r="O695" i="2"/>
  <c r="O696" i="2" a="1"/>
  <c r="O696" i="2" s="1"/>
  <c r="O697" i="2" a="1"/>
  <c r="O697" i="2"/>
  <c r="O698" i="2" a="1"/>
  <c r="O698" i="2"/>
  <c r="O699" i="2" a="1"/>
  <c r="O699" i="2"/>
  <c r="O700" i="2" a="1"/>
  <c r="O700" i="2" s="1"/>
  <c r="O701" i="2" a="1"/>
  <c r="O701" i="2"/>
  <c r="O702" i="2" a="1"/>
  <c r="O702" i="2"/>
  <c r="O703" i="2" a="1"/>
  <c r="O703" i="2"/>
  <c r="O704" i="2" a="1"/>
  <c r="O704" i="2" s="1"/>
  <c r="O705" i="2" a="1"/>
  <c r="O705" i="2"/>
  <c r="O706" i="2" a="1"/>
  <c r="O706" i="2"/>
  <c r="O707" i="2" a="1"/>
  <c r="O707" i="2"/>
  <c r="O708" i="2" a="1"/>
  <c r="O708" i="2" s="1"/>
  <c r="O709" i="2" a="1"/>
  <c r="O709" i="2"/>
  <c r="O710" i="2" a="1"/>
  <c r="O710" i="2"/>
  <c r="O711" i="2" a="1"/>
  <c r="O711" i="2"/>
  <c r="O712" i="2" a="1"/>
  <c r="O712" i="2" s="1"/>
  <c r="O713" i="2" a="1"/>
  <c r="O713" i="2"/>
  <c r="O714" i="2" a="1"/>
  <c r="O714" i="2"/>
  <c r="O715" i="2" a="1"/>
  <c r="O715" i="2"/>
  <c r="O716" i="2" a="1"/>
  <c r="O716" i="2" s="1"/>
  <c r="O717" i="2" a="1"/>
  <c r="O717" i="2"/>
  <c r="O718" i="2" a="1"/>
  <c r="O718" i="2"/>
  <c r="O719" i="2" a="1"/>
  <c r="O719" i="2"/>
  <c r="O720" i="2" a="1"/>
  <c r="O720" i="2" s="1"/>
  <c r="O721" i="2" a="1"/>
  <c r="O721" i="2"/>
  <c r="O722" i="2" a="1"/>
  <c r="O722" i="2"/>
  <c r="O723" i="2" a="1"/>
  <c r="O723" i="2"/>
  <c r="O724" i="2" a="1"/>
  <c r="O724" i="2" s="1"/>
  <c r="O725" i="2" a="1"/>
  <c r="O725" i="2"/>
  <c r="O726" i="2" a="1"/>
  <c r="O726" i="2"/>
  <c r="O727" i="2" a="1"/>
  <c r="O727" i="2"/>
  <c r="O728" i="2" a="1"/>
  <c r="O728" i="2" s="1"/>
  <c r="O729" i="2" a="1"/>
  <c r="O729" i="2"/>
  <c r="O730" i="2" a="1"/>
  <c r="O730" i="2"/>
  <c r="O731" i="2" a="1"/>
  <c r="O731" i="2"/>
  <c r="O732" i="2" a="1"/>
  <c r="O732" i="2" s="1"/>
  <c r="O733" i="2" a="1"/>
  <c r="O733" i="2"/>
  <c r="O734" i="2" a="1"/>
  <c r="O734" i="2"/>
  <c r="O735" i="2" a="1"/>
  <c r="O735" i="2"/>
  <c r="O736" i="2" a="1"/>
  <c r="O736" i="2" s="1"/>
  <c r="O737" i="2" a="1"/>
  <c r="O737" i="2"/>
  <c r="O738" i="2" a="1"/>
  <c r="O738" i="2"/>
  <c r="O739" i="2" a="1"/>
  <c r="O739" i="2"/>
  <c r="O740" i="2" a="1"/>
  <c r="O740" i="2" s="1"/>
  <c r="O741" i="2" a="1"/>
  <c r="O741" i="2"/>
  <c r="O742" i="2" a="1"/>
  <c r="O742" i="2"/>
  <c r="O743" i="2" a="1"/>
  <c r="O743" i="2"/>
  <c r="O744" i="2" a="1"/>
  <c r="O744" i="2" s="1"/>
  <c r="O745" i="2" a="1"/>
  <c r="O745" i="2"/>
  <c r="O746" i="2" a="1"/>
  <c r="O746" i="2"/>
  <c r="O747" i="2" a="1"/>
  <c r="O747" i="2"/>
  <c r="O748" i="2" a="1"/>
  <c r="O748" i="2" s="1"/>
  <c r="O749" i="2" a="1"/>
  <c r="O749" i="2"/>
  <c r="O750" i="2" a="1"/>
  <c r="O750" i="2"/>
  <c r="O751" i="2" a="1"/>
  <c r="O751" i="2"/>
  <c r="O752" i="2" a="1"/>
  <c r="O752" i="2" s="1"/>
  <c r="O753" i="2" a="1"/>
  <c r="O753" i="2"/>
  <c r="O754" i="2" a="1"/>
  <c r="O754" i="2"/>
  <c r="O755" i="2" a="1"/>
  <c r="O755" i="2"/>
  <c r="O756" i="2" a="1"/>
  <c r="O756" i="2" s="1"/>
  <c r="O757" i="2" a="1"/>
  <c r="O757" i="2"/>
  <c r="O758" i="2" a="1"/>
  <c r="O758" i="2"/>
  <c r="O759" i="2" a="1"/>
  <c r="O759" i="2"/>
  <c r="O760" i="2" a="1"/>
  <c r="O760" i="2" s="1"/>
  <c r="O761" i="2" a="1"/>
  <c r="O761" i="2"/>
  <c r="O762" i="2" a="1"/>
  <c r="O762" i="2"/>
  <c r="O763" i="2" a="1"/>
  <c r="O763" i="2"/>
  <c r="O764" i="2" a="1"/>
  <c r="O764" i="2" s="1"/>
  <c r="O765" i="2" a="1"/>
  <c r="O765" i="2"/>
  <c r="O766" i="2" a="1"/>
  <c r="O766" i="2"/>
  <c r="O767" i="2" a="1"/>
  <c r="O767" i="2"/>
  <c r="O768" i="2" a="1"/>
  <c r="O768" i="2" s="1"/>
  <c r="O769" i="2" a="1"/>
  <c r="O769" i="2" s="1"/>
  <c r="O770" i="2" a="1"/>
  <c r="O770" i="2"/>
  <c r="O771" i="2" a="1"/>
  <c r="O771" i="2"/>
  <c r="O772" i="2" a="1"/>
  <c r="O772" i="2" s="1"/>
  <c r="O773" i="2" a="1"/>
  <c r="O773" i="2" s="1"/>
  <c r="O774" i="2" a="1"/>
  <c r="O774" i="2"/>
  <c r="O775" i="2" a="1"/>
  <c r="O775" i="2"/>
  <c r="O776" i="2" a="1"/>
  <c r="O776" i="2" s="1"/>
  <c r="O777" i="2" a="1"/>
  <c r="O777" i="2" s="1"/>
  <c r="O778" i="2" a="1"/>
  <c r="O778" i="2"/>
  <c r="O779" i="2" a="1"/>
  <c r="O779" i="2"/>
  <c r="O780" i="2" a="1"/>
  <c r="O780" i="2" s="1"/>
  <c r="O781" i="2" a="1"/>
  <c r="O781" i="2" s="1"/>
  <c r="O782" i="2" a="1"/>
  <c r="O782" i="2"/>
  <c r="O783" i="2" a="1"/>
  <c r="O783" i="2"/>
  <c r="O784" i="2" a="1"/>
  <c r="O784" i="2" s="1"/>
  <c r="O785" i="2" a="1"/>
  <c r="O785" i="2" s="1"/>
  <c r="O786" i="2" a="1"/>
  <c r="O786" i="2"/>
  <c r="O787" i="2" a="1"/>
  <c r="O787" i="2"/>
  <c r="O788" i="2" a="1"/>
  <c r="O788" i="2" s="1"/>
  <c r="O789" i="2" a="1"/>
  <c r="O789" i="2" s="1"/>
  <c r="O790" i="2" a="1"/>
  <c r="O790" i="2"/>
  <c r="O791" i="2" a="1"/>
  <c r="O791" i="2"/>
  <c r="O792" i="2" a="1"/>
  <c r="O792" i="2" s="1"/>
  <c r="O793" i="2" a="1"/>
  <c r="O793" i="2" s="1"/>
  <c r="O794" i="2" a="1"/>
  <c r="O794" i="2"/>
  <c r="O795" i="2" a="1"/>
  <c r="O795" i="2"/>
  <c r="O796" i="2" a="1"/>
  <c r="O796" i="2" s="1"/>
  <c r="O797" i="2" a="1"/>
  <c r="O797" i="2" s="1"/>
  <c r="O798" i="2" a="1"/>
  <c r="O798" i="2"/>
  <c r="O799" i="2" a="1"/>
  <c r="O799" i="2"/>
  <c r="O800" i="2" a="1"/>
  <c r="O800" i="2" s="1"/>
  <c r="O801" i="2" a="1"/>
  <c r="O801" i="2" s="1"/>
  <c r="O802" i="2" a="1"/>
  <c r="O802" i="2"/>
  <c r="O803" i="2" a="1"/>
  <c r="O803" i="2"/>
  <c r="O804" i="2" a="1"/>
  <c r="O804" i="2" s="1"/>
  <c r="O805" i="2" a="1"/>
  <c r="O805" i="2" s="1"/>
  <c r="O806" i="2" a="1"/>
  <c r="O806" i="2"/>
  <c r="O807" i="2" a="1"/>
  <c r="O807" i="2"/>
  <c r="O808" i="2" a="1"/>
  <c r="O808" i="2" s="1"/>
  <c r="O809" i="2" a="1"/>
  <c r="O809" i="2" s="1"/>
  <c r="O810" i="2" a="1"/>
  <c r="O810" i="2"/>
  <c r="O811" i="2" a="1"/>
  <c r="O811" i="2"/>
  <c r="O812" i="2" a="1"/>
  <c r="O812" i="2" s="1"/>
  <c r="O813" i="2" a="1"/>
  <c r="O813" i="2" s="1"/>
  <c r="O814" i="2" a="1"/>
  <c r="O814" i="2"/>
  <c r="O815" i="2" a="1"/>
  <c r="O815" i="2"/>
  <c r="O816" i="2" a="1"/>
  <c r="O816" i="2" s="1"/>
  <c r="O817" i="2" a="1"/>
  <c r="O817" i="2" s="1"/>
  <c r="O818" i="2" a="1"/>
  <c r="O818" i="2"/>
  <c r="O819" i="2" a="1"/>
  <c r="O819" i="2"/>
  <c r="O820" i="2" a="1"/>
  <c r="O820" i="2" s="1"/>
  <c r="O821" i="2" a="1"/>
  <c r="O821" i="2" s="1"/>
  <c r="O822" i="2" a="1"/>
  <c r="O822" i="2"/>
  <c r="O823" i="2" a="1"/>
  <c r="O823" i="2"/>
  <c r="O824" i="2" a="1"/>
  <c r="O824" i="2" s="1"/>
  <c r="O825" i="2" a="1"/>
  <c r="O825" i="2" s="1"/>
  <c r="O826" i="2" a="1"/>
  <c r="O826" i="2"/>
  <c r="O827" i="2" a="1"/>
  <c r="O827" i="2"/>
  <c r="O828" i="2" a="1"/>
  <c r="O828" i="2" s="1"/>
  <c r="O829" i="2" a="1"/>
  <c r="O829" i="2" s="1"/>
  <c r="O830" i="2" a="1"/>
  <c r="O830" i="2"/>
  <c r="O831" i="2" a="1"/>
  <c r="O831" i="2"/>
  <c r="O832" i="2" a="1"/>
  <c r="O832" i="2" s="1"/>
  <c r="O833" i="2" a="1"/>
  <c r="O833" i="2" s="1"/>
  <c r="O834" i="2" a="1"/>
  <c r="O834" i="2"/>
  <c r="O835" i="2" a="1"/>
  <c r="O835" i="2"/>
  <c r="O836" i="2" a="1"/>
  <c r="O836" i="2" s="1"/>
  <c r="O837" i="2" a="1"/>
  <c r="O837" i="2" s="1"/>
  <c r="O838" i="2" a="1"/>
  <c r="O838" i="2"/>
  <c r="O839" i="2" a="1"/>
  <c r="O839" i="2"/>
  <c r="O840" i="2" a="1"/>
  <c r="O840" i="2" s="1"/>
  <c r="O841" i="2" a="1"/>
  <c r="O841" i="2" s="1"/>
  <c r="O842" i="2" a="1"/>
  <c r="O842" i="2"/>
  <c r="O843" i="2" a="1"/>
  <c r="O843" i="2"/>
  <c r="O844" i="2" a="1"/>
  <c r="O844" i="2" s="1"/>
  <c r="O845" i="2" a="1"/>
  <c r="O845" i="2" s="1"/>
  <c r="O846" i="2" a="1"/>
  <c r="O846" i="2"/>
  <c r="O847" i="2" a="1"/>
  <c r="O847" i="2"/>
  <c r="O848" i="2" a="1"/>
  <c r="O848" i="2" s="1"/>
  <c r="O849" i="2" a="1"/>
  <c r="O849" i="2" s="1"/>
  <c r="O850" i="2" a="1"/>
  <c r="O850" i="2"/>
  <c r="O851" i="2" a="1"/>
  <c r="O851" i="2"/>
  <c r="O852" i="2" a="1"/>
  <c r="O852" i="2" s="1"/>
  <c r="O853" i="2" a="1"/>
  <c r="O853" i="2" s="1"/>
  <c r="O854" i="2" a="1"/>
  <c r="O854" i="2"/>
  <c r="O855" i="2" a="1"/>
  <c r="O855" i="2"/>
  <c r="O856" i="2" a="1"/>
  <c r="O856" i="2" s="1"/>
  <c r="O857" i="2" a="1"/>
  <c r="O857" i="2" s="1"/>
  <c r="O858" i="2" a="1"/>
  <c r="O858" i="2"/>
  <c r="O859" i="2" a="1"/>
  <c r="O859" i="2"/>
  <c r="O860" i="2" a="1"/>
  <c r="O860" i="2" s="1"/>
  <c r="O861" i="2" a="1"/>
  <c r="O861" i="2" s="1"/>
  <c r="O862" i="2" a="1"/>
  <c r="O862" i="2"/>
  <c r="O863" i="2" a="1"/>
  <c r="O863" i="2"/>
  <c r="O864" i="2" a="1"/>
  <c r="O864" i="2" s="1"/>
  <c r="O865" i="2" a="1"/>
  <c r="O865" i="2" s="1"/>
  <c r="O866" i="2" a="1"/>
  <c r="O866" i="2"/>
  <c r="O867" i="2" a="1"/>
  <c r="O867" i="2"/>
  <c r="O868" i="2" a="1"/>
  <c r="O868" i="2" s="1"/>
  <c r="O869" i="2" a="1"/>
  <c r="O869" i="2" s="1"/>
  <c r="O870" i="2" a="1"/>
  <c r="O870" i="2"/>
  <c r="O871" i="2" a="1"/>
  <c r="O871" i="2"/>
  <c r="O872" i="2" a="1"/>
  <c r="O872" i="2" s="1"/>
  <c r="O873" i="2" a="1"/>
  <c r="O873" i="2" s="1"/>
  <c r="O874" i="2" a="1"/>
  <c r="O874" i="2"/>
  <c r="O875" i="2" a="1"/>
  <c r="O875" i="2"/>
  <c r="O876" i="2" a="1"/>
  <c r="O876" i="2" s="1"/>
  <c r="O877" i="2" a="1"/>
  <c r="O877" i="2" s="1"/>
  <c r="O878" i="2" a="1"/>
  <c r="O878" i="2"/>
  <c r="O879" i="2" a="1"/>
  <c r="O879" i="2"/>
  <c r="O880" i="2" a="1"/>
  <c r="O880" i="2" s="1"/>
  <c r="O881" i="2" a="1"/>
  <c r="O881" i="2" s="1"/>
  <c r="O882" i="2" a="1"/>
  <c r="O882" i="2"/>
  <c r="O883" i="2" a="1"/>
  <c r="O883" i="2"/>
  <c r="O884" i="2" a="1"/>
  <c r="O884" i="2" s="1"/>
  <c r="O885" i="2" a="1"/>
  <c r="O885" i="2" s="1"/>
  <c r="O886" i="2" a="1"/>
  <c r="O886" i="2"/>
  <c r="O887" i="2" a="1"/>
  <c r="O887" i="2"/>
  <c r="O888" i="2" a="1"/>
  <c r="O888" i="2" s="1"/>
  <c r="O889" i="2" a="1"/>
  <c r="O889" i="2" s="1"/>
  <c r="O890" i="2" a="1"/>
  <c r="O890" i="2"/>
  <c r="O891" i="2" a="1"/>
  <c r="O891" i="2"/>
  <c r="O892" i="2" a="1"/>
  <c r="O892" i="2" s="1"/>
  <c r="O893" i="2" a="1"/>
  <c r="O893" i="2" s="1"/>
  <c r="O894" i="2" a="1"/>
  <c r="O894" i="2"/>
  <c r="O895" i="2" a="1"/>
  <c r="O895" i="2"/>
  <c r="O896" i="2" a="1"/>
  <c r="O896" i="2" s="1"/>
  <c r="O897" i="2" a="1"/>
  <c r="O897" i="2" s="1"/>
  <c r="O898" i="2" a="1"/>
  <c r="O898" i="2"/>
  <c r="O899" i="2" a="1"/>
  <c r="O899" i="2"/>
  <c r="O900" i="2" a="1"/>
  <c r="O900" i="2" s="1"/>
  <c r="O901" i="2" a="1"/>
  <c r="O901" i="2" s="1"/>
  <c r="O902" i="2" a="1"/>
  <c r="O902" i="2"/>
  <c r="O903" i="2" a="1"/>
  <c r="O903" i="2"/>
  <c r="O904" i="2" a="1"/>
  <c r="O904" i="2" s="1"/>
  <c r="O905" i="2" a="1"/>
  <c r="O905" i="2" s="1"/>
  <c r="O906" i="2" a="1"/>
  <c r="O906" i="2"/>
  <c r="O907" i="2" a="1"/>
  <c r="O907" i="2"/>
  <c r="O908" i="2" a="1"/>
  <c r="O908" i="2" s="1"/>
  <c r="O909" i="2" a="1"/>
  <c r="O909" i="2" s="1"/>
  <c r="O910" i="2" a="1"/>
  <c r="O910" i="2"/>
  <c r="O911" i="2" a="1"/>
  <c r="O911" i="2"/>
  <c r="O912" i="2" a="1"/>
  <c r="O912" i="2" s="1"/>
  <c r="O913" i="2" a="1"/>
  <c r="O913" i="2" s="1"/>
  <c r="O914" i="2" a="1"/>
  <c r="O914" i="2"/>
  <c r="O915" i="2" a="1"/>
  <c r="O915" i="2"/>
  <c r="O916" i="2" a="1"/>
  <c r="O916" i="2" s="1"/>
  <c r="O917" i="2" a="1"/>
  <c r="O917" i="2" s="1"/>
  <c r="O918" i="2" a="1"/>
  <c r="O918" i="2"/>
  <c r="O919" i="2" a="1"/>
  <c r="O919" i="2"/>
  <c r="O920" i="2" a="1"/>
  <c r="O920" i="2" s="1"/>
  <c r="O921" i="2" a="1"/>
  <c r="O921" i="2" s="1"/>
  <c r="O922" i="2" a="1"/>
  <c r="O922" i="2"/>
  <c r="O923" i="2" a="1"/>
  <c r="O923" i="2"/>
  <c r="O924" i="2" a="1"/>
  <c r="O924" i="2" s="1"/>
  <c r="O925" i="2" a="1"/>
  <c r="O925" i="2" s="1"/>
  <c r="O926" i="2" a="1"/>
  <c r="O926" i="2"/>
  <c r="O927" i="2" a="1"/>
  <c r="O927" i="2"/>
  <c r="O928" i="2" a="1"/>
  <c r="O928" i="2" s="1"/>
  <c r="O929" i="2" a="1"/>
  <c r="O929" i="2" s="1"/>
  <c r="O930" i="2" a="1"/>
  <c r="O930" i="2"/>
  <c r="O931" i="2" a="1"/>
  <c r="O931" i="2"/>
  <c r="O932" i="2" a="1"/>
  <c r="O932" i="2" s="1"/>
  <c r="O933" i="2" a="1"/>
  <c r="O933" i="2" s="1"/>
  <c r="O934" i="2" a="1"/>
  <c r="O934" i="2"/>
  <c r="O935" i="2" a="1"/>
  <c r="O935" i="2"/>
  <c r="O936" i="2" a="1"/>
  <c r="O936" i="2" s="1"/>
  <c r="O937" i="2" a="1"/>
  <c r="O937" i="2" s="1"/>
  <c r="O938" i="2" a="1"/>
  <c r="O938" i="2"/>
  <c r="O939" i="2" a="1"/>
  <c r="O939" i="2"/>
  <c r="O940" i="2" a="1"/>
  <c r="O940" i="2" s="1"/>
  <c r="O941" i="2" a="1"/>
  <c r="O941" i="2" s="1"/>
  <c r="O942" i="2" a="1"/>
  <c r="O942" i="2"/>
  <c r="O943" i="2" a="1"/>
  <c r="O943" i="2"/>
  <c r="O944" i="2" a="1"/>
  <c r="O944" i="2" s="1"/>
  <c r="O945" i="2" a="1"/>
  <c r="O945" i="2" s="1"/>
  <c r="O946" i="2" a="1"/>
  <c r="O946" i="2"/>
  <c r="O947" i="2" a="1"/>
  <c r="O947" i="2"/>
  <c r="O948" i="2" a="1"/>
  <c r="O948" i="2" s="1"/>
  <c r="O949" i="2" a="1"/>
  <c r="O949" i="2" s="1"/>
  <c r="O950" i="2" a="1"/>
  <c r="O950" i="2"/>
  <c r="O951" i="2" a="1"/>
  <c r="O951" i="2"/>
  <c r="O952" i="2" a="1"/>
  <c r="O952" i="2" s="1"/>
  <c r="O953" i="2" a="1"/>
  <c r="O953" i="2" s="1"/>
  <c r="O954" i="2" a="1"/>
  <c r="O954" i="2"/>
  <c r="O955" i="2" a="1"/>
  <c r="O955" i="2"/>
  <c r="O956" i="2" a="1"/>
  <c r="O956" i="2" s="1"/>
  <c r="O957" i="2" a="1"/>
  <c r="O957" i="2" s="1"/>
  <c r="O958" i="2" a="1"/>
  <c r="O958" i="2"/>
  <c r="O959" i="2" a="1"/>
  <c r="O959" i="2"/>
  <c r="O960" i="2" a="1"/>
  <c r="O960" i="2" s="1"/>
  <c r="O961" i="2" a="1"/>
  <c r="O961" i="2" s="1"/>
  <c r="O962" i="2" a="1"/>
  <c r="O962" i="2"/>
  <c r="O963" i="2" a="1"/>
  <c r="O963" i="2"/>
  <c r="O964" i="2" a="1"/>
  <c r="O964" i="2" s="1"/>
  <c r="O965" i="2" a="1"/>
  <c r="O965" i="2" s="1"/>
  <c r="O966" i="2" a="1"/>
  <c r="O966" i="2"/>
  <c r="O967" i="2" a="1"/>
  <c r="O967" i="2"/>
  <c r="O968" i="2" a="1"/>
  <c r="O968" i="2" s="1"/>
  <c r="O969" i="2" a="1"/>
  <c r="O969" i="2" s="1"/>
  <c r="O970" i="2" a="1"/>
  <c r="O970" i="2"/>
  <c r="O971" i="2" a="1"/>
  <c r="O971" i="2"/>
  <c r="O972" i="2" a="1"/>
  <c r="O972" i="2" s="1"/>
  <c r="O973" i="2" a="1"/>
  <c r="O973" i="2" s="1"/>
  <c r="O974" i="2" a="1"/>
  <c r="O974" i="2"/>
  <c r="O975" i="2" a="1"/>
  <c r="O975" i="2"/>
  <c r="O976" i="2" a="1"/>
  <c r="O976" i="2" s="1"/>
  <c r="O977" i="2" a="1"/>
  <c r="O977" i="2" s="1"/>
  <c r="O978" i="2" a="1"/>
  <c r="O978" i="2"/>
  <c r="O979" i="2" a="1"/>
  <c r="O979" i="2"/>
  <c r="O980" i="2" a="1"/>
  <c r="O980" i="2" s="1"/>
  <c r="O981" i="2" a="1"/>
  <c r="O981" i="2" s="1"/>
  <c r="O982" i="2" a="1"/>
  <c r="O982" i="2"/>
  <c r="O983" i="2" a="1"/>
  <c r="O983" i="2"/>
  <c r="O984" i="2" a="1"/>
  <c r="O984" i="2" s="1"/>
  <c r="O985" i="2" a="1"/>
  <c r="O985" i="2" s="1"/>
  <c r="O986" i="2" a="1"/>
  <c r="O986" i="2"/>
  <c r="O987" i="2" a="1"/>
  <c r="O987" i="2"/>
  <c r="O988" i="2" a="1"/>
  <c r="O988" i="2" s="1"/>
  <c r="O989" i="2" a="1"/>
  <c r="O989" i="2" s="1"/>
  <c r="O990" i="2" a="1"/>
  <c r="O990" i="2"/>
  <c r="O991" i="2" a="1"/>
  <c r="O991" i="2"/>
  <c r="O992" i="2" a="1"/>
  <c r="O992" i="2" s="1"/>
  <c r="O993" i="2" a="1"/>
  <c r="O993" i="2" s="1"/>
  <c r="O994" i="2" a="1"/>
  <c r="O994" i="2"/>
  <c r="O995" i="2" a="1"/>
  <c r="O995" i="2"/>
  <c r="O996" i="2" a="1"/>
  <c r="O996" i="2" s="1"/>
  <c r="O997" i="2" a="1"/>
  <c r="O997" i="2" s="1"/>
  <c r="O998" i="2" a="1"/>
  <c r="O998" i="2"/>
  <c r="O999" i="2" a="1"/>
  <c r="O999" i="2"/>
  <c r="O1000" i="2" a="1"/>
  <c r="O1000" i="2" s="1"/>
  <c r="O1001" i="2" a="1"/>
  <c r="O10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A0DEF8-A99A-4944-B0E7-131363A3EDD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BB99D675-52A7-49B5-BAA9-D3EC25371B5D}"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<sst xmlns="http://schemas.openxmlformats.org/spreadsheetml/2006/main" count="18072" uniqueCount="3029">
  <si>
    <t>TransactionID</t>
  </si>
  <si>
    <t>CustomerID</t>
  </si>
  <si>
    <t>Date</t>
  </si>
  <si>
    <t>Category</t>
  </si>
  <si>
    <t>Gender</t>
  </si>
  <si>
    <t>Age</t>
  </si>
  <si>
    <t>Location</t>
  </si>
  <si>
    <t>Quantity</t>
  </si>
  <si>
    <t>Sales</t>
  </si>
  <si>
    <t>Profit</t>
  </si>
  <si>
    <t>Channel</t>
  </si>
  <si>
    <t>Date_CLEAN</t>
  </si>
  <si>
    <t>Gender_CLEAN</t>
  </si>
  <si>
    <t>Age_CLEAN</t>
  </si>
  <si>
    <t>TXN-2024-000522</t>
  </si>
  <si>
    <t>CUST-0058</t>
  </si>
  <si>
    <t>Wallflower &amp; Air Freshener</t>
  </si>
  <si>
    <t>Lethbridge (AB)</t>
  </si>
  <si>
    <t>CAD 6.63</t>
  </si>
  <si>
    <t>Online</t>
  </si>
  <si>
    <t>Unknown</t>
  </si>
  <si>
    <t>TXN-2023-000738</t>
  </si>
  <si>
    <t>CUST-0312</t>
  </si>
  <si>
    <t>10/07/2023</t>
  </si>
  <si>
    <t>Body Care</t>
  </si>
  <si>
    <t>N/A</t>
  </si>
  <si>
    <t>Vaughan  Ontario</t>
  </si>
  <si>
    <t>TXN-2024-000741</t>
  </si>
  <si>
    <t>CUST-0309</t>
  </si>
  <si>
    <t xml:space="preserve"> 05/20/2024  </t>
  </si>
  <si>
    <t>Men's</t>
  </si>
  <si>
    <t>F</t>
  </si>
  <si>
    <t>Toronto ON</t>
  </si>
  <si>
    <t>29,53</t>
  </si>
  <si>
    <t>Female</t>
  </si>
  <si>
    <t>TXN-2024-000661</t>
  </si>
  <si>
    <t>CUST-0127</t>
  </si>
  <si>
    <t>04/10/2024</t>
  </si>
  <si>
    <t>FEMALE</t>
  </si>
  <si>
    <t>Kitchener Ontario</t>
  </si>
  <si>
    <t>CAD 2.94</t>
  </si>
  <si>
    <t>Store</t>
  </si>
  <si>
    <t>TXN-2023-000412</t>
  </si>
  <si>
    <t>CUST-0005</t>
  </si>
  <si>
    <t>14/06/2023</t>
  </si>
  <si>
    <t>male</t>
  </si>
  <si>
    <t>Vaughan (Ontario)</t>
  </si>
  <si>
    <t>CAD 54.88</t>
  </si>
  <si>
    <t>Male</t>
  </si>
  <si>
    <t>TXN-2024-000679</t>
  </si>
  <si>
    <t>CUST-0252</t>
  </si>
  <si>
    <t>Candles</t>
  </si>
  <si>
    <t>Calgary,Alberta</t>
  </si>
  <si>
    <t>106,03</t>
  </si>
  <si>
    <t>42,40</t>
  </si>
  <si>
    <t>TXN-2023-000627</t>
  </si>
  <si>
    <t>CUST-0235</t>
  </si>
  <si>
    <t>Gatineau, Quebec</t>
  </si>
  <si>
    <t>TXN-2023-000514</t>
  </si>
  <si>
    <t>CUST-0253</t>
  </si>
  <si>
    <t>M</t>
  </si>
  <si>
    <t>Ottawa Ontari0</t>
  </si>
  <si>
    <t>96,46</t>
  </si>
  <si>
    <t>TXN-2024-000860</t>
  </si>
  <si>
    <t>CUST-0095</t>
  </si>
  <si>
    <t>MALE</t>
  </si>
  <si>
    <t>Mississauga, Ontario</t>
  </si>
  <si>
    <t>TXN-2024-000137</t>
  </si>
  <si>
    <t>CUST-0248</t>
  </si>
  <si>
    <t>21/07/2024</t>
  </si>
  <si>
    <t>U</t>
  </si>
  <si>
    <t>Alberta - Edmonton</t>
  </si>
  <si>
    <t>Txn-2023-000812</t>
  </si>
  <si>
    <t>CUST-0305</t>
  </si>
  <si>
    <t>2023.01.11</t>
  </si>
  <si>
    <t>twenty</t>
  </si>
  <si>
    <t>Saskatoon-SK</t>
  </si>
  <si>
    <t>11,04</t>
  </si>
  <si>
    <t>TXN-2024-000077</t>
  </si>
  <si>
    <t>CUST-0070</t>
  </si>
  <si>
    <t>25/12/2024</t>
  </si>
  <si>
    <t>Vancouver,British Columbia</t>
  </si>
  <si>
    <t>TXN-2023-000637</t>
  </si>
  <si>
    <t>CUST-0102</t>
  </si>
  <si>
    <t>02/07/2023</t>
  </si>
  <si>
    <t>female</t>
  </si>
  <si>
    <t xml:space="preserve"> Laval  Quebec </t>
  </si>
  <si>
    <t>CAD 16.21</t>
  </si>
  <si>
    <t>TXN-2023-000593</t>
  </si>
  <si>
    <t>CUST-0211</t>
  </si>
  <si>
    <t>2023.04.21</t>
  </si>
  <si>
    <t>Mississauga (Ontario)</t>
  </si>
  <si>
    <t>TXN-2023-000939</t>
  </si>
  <si>
    <t>CUST-0293</t>
  </si>
  <si>
    <t>11/18/2023</t>
  </si>
  <si>
    <t>Laval  Quebe</t>
  </si>
  <si>
    <t>8,28</t>
  </si>
  <si>
    <t>TXN-2023-000900</t>
  </si>
  <si>
    <t xml:space="preserve">CUST-0086 </t>
  </si>
  <si>
    <t>01/16/2023</t>
  </si>
  <si>
    <t>Ontario - Ottawa</t>
  </si>
  <si>
    <t>TXN-2024-000281</t>
  </si>
  <si>
    <t>CUST-0099</t>
  </si>
  <si>
    <t>2024.03.08</t>
  </si>
  <si>
    <t>Laval,Quebe</t>
  </si>
  <si>
    <t>TXN-2024-000884</t>
  </si>
  <si>
    <t>CUST-0012</t>
  </si>
  <si>
    <t>2024.05.29</t>
  </si>
  <si>
    <t>Laval Quebec</t>
  </si>
  <si>
    <t>TXN-2023-000762</t>
  </si>
  <si>
    <t>CUST-0051</t>
  </si>
  <si>
    <t>27/04/2023</t>
  </si>
  <si>
    <t>London,ONTARIO</t>
  </si>
  <si>
    <t>-19,81</t>
  </si>
  <si>
    <t>TXN-2023-000320</t>
  </si>
  <si>
    <t>Longueuil (Quebec)</t>
  </si>
  <si>
    <t>CAD 29.48</t>
  </si>
  <si>
    <t>Txn-2024-000550</t>
  </si>
  <si>
    <t>CUST-0170</t>
  </si>
  <si>
    <t>Red Deer-AB</t>
  </si>
  <si>
    <t>TXN-2023-000175</t>
  </si>
  <si>
    <t>CUST-0140</t>
  </si>
  <si>
    <t>Kelowna  BRITISH COLUMBIA</t>
  </si>
  <si>
    <t>TXN-2024-000372</t>
  </si>
  <si>
    <t>CUST-0053</t>
  </si>
  <si>
    <t>09/06/2024</t>
  </si>
  <si>
    <t>Winnipeg (MANITOBA)</t>
  </si>
  <si>
    <t>TXN-2024-000528</t>
  </si>
  <si>
    <t>CUST-0061</t>
  </si>
  <si>
    <t>Hand Soap &amp; Sanitizer</t>
  </si>
  <si>
    <t>Markham,ON</t>
  </si>
  <si>
    <t>Txn-2024-000211</t>
  </si>
  <si>
    <t>Prefer not to say</t>
  </si>
  <si>
    <t>Halifax (ns)</t>
  </si>
  <si>
    <t>CAD 99.20</t>
  </si>
  <si>
    <t>TXN-2024-000236</t>
  </si>
  <si>
    <t xml:space="preserve">CUST-0034 </t>
  </si>
  <si>
    <t>Longueuil,Quebec</t>
  </si>
  <si>
    <t xml:space="preserve"> 15.43 CAD </t>
  </si>
  <si>
    <t>TXN-2023-000102</t>
  </si>
  <si>
    <t>4/7/2023</t>
  </si>
  <si>
    <t>Calgary,Albert</t>
  </si>
  <si>
    <t>TXN-2024-000652</t>
  </si>
  <si>
    <t>CUST-0203</t>
  </si>
  <si>
    <t>25/11/2024</t>
  </si>
  <si>
    <t>Longueuil,Quebe</t>
  </si>
  <si>
    <t>TXN-2024-000903</t>
  </si>
  <si>
    <t>CUST-0287</t>
  </si>
  <si>
    <t>Edmonton AB</t>
  </si>
  <si>
    <t>TXN-2023-000948</t>
  </si>
  <si>
    <t>CUST-0164</t>
  </si>
  <si>
    <t>Richmond,British Columbi</t>
  </si>
  <si>
    <t xml:space="preserve"> 13.96 CAD </t>
  </si>
  <si>
    <t>TXN-2023-000347</t>
  </si>
  <si>
    <t>CUST-0225</t>
  </si>
  <si>
    <t>Sherbrooke,Quebe</t>
  </si>
  <si>
    <t>TXN-2024-000140</t>
  </si>
  <si>
    <t>CUST-0071</t>
  </si>
  <si>
    <t>Windsor  Ontario</t>
  </si>
  <si>
    <t>TXN-2023-000622</t>
  </si>
  <si>
    <t>CUST-0136</t>
  </si>
  <si>
    <t>03/07/2023</t>
  </si>
  <si>
    <t>Brampton / Ontari</t>
  </si>
  <si>
    <t>36,69</t>
  </si>
  <si>
    <t>TXN-2023-000500</t>
  </si>
  <si>
    <t>CUST-0223</t>
  </si>
  <si>
    <t>Mississauga,ONTARIO</t>
  </si>
  <si>
    <t>TXN-2023-000371</t>
  </si>
  <si>
    <t xml:space="preserve">CUST-0279 </t>
  </si>
  <si>
    <t>2023.12.25</t>
  </si>
  <si>
    <t>St. John's  Newfoundland and Labrado</t>
  </si>
  <si>
    <t>TXN-2024-000199</t>
  </si>
  <si>
    <t>CUST-0110</t>
  </si>
  <si>
    <t>Thirty</t>
  </si>
  <si>
    <t>Laval-qc</t>
  </si>
  <si>
    <t>TXN-2023-000688</t>
  </si>
  <si>
    <t>CUST-0155</t>
  </si>
  <si>
    <t>05/11/2023</t>
  </si>
  <si>
    <t>on - Vaughan</t>
  </si>
  <si>
    <t>TXN-2024-000585</t>
  </si>
  <si>
    <t>CUST-0193</t>
  </si>
  <si>
    <t xml:space="preserve"> 2024.08.12  </t>
  </si>
  <si>
    <t>Quebec - Longueuil</t>
  </si>
  <si>
    <t>CAD 37.33</t>
  </si>
  <si>
    <t>TXN-2024-000902</t>
  </si>
  <si>
    <t>02/07/2024</t>
  </si>
  <si>
    <t>London-on</t>
  </si>
  <si>
    <t>TXN-2024-000060</t>
  </si>
  <si>
    <t>CUST-0316</t>
  </si>
  <si>
    <t>Sherbrooke, Quebec</t>
  </si>
  <si>
    <t>TXN-2023-000329</t>
  </si>
  <si>
    <t>CUST-0124</t>
  </si>
  <si>
    <t>Surrey-BRITISH COLUMBIA</t>
  </si>
  <si>
    <t>TXN-2023-000097</t>
  </si>
  <si>
    <t>CUST-0152</t>
  </si>
  <si>
    <t>01/25/2023</t>
  </si>
  <si>
    <t>Vancouver, British Columbia</t>
  </si>
  <si>
    <t>TXN-2024-000313</t>
  </si>
  <si>
    <t>CUST-0161</t>
  </si>
  <si>
    <t>Saskatoon-Saskatch3wan</t>
  </si>
  <si>
    <t xml:space="preserve"> 10.57 CAD </t>
  </si>
  <si>
    <t>TXN-2024-000413</t>
  </si>
  <si>
    <t>CUST-0125</t>
  </si>
  <si>
    <t xml:space="preserve"> 01/20/2024  </t>
  </si>
  <si>
    <t>Kelowna / British Columbi</t>
  </si>
  <si>
    <t>â€”</t>
  </si>
  <si>
    <t>TXN-2023-000300</t>
  </si>
  <si>
    <t>CUST-0229</t>
  </si>
  <si>
    <t>25/03/2023</t>
  </si>
  <si>
    <t xml:space="preserve"> Windsor  ONTARIO </t>
  </si>
  <si>
    <t>CAD 19.50</t>
  </si>
  <si>
    <t>TXN-2023-000278</t>
  </si>
  <si>
    <t>7/6/2023</t>
  </si>
  <si>
    <t>Red Deer  Alberta</t>
  </si>
  <si>
    <t>TXN-2024-000925</t>
  </si>
  <si>
    <t>CUST-0028</t>
  </si>
  <si>
    <t>Montreal,qc</t>
  </si>
  <si>
    <t xml:space="preserve"> 11.50 CAD </t>
  </si>
  <si>
    <t>TXN-2024-000602</t>
  </si>
  <si>
    <t>CUST-0217</t>
  </si>
  <si>
    <t>2024.12.09</t>
  </si>
  <si>
    <t>Burnaby,British Columbia</t>
  </si>
  <si>
    <t>TXN-2023-000440</t>
  </si>
  <si>
    <t>CUST-0291</t>
  </si>
  <si>
    <t>2023.01.24</t>
  </si>
  <si>
    <t>Sherbrooke  Quebe</t>
  </si>
  <si>
    <t>TXN-2024-000838</t>
  </si>
  <si>
    <t>CUST-0106</t>
  </si>
  <si>
    <t xml:space="preserve"> 31-May-2024  </t>
  </si>
  <si>
    <t xml:space="preserve"> Sherbrooke  Quebec </t>
  </si>
  <si>
    <t>TXN-2024-000571</t>
  </si>
  <si>
    <t>01/06/2024</t>
  </si>
  <si>
    <t>Windsor (ON)</t>
  </si>
  <si>
    <t>TXN-2024-000880</t>
  </si>
  <si>
    <t>CUST-0260</t>
  </si>
  <si>
    <t>Vancouver (BRITISH COLUMBIA)</t>
  </si>
  <si>
    <t>TXN-2024-000262</t>
  </si>
  <si>
    <t>CUST-0297</t>
  </si>
  <si>
    <t>Brandon  Manitoba</t>
  </si>
  <si>
    <t>17,59</t>
  </si>
  <si>
    <t>CAD 8.19</t>
  </si>
  <si>
    <t>TXN-2023-000579</t>
  </si>
  <si>
    <t>CUST-0149</t>
  </si>
  <si>
    <t>SASKATCHEWAN - Saskatoon</t>
  </si>
  <si>
    <t>TXN-2023-000024</t>
  </si>
  <si>
    <t>Cust-0225</t>
  </si>
  <si>
    <t>Kitchener on</t>
  </si>
  <si>
    <t>CAD 4.36</t>
  </si>
  <si>
    <t>TXN-2023-000031</t>
  </si>
  <si>
    <t>CUST-0237</t>
  </si>
  <si>
    <t>Mississauga Ontari</t>
  </si>
  <si>
    <t>TXN-2024-000618</t>
  </si>
  <si>
    <t xml:space="preserve">CUST-0247 </t>
  </si>
  <si>
    <t>Victoria / BRITISH COLUMBIA</t>
  </si>
  <si>
    <t>10,79</t>
  </si>
  <si>
    <t>3,82</t>
  </si>
  <si>
    <t>TXN-2024-000011</t>
  </si>
  <si>
    <t>CUST-0113</t>
  </si>
  <si>
    <t>Sherbrooke, Quebe</t>
  </si>
  <si>
    <t>91,13</t>
  </si>
  <si>
    <t>TXN-2024-000222</t>
  </si>
  <si>
    <t>CUST-0226</t>
  </si>
  <si>
    <t>09/25/2024</t>
  </si>
  <si>
    <t>Kitchener  ONTARIO</t>
  </si>
  <si>
    <t xml:space="preserve"> 28.04 CAD </t>
  </si>
  <si>
    <t>TXN-2023-000821</t>
  </si>
  <si>
    <t>CUST-0207</t>
  </si>
  <si>
    <t>2023.05.15</t>
  </si>
  <si>
    <t>TXN-2024-000297</t>
  </si>
  <si>
    <t xml:space="preserve">CUST-0153 </t>
  </si>
  <si>
    <t>Toronto,Ontario</t>
  </si>
  <si>
    <t>17,52</t>
  </si>
  <si>
    <t>TXN-2024-000055</t>
  </si>
  <si>
    <t>CUST-0020</t>
  </si>
  <si>
    <t>2024.03.30</t>
  </si>
  <si>
    <t>TXN-2024-000543</t>
  </si>
  <si>
    <t>CUST-0083</t>
  </si>
  <si>
    <t>Surrey, bc</t>
  </si>
  <si>
    <t>TXN-2024-000210</t>
  </si>
  <si>
    <t>CUST-0230</t>
  </si>
  <si>
    <t>Saskatoon / Saskatchewan</t>
  </si>
  <si>
    <t>TXN-2023-000605</t>
  </si>
  <si>
    <t>CUST-0118</t>
  </si>
  <si>
    <t>Sherbrooke / QC</t>
  </si>
  <si>
    <t>TXN-2023-000693</t>
  </si>
  <si>
    <t xml:space="preserve">CUST-0196 </t>
  </si>
  <si>
    <t xml:space="preserve"> 35.83 CAD </t>
  </si>
  <si>
    <t>TXN-2023-000663</t>
  </si>
  <si>
    <t>CUST-0267</t>
  </si>
  <si>
    <t>11/26/2023</t>
  </si>
  <si>
    <t>Toronto (Ontario)</t>
  </si>
  <si>
    <t>TXN-2023-000867</t>
  </si>
  <si>
    <t>CUST-0177</t>
  </si>
  <si>
    <t xml:space="preserve"> Calgary (ALBERTA) </t>
  </si>
  <si>
    <t>CAD 12.10</t>
  </si>
  <si>
    <t xml:space="preserve"> 6.17 CAD </t>
  </si>
  <si>
    <t>TXN-2024-000071</t>
  </si>
  <si>
    <t>CUST-0277</t>
  </si>
  <si>
    <t>06/08/2024</t>
  </si>
  <si>
    <t>London,on</t>
  </si>
  <si>
    <t>TXN-2024-000544</t>
  </si>
  <si>
    <t>CUST-0278</t>
  </si>
  <si>
    <t>01/13/2024</t>
  </si>
  <si>
    <t>Hamilton / ON</t>
  </si>
  <si>
    <t>10,01</t>
  </si>
  <si>
    <t>TXN-2023-000108</t>
  </si>
  <si>
    <t>CUST-0085</t>
  </si>
  <si>
    <t>2023.12.28</t>
  </si>
  <si>
    <t>Montreal QUEBEC</t>
  </si>
  <si>
    <t>TXN-2023-000494</t>
  </si>
  <si>
    <t>CUST-0115</t>
  </si>
  <si>
    <t xml:space="preserve"> Brampton (Ontario) </t>
  </si>
  <si>
    <t>6,79</t>
  </si>
  <si>
    <t>TXN-2023-000591</t>
  </si>
  <si>
    <t>CUST-0133</t>
  </si>
  <si>
    <t>2023.06.02</t>
  </si>
  <si>
    <t>Vancouver, BritishColumbia</t>
  </si>
  <si>
    <t>TXN-2023-000742</t>
  </si>
  <si>
    <t xml:space="preserve">CUST-0083 </t>
  </si>
  <si>
    <t>2023.05.20</t>
  </si>
  <si>
    <t>Ontario - Kitchener</t>
  </si>
  <si>
    <t>TXN-2023-000293</t>
  </si>
  <si>
    <t>CUST-0024</t>
  </si>
  <si>
    <t>05/31/2023</t>
  </si>
  <si>
    <t>Longueuil, Quebec</t>
  </si>
  <si>
    <t>TXN-2023-000290</t>
  </si>
  <si>
    <t xml:space="preserve">CUST-0060 </t>
  </si>
  <si>
    <t>Vaughan  ON</t>
  </si>
  <si>
    <t>6,28</t>
  </si>
  <si>
    <t>TXN-2024-000653</t>
  </si>
  <si>
    <t>CUST-0041</t>
  </si>
  <si>
    <t>Quebec City (Quebec)</t>
  </si>
  <si>
    <t>TXN-2023-000040</t>
  </si>
  <si>
    <t>Ottawa (Ontario)</t>
  </si>
  <si>
    <t>TXN-2023-000590</t>
  </si>
  <si>
    <t>CUST-0294</t>
  </si>
  <si>
    <t>05/02/2023</t>
  </si>
  <si>
    <t>Montreal-Quebec</t>
  </si>
  <si>
    <t>TXN-2024-000308</t>
  </si>
  <si>
    <t>CUST-0194</t>
  </si>
  <si>
    <t>Toronto / Ontari</t>
  </si>
  <si>
    <t>CAD 147.91</t>
  </si>
  <si>
    <t>TXN-2023-000680</t>
  </si>
  <si>
    <t>2023.10.21</t>
  </si>
  <si>
    <t>TXN-2023-000067</t>
  </si>
  <si>
    <t>CUST-0128</t>
  </si>
  <si>
    <t>Calgary  Albert</t>
  </si>
  <si>
    <t>TXN-2023-000276</t>
  </si>
  <si>
    <t>CUST-0119</t>
  </si>
  <si>
    <t>10/05/2023</t>
  </si>
  <si>
    <t>Calgary-Albert</t>
  </si>
  <si>
    <t>CAD 29.34</t>
  </si>
  <si>
    <t>TXN-2023-000068</t>
  </si>
  <si>
    <t>Vaughan  Ontari</t>
  </si>
  <si>
    <t>TXN-2023-000319</t>
  </si>
  <si>
    <t xml:space="preserve">CUST-0317 </t>
  </si>
  <si>
    <t>London, ON</t>
  </si>
  <si>
    <t>90,98</t>
  </si>
  <si>
    <t>TXN-2023-000549</t>
  </si>
  <si>
    <t>CUST-0220</t>
  </si>
  <si>
    <t>2023.12.03</t>
  </si>
  <si>
    <t>Kitchener-on</t>
  </si>
  <si>
    <t>TXN-2024-000592</t>
  </si>
  <si>
    <t>cust-0111</t>
  </si>
  <si>
    <t>2024.06.20</t>
  </si>
  <si>
    <t xml:space="preserve">MALE </t>
  </si>
  <si>
    <t xml:space="preserve"> Hamilton  Ontari</t>
  </si>
  <si>
    <t>TXN-2023-000715</t>
  </si>
  <si>
    <t>London / Ontario</t>
  </si>
  <si>
    <t>TXN-2023-000754</t>
  </si>
  <si>
    <t>CUST-0172</t>
  </si>
  <si>
    <t>Sydney (Nova Scoti)</t>
  </si>
  <si>
    <t>79,79</t>
  </si>
  <si>
    <t>TXN-2023-000328</t>
  </si>
  <si>
    <t>CUST-0301</t>
  </si>
  <si>
    <t>Calgary (AB)</t>
  </si>
  <si>
    <t>114,80</t>
  </si>
  <si>
    <t>TXN-2024-000383</t>
  </si>
  <si>
    <t>London ON</t>
  </si>
  <si>
    <t>TXN-2023-000452</t>
  </si>
  <si>
    <t>09/12/2023</t>
  </si>
  <si>
    <t>Saskatoon  SK</t>
  </si>
  <si>
    <t>TXN-2024-000523</t>
  </si>
  <si>
    <t>CUST-0269</t>
  </si>
  <si>
    <t>London Ontario</t>
  </si>
  <si>
    <t>29,37</t>
  </si>
  <si>
    <t>TXN-2023-000219</t>
  </si>
  <si>
    <t>CUST-0104</t>
  </si>
  <si>
    <t>26/05/2023</t>
  </si>
  <si>
    <t>TXN-2023-000788</t>
  </si>
  <si>
    <t>CUST-0065</t>
  </si>
  <si>
    <t>Quebec City, Quebec</t>
  </si>
  <si>
    <t>CAD 15.61</t>
  </si>
  <si>
    <t>TXN-2024-000437</t>
  </si>
  <si>
    <t>CUST-0120</t>
  </si>
  <si>
    <t>Red Deer / Alberta</t>
  </si>
  <si>
    <t>TXN-2023-000765</t>
  </si>
  <si>
    <t>CUST-0165</t>
  </si>
  <si>
    <t>21/04/2023</t>
  </si>
  <si>
    <t>Quebec - Sherbrooke</t>
  </si>
  <si>
    <t>CAD 11.22</t>
  </si>
  <si>
    <t>TXN-2024-000089</t>
  </si>
  <si>
    <t>CUST-0195</t>
  </si>
  <si>
    <t xml:space="preserve"> Quebe - Longueuil </t>
  </si>
  <si>
    <t>TXN-2023-000064</t>
  </si>
  <si>
    <t>CUST-0076</t>
  </si>
  <si>
    <t>Quebec City QUEBEC</t>
  </si>
  <si>
    <t>TXN-2024-000827</t>
  </si>
  <si>
    <t>CUST-0256</t>
  </si>
  <si>
    <t>Vaughan, Ontario</t>
  </si>
  <si>
    <t>TXN-2024-000717</t>
  </si>
  <si>
    <t>CUST-0068</t>
  </si>
  <si>
    <t>Richmond / BritishColumbia</t>
  </si>
  <si>
    <t>TXN-2024-000352</t>
  </si>
  <si>
    <t>CUST-0006</t>
  </si>
  <si>
    <t>04/24/2024</t>
  </si>
  <si>
    <t>Kitchener / Ontario</t>
  </si>
  <si>
    <t xml:space="preserve"> 21.22 CAD </t>
  </si>
  <si>
    <t>TXN-2023-000937</t>
  </si>
  <si>
    <t>CUST-0276</t>
  </si>
  <si>
    <t>Surrey,British Columbia</t>
  </si>
  <si>
    <t>TXN-2024-000257</t>
  </si>
  <si>
    <t>CUST-0188</t>
  </si>
  <si>
    <t>04/03/2024</t>
  </si>
  <si>
    <t>Laval, Quebec</t>
  </si>
  <si>
    <t>TXN-2024-000636</t>
  </si>
  <si>
    <t>CUST-0185</t>
  </si>
  <si>
    <t>10/24/2024</t>
  </si>
  <si>
    <t>Laval QUEBEC</t>
  </si>
  <si>
    <t>TXN-2023-000645</t>
  </si>
  <si>
    <t>CUST-0227</t>
  </si>
  <si>
    <t>05/04/2023</t>
  </si>
  <si>
    <t>St. John's, NL</t>
  </si>
  <si>
    <t>TXN-2024-000555</t>
  </si>
  <si>
    <t>CUST-0315</t>
  </si>
  <si>
    <t>??</t>
  </si>
  <si>
    <t>Lethbridge Albert</t>
  </si>
  <si>
    <t>Txn-2024-000125</t>
  </si>
  <si>
    <t>CUST-0197</t>
  </si>
  <si>
    <t>Brampton  Ontario</t>
  </si>
  <si>
    <t>TXN-2023-000169</t>
  </si>
  <si>
    <t>CUST-0180</t>
  </si>
  <si>
    <t>Edmonton / Alberta</t>
  </si>
  <si>
    <t>CAD 17.11</t>
  </si>
  <si>
    <t>TXN-2024-000918</t>
  </si>
  <si>
    <t>CUST-0160</t>
  </si>
  <si>
    <t>05/07/2024</t>
  </si>
  <si>
    <t>Markham,Ontario</t>
  </si>
  <si>
    <t xml:space="preserve"> 25.44 CAD </t>
  </si>
  <si>
    <t>TXN-2023-000529</t>
  </si>
  <si>
    <t>CUST-0286</t>
  </si>
  <si>
    <t>Sydney / NovaScotia</t>
  </si>
  <si>
    <t>TXN-2024-000824</t>
  </si>
  <si>
    <t>CUST-0091</t>
  </si>
  <si>
    <t xml:space="preserve"> Sherbrooke,Quebec </t>
  </si>
  <si>
    <t>CAD 18.58</t>
  </si>
  <si>
    <t>TXN-2023-000407</t>
  </si>
  <si>
    <t>CUST-0060</t>
  </si>
  <si>
    <t>Ottawa, ON</t>
  </si>
  <si>
    <t>31,64</t>
  </si>
  <si>
    <t>TXN-2024-000817</t>
  </si>
  <si>
    <t>CUST-0056</t>
  </si>
  <si>
    <t>2024.02.23</t>
  </si>
  <si>
    <t>Mississauga on</t>
  </si>
  <si>
    <t>CAD 15.13</t>
  </si>
  <si>
    <t>TXN-2024-000087</t>
  </si>
  <si>
    <t>CUST-0139</t>
  </si>
  <si>
    <t>Sherbrooke (Quebe)</t>
  </si>
  <si>
    <t>TXN-2024-000433</t>
  </si>
  <si>
    <t>CUST-0045</t>
  </si>
  <si>
    <t xml:space="preserve"> Lethbridge / ALBERTA </t>
  </si>
  <si>
    <t>38,23</t>
  </si>
  <si>
    <t>TXN-2023-000185</t>
  </si>
  <si>
    <t>CUST-0262</t>
  </si>
  <si>
    <t xml:space="preserve"> 2023.06.24  </t>
  </si>
  <si>
    <t>Albert - Edmonton</t>
  </si>
  <si>
    <t>TXN-2024-000251</t>
  </si>
  <si>
    <t>CUST-0255</t>
  </si>
  <si>
    <t>Gatineau  Qu3b3c</t>
  </si>
  <si>
    <t>TXN-2024-000535</t>
  </si>
  <si>
    <t>CUST-0064</t>
  </si>
  <si>
    <t>Vancouver, BRITISH COLUMBIA</t>
  </si>
  <si>
    <t>TXN-2023-000295</t>
  </si>
  <si>
    <t>CUST-0196</t>
  </si>
  <si>
    <t>Kitchener-ON</t>
  </si>
  <si>
    <t xml:space="preserve"> 16.24 CAD </t>
  </si>
  <si>
    <t>TXN-2024-000893</t>
  </si>
  <si>
    <t>CUST-0238</t>
  </si>
  <si>
    <t>Markham (on)</t>
  </si>
  <si>
    <t>TXN-2024-000426</t>
  </si>
  <si>
    <t>CUST-0232</t>
  </si>
  <si>
    <t>Toronto-ON</t>
  </si>
  <si>
    <t>TXN-2023-000714</t>
  </si>
  <si>
    <t>CUST-0199</t>
  </si>
  <si>
    <t>2023.08.11</t>
  </si>
  <si>
    <t xml:space="preserve"> Calgary-ab </t>
  </si>
  <si>
    <t>TXN-2024-000261</t>
  </si>
  <si>
    <t>CUST-0057</t>
  </si>
  <si>
    <t>2024.05.07</t>
  </si>
  <si>
    <t>Burnaby, British Columbi</t>
  </si>
  <si>
    <t>CAD 25.58</t>
  </si>
  <si>
    <t>CAD 7.01</t>
  </si>
  <si>
    <t>TXN-2023-000238</t>
  </si>
  <si>
    <t>CUST-0066</t>
  </si>
  <si>
    <t>TXN-2023-000560</t>
  </si>
  <si>
    <t>Sherbrooke (qc)</t>
  </si>
  <si>
    <t>TXN-2024-000584</t>
  </si>
  <si>
    <t>CUST-0135</t>
  </si>
  <si>
    <t>Vaughan Ontario</t>
  </si>
  <si>
    <t>TXN-2024-000446</t>
  </si>
  <si>
    <t>CUST-0288</t>
  </si>
  <si>
    <t>26/01/2024</t>
  </si>
  <si>
    <t xml:space="preserve"> Regina (SASKATCHEWAN) </t>
  </si>
  <si>
    <t>TXN-2024-000868</t>
  </si>
  <si>
    <t>CUST-0189</t>
  </si>
  <si>
    <t>14/01/2024</t>
  </si>
  <si>
    <t>Lethbridge AB</t>
  </si>
  <si>
    <t>TXN-2023-000801</t>
  </si>
  <si>
    <t>CUST-0303</t>
  </si>
  <si>
    <t>Victoria-British Columbia</t>
  </si>
  <si>
    <t>TXN-2023-000600</t>
  </si>
  <si>
    <t>CUST-0296</t>
  </si>
  <si>
    <t>2023.10.13</t>
  </si>
  <si>
    <t>Montreal / QUEBEC</t>
  </si>
  <si>
    <t xml:space="preserve"> 6.15 CAD </t>
  </si>
  <si>
    <t>TXN-2024-000850</t>
  </si>
  <si>
    <t xml:space="preserve">CUST-0100 </t>
  </si>
  <si>
    <t>08/07/2024</t>
  </si>
  <si>
    <t>Mississauga-Ontario</t>
  </si>
  <si>
    <t xml:space="preserve"> 28.53 CAD </t>
  </si>
  <si>
    <t>TXN-2024-000266</t>
  </si>
  <si>
    <t>Vaughan-Ontario</t>
  </si>
  <si>
    <t>TXN-2023-000473</t>
  </si>
  <si>
    <t>cust-0138</t>
  </si>
  <si>
    <t xml:space="preserve">male </t>
  </si>
  <si>
    <t xml:space="preserve"> Halifax (Nova Scoti)</t>
  </si>
  <si>
    <t xml:space="preserve"> 14.16 CAD </t>
  </si>
  <si>
    <t>CAD 6.68</t>
  </si>
  <si>
    <t>TXN-2023-000530</t>
  </si>
  <si>
    <t>CUST-0187</t>
  </si>
  <si>
    <t>04/07/2023</t>
  </si>
  <si>
    <t>Markham  Ontario</t>
  </si>
  <si>
    <t>CAD 8.47</t>
  </si>
  <si>
    <t>TXN-2023-000056</t>
  </si>
  <si>
    <t xml:space="preserve"> Gatineau, Quebec </t>
  </si>
  <si>
    <t>TXN-2024-000121</t>
  </si>
  <si>
    <t>CUST-0242</t>
  </si>
  <si>
    <t>TXN-2024-000216</t>
  </si>
  <si>
    <t>CUST-0192</t>
  </si>
  <si>
    <t xml:space="preserve"> Vancouver British Columbia </t>
  </si>
  <si>
    <t>TXN-2023-000026</t>
  </si>
  <si>
    <t>CUST-0035</t>
  </si>
  <si>
    <t>06/14/2023</t>
  </si>
  <si>
    <t>Toronto / Ontario</t>
  </si>
  <si>
    <t>TXN-2024-000073</t>
  </si>
  <si>
    <t xml:space="preserve">CUST-0106 </t>
  </si>
  <si>
    <t>Kitchener,Ontari</t>
  </si>
  <si>
    <t>TXN-2024-000045</t>
  </si>
  <si>
    <t>CUST-0142</t>
  </si>
  <si>
    <t>Ottawa-Ontari</t>
  </si>
  <si>
    <t>10,60</t>
  </si>
  <si>
    <t>TXN-2024-000248</t>
  </si>
  <si>
    <t xml:space="preserve">CUST-0239 </t>
  </si>
  <si>
    <t>03/04/2024</t>
  </si>
  <si>
    <t>Red Deer-ab</t>
  </si>
  <si>
    <t>TXN-2024-000722</t>
  </si>
  <si>
    <t>CUST-0314</t>
  </si>
  <si>
    <t>2024.04.21</t>
  </si>
  <si>
    <t>Longueuil, qc</t>
  </si>
  <si>
    <t>TXN-2023-000282</t>
  </si>
  <si>
    <t>Vaughan-0n</t>
  </si>
  <si>
    <t>TXN-2024-000894</t>
  </si>
  <si>
    <t>Laval / QUEBEC</t>
  </si>
  <si>
    <t>TXN-2024-000915</t>
  </si>
  <si>
    <t>Mississauga ONTARIO</t>
  </si>
  <si>
    <t>TXN-2024-000811</t>
  </si>
  <si>
    <t>05/17/2024</t>
  </si>
  <si>
    <t>Sydney, NS</t>
  </si>
  <si>
    <t>CAD 10.09</t>
  </si>
  <si>
    <t>CAD 3.81</t>
  </si>
  <si>
    <t>TXN-2023-000245</t>
  </si>
  <si>
    <t>CUST-0153</t>
  </si>
  <si>
    <t>Sherbrooke  qc</t>
  </si>
  <si>
    <t xml:space="preserve"> 4.32 CAD </t>
  </si>
  <si>
    <t>TXN-2023-000823</t>
  </si>
  <si>
    <t>CUST-0274</t>
  </si>
  <si>
    <t>St. John's (Newfoundland and Labrado)</t>
  </si>
  <si>
    <t xml:space="preserve"> 2.72 CAD </t>
  </si>
  <si>
    <t>TXN-2023-000322</t>
  </si>
  <si>
    <t>CUST-0318</t>
  </si>
  <si>
    <t>03/14/2023</t>
  </si>
  <si>
    <t>Brampton,Ontari</t>
  </si>
  <si>
    <t xml:space="preserve"> 332.85 CAD </t>
  </si>
  <si>
    <t>TXN-2023-000644</t>
  </si>
  <si>
    <t>CUST-0317</t>
  </si>
  <si>
    <t>Ottawa / Ontario</t>
  </si>
  <si>
    <t>TXN-2023-000159</t>
  </si>
  <si>
    <t>Kelowna  BC</t>
  </si>
  <si>
    <t xml:space="preserve"> 18.81 CAD </t>
  </si>
  <si>
    <t xml:space="preserve"> 9.07 CAD </t>
  </si>
  <si>
    <t>TXN-2024-000029</t>
  </si>
  <si>
    <t xml:space="preserve"> 3.62 CAD </t>
  </si>
  <si>
    <t>TXN-2023-000430</t>
  </si>
  <si>
    <t xml:space="preserve">CUST-0222 </t>
  </si>
  <si>
    <t>Quebec City,QUEBEC</t>
  </si>
  <si>
    <t>TXN-2024-000942</t>
  </si>
  <si>
    <t>05/08/2024</t>
  </si>
  <si>
    <t xml:space="preserve"> Brandon Manitoba </t>
  </si>
  <si>
    <t>9,14</t>
  </si>
  <si>
    <t>TXN-2024-000463</t>
  </si>
  <si>
    <t>CUST-0138</t>
  </si>
  <si>
    <t>22/11/2024</t>
  </si>
  <si>
    <t>QC - Laval</t>
  </si>
  <si>
    <t>CAD 53.52</t>
  </si>
  <si>
    <t>CAD 32.19</t>
  </si>
  <si>
    <t>TXN-2024-000310</t>
  </si>
  <si>
    <t>Cust-0125</t>
  </si>
  <si>
    <t xml:space="preserve"> Quebec - Sherbrooke </t>
  </si>
  <si>
    <t>TXN-2023-000698</t>
  </si>
  <si>
    <t>CUST-0205</t>
  </si>
  <si>
    <t>Brandon-Manitob</t>
  </si>
  <si>
    <t>TXN-2024-000061</t>
  </si>
  <si>
    <t>CUST-0108</t>
  </si>
  <si>
    <t>Hamilton  ONTARIO</t>
  </si>
  <si>
    <t>TXN-2023-000885</t>
  </si>
  <si>
    <t>CUST-0100</t>
  </si>
  <si>
    <t>09/23/2023</t>
  </si>
  <si>
    <t>Ontario - Vaughan</t>
  </si>
  <si>
    <t>TXN-2023-000596</t>
  </si>
  <si>
    <t xml:space="preserve"> 2023-01-28  </t>
  </si>
  <si>
    <t>Longueuil-Quebec</t>
  </si>
  <si>
    <t>CAD 92.74</t>
  </si>
  <si>
    <t>TXN-2023-000768</t>
  </si>
  <si>
    <t>CUST-0146</t>
  </si>
  <si>
    <t>12/07/2023</t>
  </si>
  <si>
    <t>Quebec - Laval</t>
  </si>
  <si>
    <t>TXN-2024-000650</t>
  </si>
  <si>
    <t>CUST-0241</t>
  </si>
  <si>
    <t>Red Deer, Alberta</t>
  </si>
  <si>
    <t xml:space="preserve"> 11.07 CAD </t>
  </si>
  <si>
    <t>CAD 4.05</t>
  </si>
  <si>
    <t>TXN-2024-000651</t>
  </si>
  <si>
    <t>CUST-0306</t>
  </si>
  <si>
    <t>Gatineau,qc</t>
  </si>
  <si>
    <t>TXN-2023-000866</t>
  </si>
  <si>
    <t xml:space="preserve"> Kelowna, British Columbia </t>
  </si>
  <si>
    <t>34,31</t>
  </si>
  <si>
    <t>TXN-2024-000669</t>
  </si>
  <si>
    <t xml:space="preserve"> Red Deer-Alberta </t>
  </si>
  <si>
    <t>TXN-2023-000299</t>
  </si>
  <si>
    <t>21/03/2023</t>
  </si>
  <si>
    <t>Montreal QC</t>
  </si>
  <si>
    <t>CAD 13.18</t>
  </si>
  <si>
    <t>TXN-2024-000690</t>
  </si>
  <si>
    <t>10/09/2024</t>
  </si>
  <si>
    <t>Laval (qc)</t>
  </si>
  <si>
    <t>TXN-2023-000315</t>
  </si>
  <si>
    <t>CUST-0292</t>
  </si>
  <si>
    <t>Quebec City  Quebec</t>
  </si>
  <si>
    <t>TXN-2024-000311</t>
  </si>
  <si>
    <t>CUST-0239</t>
  </si>
  <si>
    <t>12/23/2024</t>
  </si>
  <si>
    <t xml:space="preserve"> Quebec - Laval </t>
  </si>
  <si>
    <t>TXN-2023-000362</t>
  </si>
  <si>
    <t>CUST-0313</t>
  </si>
  <si>
    <t>2023.11.29</t>
  </si>
  <si>
    <t>British Columbia - Victoria</t>
  </si>
  <si>
    <t>TXN-2023-000480</t>
  </si>
  <si>
    <t>CUST-0251</t>
  </si>
  <si>
    <t>25/02/2023</t>
  </si>
  <si>
    <t xml:space="preserve"> BritishColumbia - Surrey </t>
  </si>
  <si>
    <t>TXN-2023-000111</t>
  </si>
  <si>
    <t xml:space="preserve"> Brampton, Ontario </t>
  </si>
  <si>
    <t>TXN-2023-000487</t>
  </si>
  <si>
    <t>Brandon (Manit0ba)</t>
  </si>
  <si>
    <t>TXN-2023-000364</t>
  </si>
  <si>
    <t xml:space="preserve">CUST-0157 </t>
  </si>
  <si>
    <t>26/08/2023</t>
  </si>
  <si>
    <t>TXN-2024-000255</t>
  </si>
  <si>
    <t>CUST-0148</t>
  </si>
  <si>
    <t>London (Ontari)</t>
  </si>
  <si>
    <t>TXN-2024-000260</t>
  </si>
  <si>
    <t>CUST-0273</t>
  </si>
  <si>
    <t>Victoria, BRITISH COLUMBIA</t>
  </si>
  <si>
    <t>TXN-2024-000803</t>
  </si>
  <si>
    <t>CUST-0254</t>
  </si>
  <si>
    <t>Victoria  British Columbia</t>
  </si>
  <si>
    <t>90,23</t>
  </si>
  <si>
    <t>CAD 21.74</t>
  </si>
  <si>
    <t>TXN-2023-000678</t>
  </si>
  <si>
    <t>CUST-0270</t>
  </si>
  <si>
    <t xml:space="preserve"> 2023-09-03  </t>
  </si>
  <si>
    <t>Sherbrooke qc</t>
  </si>
  <si>
    <t>TXN-2023-000495</t>
  </si>
  <si>
    <t>Windsor Ontari</t>
  </si>
  <si>
    <t>TXN-2023-000671</t>
  </si>
  <si>
    <t>CUST-0096</t>
  </si>
  <si>
    <t>03/11/2023</t>
  </si>
  <si>
    <t>Brampton-Ontario</t>
  </si>
  <si>
    <t>CAD 37.47</t>
  </si>
  <si>
    <t>TXN-2024-000378</t>
  </si>
  <si>
    <t>2024.02.19</t>
  </si>
  <si>
    <t>TXN-2023-000527</t>
  </si>
  <si>
    <t>Gatineau  QC</t>
  </si>
  <si>
    <t>CAD 139.51</t>
  </si>
  <si>
    <t xml:space="preserve"> 81.01 CAD </t>
  </si>
  <si>
    <t>TXN-2023-000846</t>
  </si>
  <si>
    <t>CUST-0167</t>
  </si>
  <si>
    <t>21/07/2023</t>
  </si>
  <si>
    <t>Victoria bc</t>
  </si>
  <si>
    <t>TXN-2024-000138</t>
  </si>
  <si>
    <t>Fredericton, New Brunswick</t>
  </si>
  <si>
    <t>4,64</t>
  </si>
  <si>
    <t>TXN-2023-000356</t>
  </si>
  <si>
    <t>ON - Markham</t>
  </si>
  <si>
    <t>0,45</t>
  </si>
  <si>
    <t>TXN-2023-000366</t>
  </si>
  <si>
    <t>CUST-0089</t>
  </si>
  <si>
    <t>Richmond-bc</t>
  </si>
  <si>
    <t xml:space="preserve"> 6.96 CAD </t>
  </si>
  <si>
    <t>TXN-2023-000943</t>
  </si>
  <si>
    <t>2023.09.27</t>
  </si>
  <si>
    <t>Windsor / ONTARIO</t>
  </si>
  <si>
    <t xml:space="preserve"> 10.91 CAD </t>
  </si>
  <si>
    <t>TXN-2023-000750</t>
  </si>
  <si>
    <t>CUST-0171</t>
  </si>
  <si>
    <t>2023.09.23</t>
  </si>
  <si>
    <t>Sydney / NS</t>
  </si>
  <si>
    <t>CAD 10.40</t>
  </si>
  <si>
    <t>TXN-2023-000949</t>
  </si>
  <si>
    <t>9/16/2023</t>
  </si>
  <si>
    <t>Burnaby / BRITISH COLUMBIA</t>
  </si>
  <si>
    <t xml:space="preserve"> 6.02 CAD </t>
  </si>
  <si>
    <t>TXN-2023-000830</t>
  </si>
  <si>
    <t>7/12/2023</t>
  </si>
  <si>
    <t xml:space="preserve"> Gatineau-QC </t>
  </si>
  <si>
    <t>TXN-2023-000657</t>
  </si>
  <si>
    <t>Mississauga  ON</t>
  </si>
  <si>
    <t xml:space="preserve"> 30.68 CAD </t>
  </si>
  <si>
    <t>TXN-2023-000200</t>
  </si>
  <si>
    <t>Sydney-Nova Scoti</t>
  </si>
  <si>
    <t>TXN-2024-000214</t>
  </si>
  <si>
    <t>CUST-0001</t>
  </si>
  <si>
    <t>26/12/2024</t>
  </si>
  <si>
    <t>Hamilton on</t>
  </si>
  <si>
    <t xml:space="preserve"> 8.98 CAD </t>
  </si>
  <si>
    <t>CAD 3.89</t>
  </si>
  <si>
    <t>TXN-2023-000409</t>
  </si>
  <si>
    <t>09/04/2023</t>
  </si>
  <si>
    <t>TXN-2024-000333</t>
  </si>
  <si>
    <t>09/07/2024</t>
  </si>
  <si>
    <t>Brandon (MB)</t>
  </si>
  <si>
    <t>TXN-2023-000209</t>
  </si>
  <si>
    <t>08/04/2023</t>
  </si>
  <si>
    <t>London  Ontario</t>
  </si>
  <si>
    <t>TXN-2024-000614</t>
  </si>
  <si>
    <t>CUST-0116</t>
  </si>
  <si>
    <t>TXN-2023-000079</t>
  </si>
  <si>
    <t>Laval qc</t>
  </si>
  <si>
    <t>TXN-2023-000030</t>
  </si>
  <si>
    <t>2023.09.13</t>
  </si>
  <si>
    <t>CAD 51.30</t>
  </si>
  <si>
    <t>TXN-2023-000536</t>
  </si>
  <si>
    <t>CUST-0284</t>
  </si>
  <si>
    <t>2023.10.06</t>
  </si>
  <si>
    <t>Fredericton-NewBrunswick</t>
  </si>
  <si>
    <t>Txn-2023-000696</t>
  </si>
  <si>
    <t xml:space="preserve"> Kitchener,Ontari </t>
  </si>
  <si>
    <t>TXN-2024-000558</t>
  </si>
  <si>
    <t>9/9/2024</t>
  </si>
  <si>
    <t>Kelowna British Columbi</t>
  </si>
  <si>
    <t>TXN-2024-000837</t>
  </si>
  <si>
    <t>CUST-0092</t>
  </si>
  <si>
    <t>Toronto  ONTARIO</t>
  </si>
  <si>
    <t>11,52</t>
  </si>
  <si>
    <t>TXN-2024-000597</t>
  </si>
  <si>
    <t>CUST-0268</t>
  </si>
  <si>
    <t>05/13/2024</t>
  </si>
  <si>
    <t>Halifax,Nova Scotia</t>
  </si>
  <si>
    <t>TXN-2023-000166</t>
  </si>
  <si>
    <t>CUST-0050</t>
  </si>
  <si>
    <t>31/07/2023</t>
  </si>
  <si>
    <t>TXN-2023-000919</t>
  </si>
  <si>
    <t>CUST-0244</t>
  </si>
  <si>
    <t>18/08/2023</t>
  </si>
  <si>
    <t xml:space="preserve"> Edmonton  Alberta </t>
  </si>
  <si>
    <t>TXN-2023-000496</t>
  </si>
  <si>
    <t>CUST-0062</t>
  </si>
  <si>
    <t>2023.02.12</t>
  </si>
  <si>
    <t>Brampton, ONTARIO</t>
  </si>
  <si>
    <t>CAD 13.14</t>
  </si>
  <si>
    <t>TXN-2024-000825</t>
  </si>
  <si>
    <t>CUST-0250</t>
  </si>
  <si>
    <t>5/14/2024</t>
  </si>
  <si>
    <t>TXN-2023-000066</t>
  </si>
  <si>
    <t>CUST-0003</t>
  </si>
  <si>
    <t>Edmonton  ab</t>
  </si>
  <si>
    <t>53,02</t>
  </si>
  <si>
    <t>TXN-2024-000142</t>
  </si>
  <si>
    <t>2024.06.07</t>
  </si>
  <si>
    <t>Moncton-New Brunswic</t>
  </si>
  <si>
    <t>133,74</t>
  </si>
  <si>
    <t>TXN-2024-000926</t>
  </si>
  <si>
    <t>CUST-0079</t>
  </si>
  <si>
    <t>2024.08.20</t>
  </si>
  <si>
    <t>Victoria British Columbi</t>
  </si>
  <si>
    <t xml:space="preserve"> 2.90 CAD </t>
  </si>
  <si>
    <t>TXN-2023-000828</t>
  </si>
  <si>
    <t>CUST-0208</t>
  </si>
  <si>
    <t>24/03/2023</t>
  </si>
  <si>
    <t>Laval-Quebec</t>
  </si>
  <si>
    <t xml:space="preserve"> 9.37 CAD </t>
  </si>
  <si>
    <t>TXN-2024-000656</t>
  </si>
  <si>
    <t>CUST-0026</t>
  </si>
  <si>
    <t>25/06/2024</t>
  </si>
  <si>
    <t>TXN-2023-000332</t>
  </si>
  <si>
    <t>CUST-0117</t>
  </si>
  <si>
    <t>Markham-ONTARIO</t>
  </si>
  <si>
    <t>TXN-2024-000665</t>
  </si>
  <si>
    <t>CUST-0086</t>
  </si>
  <si>
    <t>2024.12.23</t>
  </si>
  <si>
    <t>TXN-2024-000250</t>
  </si>
  <si>
    <t>12/12/2024</t>
  </si>
  <si>
    <t>TXN-2024-000908</t>
  </si>
  <si>
    <t>Toronto ONTARIO</t>
  </si>
  <si>
    <t>TXN-2023-000709</t>
  </si>
  <si>
    <t>Kelowna,British Columbi</t>
  </si>
  <si>
    <t>TXN-2024-000306</t>
  </si>
  <si>
    <t>Richmond / BRITISH COLUMBIA</t>
  </si>
  <si>
    <t>TXN-2024-000735</t>
  </si>
  <si>
    <t>08/02/2024</t>
  </si>
  <si>
    <t>Toronto, on</t>
  </si>
  <si>
    <t>CAD 14.10</t>
  </si>
  <si>
    <t>TXN-2024-000091</t>
  </si>
  <si>
    <t>Cust-0265</t>
  </si>
  <si>
    <t>CAD 14.81</t>
  </si>
  <si>
    <t>TXN-2023-000050</t>
  </si>
  <si>
    <t>CUST-0013</t>
  </si>
  <si>
    <t>Quebec City,Quebe</t>
  </si>
  <si>
    <t>TXN-2023-000897</t>
  </si>
  <si>
    <t>CUST-0298</t>
  </si>
  <si>
    <t>15/11/2023</t>
  </si>
  <si>
    <t>Laval-QUEBEC</t>
  </si>
  <si>
    <t>TXN-2023-000003</t>
  </si>
  <si>
    <t>2023.11.12</t>
  </si>
  <si>
    <t>Quebec City,Quebec</t>
  </si>
  <si>
    <t xml:space="preserve"> 3.61 CAD </t>
  </si>
  <si>
    <t>TXN-2024-000545</t>
  </si>
  <si>
    <t>CUST-0200</t>
  </si>
  <si>
    <t>2024.09.10</t>
  </si>
  <si>
    <t>TXN-2023-000351</t>
  </si>
  <si>
    <t>2023.09.17</t>
  </si>
  <si>
    <t>Ontari - London</t>
  </si>
  <si>
    <t>TXN-2024-000905</t>
  </si>
  <si>
    <t>CUST-0176</t>
  </si>
  <si>
    <t xml:space="preserve"> Victoria BC </t>
  </si>
  <si>
    <t>16,75</t>
  </si>
  <si>
    <t>TXN-2024-000537</t>
  </si>
  <si>
    <t>TXN-2023-000345</t>
  </si>
  <si>
    <t>12/25/2023</t>
  </si>
  <si>
    <t>Windsor Ontario</t>
  </si>
  <si>
    <t xml:space="preserve"> 92.73 CAD </t>
  </si>
  <si>
    <t>TXN-2024-000869</t>
  </si>
  <si>
    <t>cust-0148</t>
  </si>
  <si>
    <t xml:space="preserve"> 2024-08-09  </t>
  </si>
  <si>
    <t xml:space="preserve">Male </t>
  </si>
  <si>
    <t xml:space="preserve"> Lethbridge Alberta</t>
  </si>
  <si>
    <t>TXN-2024-000482</t>
  </si>
  <si>
    <t>Mississauga / Ontario</t>
  </si>
  <si>
    <t>TXN-2024-000576</t>
  </si>
  <si>
    <t xml:space="preserve">CUST-0042 </t>
  </si>
  <si>
    <t>13/10/2024</t>
  </si>
  <si>
    <t>Quebec City Quebec</t>
  </si>
  <si>
    <t>TXN-2024-000034</t>
  </si>
  <si>
    <t>Cust-0147</t>
  </si>
  <si>
    <t>Laval / qc</t>
  </si>
  <si>
    <t>TXN-2024-000032</t>
  </si>
  <si>
    <t>CUST-0008</t>
  </si>
  <si>
    <t>02/05/2024</t>
  </si>
  <si>
    <t>Vancouver  BRITISH COLUMBIA</t>
  </si>
  <si>
    <t>CAD 9.65</t>
  </si>
  <si>
    <t>TXN-2023-000232</t>
  </si>
  <si>
    <t>CUST-0063</t>
  </si>
  <si>
    <t xml:space="preserve"> Markham  on </t>
  </si>
  <si>
    <t>TXN-2023-000874</t>
  </si>
  <si>
    <t xml:space="preserve">CUST-0134 </t>
  </si>
  <si>
    <t>3/13/2023</t>
  </si>
  <si>
    <t>Burnaby, British Columbia</t>
  </si>
  <si>
    <t xml:space="preserve"> 20.09 CAD </t>
  </si>
  <si>
    <t>TXN-2023-000193</t>
  </si>
  <si>
    <t>06/12/2023</t>
  </si>
  <si>
    <t>Ottawa-ONTARIO</t>
  </si>
  <si>
    <t>TXN-2023-000334</t>
  </si>
  <si>
    <t>03/24/2023</t>
  </si>
  <si>
    <t>Quebec City QC</t>
  </si>
  <si>
    <t>TXN-2024-000004</t>
  </si>
  <si>
    <t>CUST-0302</t>
  </si>
  <si>
    <t>CAD 22.16</t>
  </si>
  <si>
    <t>TXN-2024-000205</t>
  </si>
  <si>
    <t>CUST-0247</t>
  </si>
  <si>
    <t>2024.07.04</t>
  </si>
  <si>
    <t>Sydney Nova Scotia</t>
  </si>
  <si>
    <t>TXN-2024-000515</t>
  </si>
  <si>
    <t>CUST-0234</t>
  </si>
  <si>
    <t>11/07/2024</t>
  </si>
  <si>
    <t>Hamilton ON</t>
  </si>
  <si>
    <t>TXN-2023-000800</t>
  </si>
  <si>
    <t>10/20/2023</t>
  </si>
  <si>
    <t xml:space="preserve"> 21.10 CAD </t>
  </si>
  <si>
    <t>TXN-2024-000307</t>
  </si>
  <si>
    <t>TXN-2024-000110</t>
  </si>
  <si>
    <t>CUST-0222</t>
  </si>
  <si>
    <t>2024.04.13</t>
  </si>
  <si>
    <t>Windsor ON</t>
  </si>
  <si>
    <t>CAD 1.93</t>
  </si>
  <si>
    <t>TXN-2023-000431</t>
  </si>
  <si>
    <t>01/09/2023</t>
  </si>
  <si>
    <t>Mississauga-ONTARIO</t>
  </si>
  <si>
    <t>TXN-2023-000078</t>
  </si>
  <si>
    <t>CUST-0168</t>
  </si>
  <si>
    <t>Saskatoon,Saskatchewa</t>
  </si>
  <si>
    <t>TXN-2024-000085</t>
  </si>
  <si>
    <t>London  Ontari</t>
  </si>
  <si>
    <t>TXN-2023-000287</t>
  </si>
  <si>
    <t>CUST-0233</t>
  </si>
  <si>
    <t>Saint John / New Brunswic</t>
  </si>
  <si>
    <t>TXN-2024-000083</t>
  </si>
  <si>
    <t xml:space="preserve"> 09-May-2024  </t>
  </si>
  <si>
    <t>CAD 62.57</t>
  </si>
  <si>
    <t>TXN-2023-000419</t>
  </si>
  <si>
    <t>cust-0291</t>
  </si>
  <si>
    <t xml:space="preserve"> Montreal (qc)</t>
  </si>
  <si>
    <t>TXN-2023-000790</t>
  </si>
  <si>
    <t>CUST-0218</t>
  </si>
  <si>
    <t>TXN-2023-000895</t>
  </si>
  <si>
    <t xml:space="preserve"> Toronto  Ontario </t>
  </si>
  <si>
    <t>11,07</t>
  </si>
  <si>
    <t>TXN-2023-000399</t>
  </si>
  <si>
    <t>Ottawa (ON)</t>
  </si>
  <si>
    <t>CAD 14.12</t>
  </si>
  <si>
    <t>TXN-2023-000324</t>
  </si>
  <si>
    <t>CUST-0017</t>
  </si>
  <si>
    <t>Red Deer  ALBERTA</t>
  </si>
  <si>
    <t>TXN-2023-000520</t>
  </si>
  <si>
    <t>CUST-0082</t>
  </si>
  <si>
    <t xml:space="preserve"> Kelowna  British Columbi </t>
  </si>
  <si>
    <t>TXN-2023-000917</t>
  </si>
  <si>
    <t>CUST-0021</t>
  </si>
  <si>
    <t>11/04/2023</t>
  </si>
  <si>
    <t>Hamilton,ON</t>
  </si>
  <si>
    <t>TXN-2024-000923</t>
  </si>
  <si>
    <t>Lethbridge  ab</t>
  </si>
  <si>
    <t>CAD 0.76</t>
  </si>
  <si>
    <t>TXN-2024-000006</t>
  </si>
  <si>
    <t>Winnipeg Manitoba</t>
  </si>
  <si>
    <t>TXN-2024-000732</t>
  </si>
  <si>
    <t>CUST-0166</t>
  </si>
  <si>
    <t xml:space="preserve"> 2024-06-16  </t>
  </si>
  <si>
    <t>Kitchener / ONTARIO</t>
  </si>
  <si>
    <t>TXN-2024-000466</t>
  </si>
  <si>
    <t>Toronto / on</t>
  </si>
  <si>
    <t>TXN-2024-000098</t>
  </si>
  <si>
    <t>Sherbrooke (Quebec)</t>
  </si>
  <si>
    <t>TXN-2023-000267</t>
  </si>
  <si>
    <t>11/30/2023</t>
  </si>
  <si>
    <t>CAD 53.69</t>
  </si>
  <si>
    <t>28,18</t>
  </si>
  <si>
    <t>TXN-2024-000358</t>
  </si>
  <si>
    <t>09/12/2024</t>
  </si>
  <si>
    <t>Markham, ONTARIO</t>
  </si>
  <si>
    <t>Lethbridge Alberta</t>
  </si>
  <si>
    <t>TXN-2023-000799</t>
  </si>
  <si>
    <t xml:space="preserve">CUST-0249 </t>
  </si>
  <si>
    <t>30/07/2023</t>
  </si>
  <si>
    <t>Winnipeg (Manitob)</t>
  </si>
  <si>
    <t xml:space="preserve"> 4.98 CAD </t>
  </si>
  <si>
    <t>TXN-2024-000381</t>
  </si>
  <si>
    <t>CUST-0033</t>
  </si>
  <si>
    <t>20/02/2024</t>
  </si>
  <si>
    <t>Sherbrooke / Quebe</t>
  </si>
  <si>
    <t>TXN-2024-000632</t>
  </si>
  <si>
    <t>CUST-0121</t>
  </si>
  <si>
    <t>Ottawa-on</t>
  </si>
  <si>
    <t>TXN-2023-000382</t>
  </si>
  <si>
    <t>04/15/2023</t>
  </si>
  <si>
    <t xml:space="preserve"> Gatineau  Quebec </t>
  </si>
  <si>
    <t xml:space="preserve"> 5.53 CAD </t>
  </si>
  <si>
    <t>CAD 2.77</t>
  </si>
  <si>
    <t>TXN-2024-000491</t>
  </si>
  <si>
    <t>CUST-0098</t>
  </si>
  <si>
    <t>Longueuil  Quebec</t>
  </si>
  <si>
    <t>TXN-2023-000119</t>
  </si>
  <si>
    <t>Laval Quebe</t>
  </si>
  <si>
    <t>CAD 8.43</t>
  </si>
  <si>
    <t>TXN-2023-000901</t>
  </si>
  <si>
    <t>24/04/2023</t>
  </si>
  <si>
    <t>St. John's (nl)</t>
  </si>
  <si>
    <t>TXN-2024-000524</t>
  </si>
  <si>
    <t>Kitchener, on</t>
  </si>
  <si>
    <t>TXN-2023-000010</t>
  </si>
  <si>
    <t xml:space="preserve">CUST-0088 </t>
  </si>
  <si>
    <t>21/10/2023</t>
  </si>
  <si>
    <t>Ottawa (ONTARIO)</t>
  </si>
  <si>
    <t xml:space="preserve"> 24.89 CAD </t>
  </si>
  <si>
    <t>TXN-2024-000197</t>
  </si>
  <si>
    <t xml:space="preserve"> 10/06/2024  </t>
  </si>
  <si>
    <t xml:space="preserve"> Ontario - Kitchener </t>
  </si>
  <si>
    <t>Txn-2023-000604</t>
  </si>
  <si>
    <t>Burnaby-British C0lumbia</t>
  </si>
  <si>
    <t xml:space="preserve"> 7.39 CAD </t>
  </si>
  <si>
    <t>TXN-2023-000082</t>
  </si>
  <si>
    <t>CUST-0311</t>
  </si>
  <si>
    <t>05/08/2023</t>
  </si>
  <si>
    <t>Surrey, BC</t>
  </si>
  <si>
    <t>TXN-2023-000784</t>
  </si>
  <si>
    <t>09/22/2023</t>
  </si>
  <si>
    <t>Windsor, Ontario</t>
  </si>
  <si>
    <t>TXN-2024-000588</t>
  </si>
  <si>
    <t>01/31/2024</t>
  </si>
  <si>
    <t>Windsor  ONTARIO</t>
  </si>
  <si>
    <t>TXN-2024-000798</t>
  </si>
  <si>
    <t>2024.09.01</t>
  </si>
  <si>
    <t>Vancouver (British Columbia)</t>
  </si>
  <si>
    <t xml:space="preserve"> 4.40 CAD </t>
  </si>
  <si>
    <t>TXN-2024-000240</t>
  </si>
  <si>
    <t>10/27/2024</t>
  </si>
  <si>
    <t>London (Ontario)</t>
  </si>
  <si>
    <t>TXN-2023-000291</t>
  </si>
  <si>
    <t>Calgary  Alberta</t>
  </si>
  <si>
    <t>TXN-2024-000212</t>
  </si>
  <si>
    <t>CUST-0123</t>
  </si>
  <si>
    <t>Halifax NS</t>
  </si>
  <si>
    <t>CAD 15.39</t>
  </si>
  <si>
    <t>TXN-2023-000718</t>
  </si>
  <si>
    <t>TXN-2023-000360</t>
  </si>
  <si>
    <t>2023.03.06</t>
  </si>
  <si>
    <t>Ontario - Brampton</t>
  </si>
  <si>
    <t>TXN-2024-000450</t>
  </si>
  <si>
    <t>Fredericton N3w Brunswick</t>
  </si>
  <si>
    <t>TXN-2023-000228</t>
  </si>
  <si>
    <t>Vancouver-BritishColumbia</t>
  </si>
  <si>
    <t>CAD 8.63</t>
  </si>
  <si>
    <t>TXN-2023-000947</t>
  </si>
  <si>
    <t>15/07/2023</t>
  </si>
  <si>
    <t>Victoria (bc)</t>
  </si>
  <si>
    <t>49,42</t>
  </si>
  <si>
    <t xml:space="preserve"> 16.34 CAD </t>
  </si>
  <si>
    <t>TXN-2023-000797</t>
  </si>
  <si>
    <t>Hamilton (Ontario)</t>
  </si>
  <si>
    <t>TXN-2024-000502</t>
  </si>
  <si>
    <t>CUST-0010</t>
  </si>
  <si>
    <t xml:space="preserve"> on - Vaughan </t>
  </si>
  <si>
    <t>TXN-2024-000465</t>
  </si>
  <si>
    <t>Lethbridge,AB</t>
  </si>
  <si>
    <t>-11,63</t>
  </si>
  <si>
    <t>TXN-2023-000363</t>
  </si>
  <si>
    <t>2023.03.26</t>
  </si>
  <si>
    <t>Gatineau-Quebec</t>
  </si>
  <si>
    <t>TXN-2023-000469</t>
  </si>
  <si>
    <t xml:space="preserve">CUST-0235 </t>
  </si>
  <si>
    <t>Laval,QC</t>
  </si>
  <si>
    <t>TXN-2023-000936</t>
  </si>
  <si>
    <t>CUST-0304</t>
  </si>
  <si>
    <t>18 yrs</t>
  </si>
  <si>
    <t>QC - Sherbrooke</t>
  </si>
  <si>
    <t>TXN-2023-000429</t>
  </si>
  <si>
    <t>CUST-0048</t>
  </si>
  <si>
    <t xml:space="preserve"> Markham, ONTARIO </t>
  </si>
  <si>
    <t>TXN-2024-000008</t>
  </si>
  <si>
    <t>Ottawa Ontari</t>
  </si>
  <si>
    <t>TXN-2024-000156</t>
  </si>
  <si>
    <t>Corner Brook, Newfoundland and Labrador</t>
  </si>
  <si>
    <t>CAD 24.92</t>
  </si>
  <si>
    <t>TXN-2024-000542</t>
  </si>
  <si>
    <t>CUST-0055</t>
  </si>
  <si>
    <t xml:space="preserve"> Toronto, ON </t>
  </si>
  <si>
    <t>TXN-2023-000441</t>
  </si>
  <si>
    <t>Brandon / mb</t>
  </si>
  <si>
    <t>CAD 79.10</t>
  </si>
  <si>
    <t>TXN-2024-000483</t>
  </si>
  <si>
    <t>CUST-0263</t>
  </si>
  <si>
    <t>Saint John-NEW BRUNSWICK</t>
  </si>
  <si>
    <t>TXN-2024-000423</t>
  </si>
  <si>
    <t>Gatineau (qc)</t>
  </si>
  <si>
    <t>TXN-2023-000779</t>
  </si>
  <si>
    <t>CAD 96.38</t>
  </si>
  <si>
    <t>TXN-2024-000950</t>
  </si>
  <si>
    <t>09/02/2024</t>
  </si>
  <si>
    <t>Ottawa  ONTARIO</t>
  </si>
  <si>
    <t>CAD 35.24</t>
  </si>
  <si>
    <t>TXN-2024-000335</t>
  </si>
  <si>
    <t>CUST-0228</t>
  </si>
  <si>
    <t>09/10/2024</t>
  </si>
  <si>
    <t>Montreal qc</t>
  </si>
  <si>
    <t>TXN-2024-000577</t>
  </si>
  <si>
    <t xml:space="preserve">CUST-0010 </t>
  </si>
  <si>
    <t>2024.11.10</t>
  </si>
  <si>
    <t>Sherbrooke / Qu3b3</t>
  </si>
  <si>
    <t xml:space="preserve"> 8.53 CAD </t>
  </si>
  <si>
    <t>TXN-2024-000935</t>
  </si>
  <si>
    <t>London / on</t>
  </si>
  <si>
    <t>CAD 5.70</t>
  </si>
  <si>
    <t>TXN-2023-000568</t>
  </si>
  <si>
    <t>CUST-0109</t>
  </si>
  <si>
    <t>Fredericton / nb</t>
  </si>
  <si>
    <t xml:space="preserve"> -27.43 CAD </t>
  </si>
  <si>
    <t>TXN-2023-000595</t>
  </si>
  <si>
    <t>23/04/2023</t>
  </si>
  <si>
    <t>Ottawa  on</t>
  </si>
  <si>
    <t>TXN-2023-000531</t>
  </si>
  <si>
    <t>CUST-0059</t>
  </si>
  <si>
    <t>ON - London</t>
  </si>
  <si>
    <t>CAD 20.38</t>
  </si>
  <si>
    <t>TXN-2024-000582</t>
  </si>
  <si>
    <t>Gatineau / QC</t>
  </si>
  <si>
    <t>TXN-2024-000708</t>
  </si>
  <si>
    <t>Brampton,ON</t>
  </si>
  <si>
    <t>TXN-2023-000449</t>
  </si>
  <si>
    <t>CUST-0122</t>
  </si>
  <si>
    <t xml:space="preserve"> 05/07/2023  </t>
  </si>
  <si>
    <t>TXN-2024-000454</t>
  </si>
  <si>
    <t>CUST-0038</t>
  </si>
  <si>
    <t>14/04/2024</t>
  </si>
  <si>
    <t>Regina Saskatchewan</t>
  </si>
  <si>
    <t>CAD 16.19</t>
  </si>
  <si>
    <t>TXN-2023-000229</t>
  </si>
  <si>
    <t>CUST-0191</t>
  </si>
  <si>
    <t>ALBERTA - Lethbridge</t>
  </si>
  <si>
    <t>3,25</t>
  </si>
  <si>
    <t>TXN-2023-000353</t>
  </si>
  <si>
    <t>CUST-0201</t>
  </si>
  <si>
    <t>Markham, Ontario</t>
  </si>
  <si>
    <t xml:space="preserve"> 25.37 CAD </t>
  </si>
  <si>
    <t>TXN-2024-000729</t>
  </si>
  <si>
    <t>10/06/2024</t>
  </si>
  <si>
    <t>Toronto (ONTARIO)</t>
  </si>
  <si>
    <t>TXN-2024-000213</t>
  </si>
  <si>
    <t>CUST-0275</t>
  </si>
  <si>
    <t>Lethbridge-Alberta</t>
  </si>
  <si>
    <t>CAD 9.30</t>
  </si>
  <si>
    <t>TXN-2024-000080</t>
  </si>
  <si>
    <t xml:space="preserve">CUST-0127 </t>
  </si>
  <si>
    <t>Toronto-on</t>
  </si>
  <si>
    <t>39,91</t>
  </si>
  <si>
    <t>TXN-2024-000149</t>
  </si>
  <si>
    <t>CUST-0190</t>
  </si>
  <si>
    <t>2024.12.26</t>
  </si>
  <si>
    <t>Richmond BRITISH COLUMBIA</t>
  </si>
  <si>
    <t xml:space="preserve"> 37.61 CAD </t>
  </si>
  <si>
    <t>TXN-2024-000303</t>
  </si>
  <si>
    <t>1/7/2024</t>
  </si>
  <si>
    <t>Laval  Quebec</t>
  </si>
  <si>
    <t>TXN-2024-000629</t>
  </si>
  <si>
    <t>01/05/2024</t>
  </si>
  <si>
    <t>BritishColumbia - Surrey</t>
  </si>
  <si>
    <t>11,23</t>
  </si>
  <si>
    <t>TXN-2023-000778</t>
  </si>
  <si>
    <t>CUST-0221</t>
  </si>
  <si>
    <t>2023.07.31</t>
  </si>
  <si>
    <t>TXN-2023-000507</t>
  </si>
  <si>
    <t>CUST-0131</t>
  </si>
  <si>
    <t>2023.05.21</t>
  </si>
  <si>
    <t>Toronto Ontario</t>
  </si>
  <si>
    <t>CAD 8.52</t>
  </si>
  <si>
    <t>TXN-2024-000343</t>
  </si>
  <si>
    <t>05/12/2024</t>
  </si>
  <si>
    <t>Markham / Ontario</t>
  </si>
  <si>
    <t>1,08</t>
  </si>
  <si>
    <t>TXN-2023-000486</t>
  </si>
  <si>
    <t>CUST-0320</t>
  </si>
  <si>
    <t>TXN-2024-000712</t>
  </si>
  <si>
    <t xml:space="preserve"> QC - Longueuil </t>
  </si>
  <si>
    <t>TXN-2024-000134</t>
  </si>
  <si>
    <t>CUST-0299</t>
  </si>
  <si>
    <t>16/10/2024</t>
  </si>
  <si>
    <t xml:space="preserve"> Edmonton (Alberta) </t>
  </si>
  <si>
    <t>TXN-2023-000704</t>
  </si>
  <si>
    <t>Brampton Ontario</t>
  </si>
  <si>
    <t>TXN-2023-000312</t>
  </si>
  <si>
    <t xml:space="preserve"> British Columbi - Victoria </t>
  </si>
  <si>
    <t>TXN-2024-000723</t>
  </si>
  <si>
    <t>CUST-0069</t>
  </si>
  <si>
    <t>6/1/2024</t>
  </si>
  <si>
    <t>Calgary,ab</t>
  </si>
  <si>
    <t>TXN-2023-000630</t>
  </si>
  <si>
    <t>02/09/2023</t>
  </si>
  <si>
    <t>Alberta - Red Deer</t>
  </si>
  <si>
    <t>TXN-2023-000001</t>
  </si>
  <si>
    <t>CUST-0141</t>
  </si>
  <si>
    <t>13/04/2023</t>
  </si>
  <si>
    <t>Calgary Alberta</t>
  </si>
  <si>
    <t>TXN-2023-000317</t>
  </si>
  <si>
    <t>CUST-0031</t>
  </si>
  <si>
    <t>TXN-2023-000707</t>
  </si>
  <si>
    <t>09/06/2023</t>
  </si>
  <si>
    <t>Toronto (ON)</t>
  </si>
  <si>
    <t>TXN-2024-000548</t>
  </si>
  <si>
    <t>Edmonton ab</t>
  </si>
  <si>
    <t>TXN-2024-000873</t>
  </si>
  <si>
    <t>CUST-0249</t>
  </si>
  <si>
    <t>Kelowna-BritishC0lumbia</t>
  </si>
  <si>
    <t>TXN-2024-000533</t>
  </si>
  <si>
    <t>CUST-0210</t>
  </si>
  <si>
    <t xml:space="preserve"> Gatineau qc </t>
  </si>
  <si>
    <t>Txn-2024-000478</t>
  </si>
  <si>
    <t xml:space="preserve">CUST-0128 </t>
  </si>
  <si>
    <t>Surrey / British Columbia</t>
  </si>
  <si>
    <t>TXN-2023-000405</t>
  </si>
  <si>
    <t>11/13/2023</t>
  </si>
  <si>
    <t>Laval  QUEBEC</t>
  </si>
  <si>
    <t>49,06</t>
  </si>
  <si>
    <t>TXN-2023-000173</t>
  </si>
  <si>
    <t>CUST-0175</t>
  </si>
  <si>
    <t>12/04/2023</t>
  </si>
  <si>
    <t>Nova Scotia - Sydney</t>
  </si>
  <si>
    <t>TXN-2023-000126</t>
  </si>
  <si>
    <t>CUST-0198</t>
  </si>
  <si>
    <t>qc - Sherbrooke</t>
  </si>
  <si>
    <t>26,29</t>
  </si>
  <si>
    <t>TXN-2023-000395</t>
  </si>
  <si>
    <t>30/10/2023</t>
  </si>
  <si>
    <t>32,35</t>
  </si>
  <si>
    <t>TXN-2023-000421</t>
  </si>
  <si>
    <t>13/06/2023</t>
  </si>
  <si>
    <t>Montreal  qc</t>
  </si>
  <si>
    <t>TXN-2024-000553</t>
  </si>
  <si>
    <t>CUST-0114</t>
  </si>
  <si>
    <t>CAD 5.78</t>
  </si>
  <si>
    <t>TXN-2024-000904</t>
  </si>
  <si>
    <t>CUST-0246</t>
  </si>
  <si>
    <t xml:space="preserve"> 05/14/2024  </t>
  </si>
  <si>
    <t>CAD 43.59</t>
  </si>
  <si>
    <t>TXN-2024-000940</t>
  </si>
  <si>
    <t>CUST-0173</t>
  </si>
  <si>
    <t>Ottawa (on)</t>
  </si>
  <si>
    <t>TXN-2023-000182</t>
  </si>
  <si>
    <t>CAD 9.77</t>
  </si>
  <si>
    <t>TXN-2023-000275</t>
  </si>
  <si>
    <t>CUST-0245</t>
  </si>
  <si>
    <t>05/30/2023</t>
  </si>
  <si>
    <t>Richmond, British Columbia</t>
  </si>
  <si>
    <t>Txn-2024-000896</t>
  </si>
  <si>
    <t xml:space="preserve"> 10-Dec-2024  </t>
  </si>
  <si>
    <t>TXN-2024-000070</t>
  </si>
  <si>
    <t>Brampton (on)</t>
  </si>
  <si>
    <t>16,35</t>
  </si>
  <si>
    <t>TXN-2023-000292</t>
  </si>
  <si>
    <t xml:space="preserve">CUST-0012 </t>
  </si>
  <si>
    <t>04/22/2023</t>
  </si>
  <si>
    <t>Kelowna / British C0lumbia</t>
  </si>
  <si>
    <t>CAD 12.03</t>
  </si>
  <si>
    <t>TXN-2024-000132</t>
  </si>
  <si>
    <t>CUST-0151</t>
  </si>
  <si>
    <t>07/06/2024</t>
  </si>
  <si>
    <t>Red Deer / ab</t>
  </si>
  <si>
    <t>TXN-2023-000301</t>
  </si>
  <si>
    <t>CUST-0112</t>
  </si>
  <si>
    <t>24/02/2023</t>
  </si>
  <si>
    <t xml:space="preserve"> nl - St. John's </t>
  </si>
  <si>
    <t>TXN-2024-000425</t>
  </si>
  <si>
    <t>Red Deer-Alberta</t>
  </si>
  <si>
    <t>TXN-2024-000327</t>
  </si>
  <si>
    <t>CUST-0039</t>
  </si>
  <si>
    <t>2024.06.17</t>
  </si>
  <si>
    <t>on - Hamilton</t>
  </si>
  <si>
    <t>TXN-2024-000145</t>
  </si>
  <si>
    <t>2024.10.09</t>
  </si>
  <si>
    <t>Albert - Calgary</t>
  </si>
  <si>
    <t>TXN-2023-000424</t>
  </si>
  <si>
    <t>CUST-0111</t>
  </si>
  <si>
    <t>02/03/2023</t>
  </si>
  <si>
    <t>Windsor / Ontari0</t>
  </si>
  <si>
    <t>TXN-2023-000581</t>
  </si>
  <si>
    <t>CUST-0290</t>
  </si>
  <si>
    <t xml:space="preserve"> St. John's / NL </t>
  </si>
  <si>
    <t>TXN-2024-000136</t>
  </si>
  <si>
    <t xml:space="preserve">CUST-0154 </t>
  </si>
  <si>
    <t>Laval (QUEBEC)</t>
  </si>
  <si>
    <t>TXN-2024-000451</t>
  </si>
  <si>
    <t xml:space="preserve"> London,ONTARIO </t>
  </si>
  <si>
    <t>CAD 3.40</t>
  </si>
  <si>
    <t>TXN-2024-000165</t>
  </si>
  <si>
    <t>CUST-0243</t>
  </si>
  <si>
    <t>Burnaby British Columbi</t>
  </si>
  <si>
    <t>TXN-2023-000774</t>
  </si>
  <si>
    <t>CUST-0016</t>
  </si>
  <si>
    <t>Saint John  New Brunswick</t>
  </si>
  <si>
    <t>TXN-2023-000194</t>
  </si>
  <si>
    <t>CUST-0145</t>
  </si>
  <si>
    <t>TXN-2023-000389</t>
  </si>
  <si>
    <t>CUST-0046</t>
  </si>
  <si>
    <t>Brampton (Ontario)</t>
  </si>
  <si>
    <t>TXN-2023-000853</t>
  </si>
  <si>
    <t>CUST-0088</t>
  </si>
  <si>
    <t xml:space="preserve"> Sherbrooke / Quebe </t>
  </si>
  <si>
    <t>TXN-2024-000170</t>
  </si>
  <si>
    <t>CUST-0319</t>
  </si>
  <si>
    <t>2024.12.28</t>
  </si>
  <si>
    <t>Richmond-BC</t>
  </si>
  <si>
    <t>CAD 29.16</t>
  </si>
  <si>
    <t>TXN-2023-000706</t>
  </si>
  <si>
    <t>2023.10.03</t>
  </si>
  <si>
    <t xml:space="preserve"> St. John's-NewfoundlandandLabrador </t>
  </si>
  <si>
    <t>TXN-2023-000141</t>
  </si>
  <si>
    <t>15,40</t>
  </si>
  <si>
    <t>TXN-2023-000174</t>
  </si>
  <si>
    <t>CUST-0044</t>
  </si>
  <si>
    <t>27/07/2023</t>
  </si>
  <si>
    <t xml:space="preserve"> Victoria, British Columbi </t>
  </si>
  <si>
    <t xml:space="preserve"> 52.68 CAD </t>
  </si>
  <si>
    <t>TXN-2024-000007</t>
  </si>
  <si>
    <t>CUST-0283</t>
  </si>
  <si>
    <t>9,38</t>
  </si>
  <si>
    <t>TXN-2023-000746</t>
  </si>
  <si>
    <t>ONTARIO - Windsor</t>
  </si>
  <si>
    <t xml:space="preserve"> 17.18 CAD </t>
  </si>
  <si>
    <t>TXN-2024-000479</t>
  </si>
  <si>
    <t xml:space="preserve"> 5.60 CAD </t>
  </si>
  <si>
    <t>TXN-2023-000074</t>
  </si>
  <si>
    <t xml:space="preserve">CUST-0181 </t>
  </si>
  <si>
    <t>Gatineau / Quebec</t>
  </si>
  <si>
    <t>CAD 22.03</t>
  </si>
  <si>
    <t>TXN-2023-000911</t>
  </si>
  <si>
    <t>09/26/2023</t>
  </si>
  <si>
    <t>Mississauga / Ontari</t>
  </si>
  <si>
    <t>TXN-2023-000814</t>
  </si>
  <si>
    <t>Sydney-Nova Scotia</t>
  </si>
  <si>
    <t>TXN-2023-000239</t>
  </si>
  <si>
    <t>07/07/2023</t>
  </si>
  <si>
    <t>Calgary / Alb3rta</t>
  </si>
  <si>
    <t>TXN-2023-000146</t>
  </si>
  <si>
    <t>2023.03.24</t>
  </si>
  <si>
    <t>Montreal / Quebec</t>
  </si>
  <si>
    <t>TXN-2023-000793</t>
  </si>
  <si>
    <t>2023.09.11</t>
  </si>
  <si>
    <t>TXN-2023-000235</t>
  </si>
  <si>
    <t>CUST-0014</t>
  </si>
  <si>
    <t xml:space="preserve"> 2023.06.13  </t>
  </si>
  <si>
    <t>TXN-2023-000221</t>
  </si>
  <si>
    <t>CUST-0025</t>
  </si>
  <si>
    <t>06/20/2023</t>
  </si>
  <si>
    <t>Ontari - Hamilton</t>
  </si>
  <si>
    <t>CAD 7.24</t>
  </si>
  <si>
    <t>TXN-2023-000924</t>
  </si>
  <si>
    <t>CUST-0129</t>
  </si>
  <si>
    <t xml:space="preserve"> Feb 15, 2023  </t>
  </si>
  <si>
    <t xml:space="preserve"> Halifax-Nova Scotia </t>
  </si>
  <si>
    <t>Txn-2023-000501</t>
  </si>
  <si>
    <t>QC - Montreal</t>
  </si>
  <si>
    <t>CAD 54.43</t>
  </si>
  <si>
    <t>TXN-2023-000133</t>
  </si>
  <si>
    <t>28/10/2023</t>
  </si>
  <si>
    <t>Victoria,BC</t>
  </si>
  <si>
    <t>TXN-2024-000217</t>
  </si>
  <si>
    <t>cust-0054</t>
  </si>
  <si>
    <t>14/03/2024</t>
  </si>
  <si>
    <t xml:space="preserve">F </t>
  </si>
  <si>
    <t xml:space="preserve"> Ontario - London</t>
  </si>
  <si>
    <t>TXN-2024-000775</t>
  </si>
  <si>
    <t>2024.12.25</t>
  </si>
  <si>
    <t>Sydney NovaScotia</t>
  </si>
  <si>
    <t>CAD 131.35</t>
  </si>
  <si>
    <t>TXN-2023-000186</t>
  </si>
  <si>
    <t>12/03/2023</t>
  </si>
  <si>
    <t>CAD 64.00</t>
  </si>
  <si>
    <t>CAD 35.42</t>
  </si>
  <si>
    <t>TXN-2024-000042</t>
  </si>
  <si>
    <t>CUST-0271</t>
  </si>
  <si>
    <t>Hamilton Ontario</t>
  </si>
  <si>
    <t>TXN-2023-000697</t>
  </si>
  <si>
    <t>Edmonton,Alberta</t>
  </si>
  <si>
    <t>CAD 17.13</t>
  </si>
  <si>
    <t>TXN-2024-000109</t>
  </si>
  <si>
    <t>2024.08.24</t>
  </si>
  <si>
    <t>Lethbridge ALBERTA</t>
  </si>
  <si>
    <t>TXN-2023-000589</t>
  </si>
  <si>
    <t xml:space="preserve"> 01-Jun-2023  </t>
  </si>
  <si>
    <t>Richmond / BC</t>
  </si>
  <si>
    <t xml:space="preserve"> 39.16 CAD </t>
  </si>
  <si>
    <t>TXN-2024-000057</t>
  </si>
  <si>
    <t>11,38</t>
  </si>
  <si>
    <t>TXN-2023-000406</t>
  </si>
  <si>
    <t>9/26/2023</t>
  </si>
  <si>
    <t>Red Deer (ab)</t>
  </si>
  <si>
    <t>CAD 14.61</t>
  </si>
  <si>
    <t>TXN-2024-000443</t>
  </si>
  <si>
    <t>Mississauga-on</t>
  </si>
  <si>
    <t>TXN-2024-000758</t>
  </si>
  <si>
    <t>5/19/2024</t>
  </si>
  <si>
    <t xml:space="preserve"> 34.85 CAD </t>
  </si>
  <si>
    <t>TXN-2023-000148</t>
  </si>
  <si>
    <t>cust-0156</t>
  </si>
  <si>
    <t xml:space="preserve"> Calgary-ab</t>
  </si>
  <si>
    <t>CAD 30.26</t>
  </si>
  <si>
    <t>TXN-2023-000025</t>
  </si>
  <si>
    <t>2023.02.11</t>
  </si>
  <si>
    <t>Saint John NB</t>
  </si>
  <si>
    <t>TXN-2024-000468</t>
  </si>
  <si>
    <t xml:space="preserve"> Alberta - Red Deer </t>
  </si>
  <si>
    <t>CAD 68.22</t>
  </si>
  <si>
    <t>TXN-2023-000540</t>
  </si>
  <si>
    <t>Red Deer Alberta</t>
  </si>
  <si>
    <t>TXN-2023-000532</t>
  </si>
  <si>
    <t>CUST-0281</t>
  </si>
  <si>
    <t xml:space="preserve"> Laval-QC </t>
  </si>
  <si>
    <t>12,03</t>
  </si>
  <si>
    <t>CAD 4.83</t>
  </si>
  <si>
    <t>Txn-2023-000619</t>
  </si>
  <si>
    <t>CUST-0212</t>
  </si>
  <si>
    <t>2023.02.24</t>
  </si>
  <si>
    <t>Brampton (Ontari)</t>
  </si>
  <si>
    <t>16,12</t>
  </si>
  <si>
    <t>TXN-2024-000695</t>
  </si>
  <si>
    <t>05/23/2024</t>
  </si>
  <si>
    <t>St. John's, nl</t>
  </si>
  <si>
    <t>TXN-2023-000927</t>
  </si>
  <si>
    <t>1/27/2023</t>
  </si>
  <si>
    <t>Lethbridge (ALBERTA)</t>
  </si>
  <si>
    <t>CAD 25.89</t>
  </si>
  <si>
    <t>TXN-2023-000339</t>
  </si>
  <si>
    <t>06/15/2023</t>
  </si>
  <si>
    <t>TXN-2023-000052</t>
  </si>
  <si>
    <t>CUST-0103</t>
  </si>
  <si>
    <t>01/07/2023</t>
  </si>
  <si>
    <t>Richmond / British Columbi</t>
  </si>
  <si>
    <t>TXN-2024-000508</t>
  </si>
  <si>
    <t>TXN-2024-000517</t>
  </si>
  <si>
    <t>Calgary (Alberta)</t>
  </si>
  <si>
    <t>TXN-2023-000921</t>
  </si>
  <si>
    <t>CUST-0034</t>
  </si>
  <si>
    <t>Calgary / Alberta</t>
  </si>
  <si>
    <t>128,30</t>
  </si>
  <si>
    <t>TXN-2023-000782</t>
  </si>
  <si>
    <t>St. John's / nl</t>
  </si>
  <si>
    <t>TXN-2024-000265</t>
  </si>
  <si>
    <t>TXN-2023-000818</t>
  </si>
  <si>
    <t xml:space="preserve"> Markham (Ontario) </t>
  </si>
  <si>
    <t>TXN-2023-000711</t>
  </si>
  <si>
    <t>CUST-0257</t>
  </si>
  <si>
    <t>2023.04.06</t>
  </si>
  <si>
    <t>Surrey / BC</t>
  </si>
  <si>
    <t>TXN-2024-000683</t>
  </si>
  <si>
    <t>Sherbrooke,Quebec</t>
  </si>
  <si>
    <t>TXN-2023-000833</t>
  </si>
  <si>
    <t>Regina / Saskatchewa</t>
  </si>
  <si>
    <t>TXN-2023-000519</t>
  </si>
  <si>
    <t>Markham-ON</t>
  </si>
  <si>
    <t>TXN-2023-000448</t>
  </si>
  <si>
    <t>CUST-0163</t>
  </si>
  <si>
    <t>Quebec City-QUEBEC</t>
  </si>
  <si>
    <t>CAD 18.67</t>
  </si>
  <si>
    <t>TXN-2024-000019</t>
  </si>
  <si>
    <t>28/01/2024</t>
  </si>
  <si>
    <t>Kelowna-British Columbi</t>
  </si>
  <si>
    <t>TXN-2024-000716</t>
  </si>
  <si>
    <t>CAD 26.44</t>
  </si>
  <si>
    <t>TXN-2023-000484</t>
  </si>
  <si>
    <t>CUST-0308</t>
  </si>
  <si>
    <t>08/01/2023</t>
  </si>
  <si>
    <t>CAD -62.40</t>
  </si>
  <si>
    <t>TXN-2024-000569</t>
  </si>
  <si>
    <t>03/08/2024</t>
  </si>
  <si>
    <t>Windsor  Ontari</t>
  </si>
  <si>
    <t>TXN-2023-000434</t>
  </si>
  <si>
    <t>TXN-2023-000368</t>
  </si>
  <si>
    <t>Brampton  ONTARIO</t>
  </si>
  <si>
    <t>TXN-2023-000084</t>
  </si>
  <si>
    <t>2023.12.27</t>
  </si>
  <si>
    <t>Ottawa,Ontario</t>
  </si>
  <si>
    <t>18,63</t>
  </si>
  <si>
    <t>TXN-2024-000062</t>
  </si>
  <si>
    <t>Markham Ontario</t>
  </si>
  <si>
    <t>TXN-2023-000639</t>
  </si>
  <si>
    <t>CUST-0216</t>
  </si>
  <si>
    <t>nb - Fredericton</t>
  </si>
  <si>
    <t>TXN-2023-000273</t>
  </si>
  <si>
    <t>CUST-0272</t>
  </si>
  <si>
    <t xml:space="preserve"> 30-Sep-2023  </t>
  </si>
  <si>
    <t>Brampton ON</t>
  </si>
  <si>
    <t>CAD 48.04</t>
  </si>
  <si>
    <t>TXN-2024-000286</t>
  </si>
  <si>
    <t>2024.09.09</t>
  </si>
  <si>
    <t>Kelowna-bc</t>
  </si>
  <si>
    <t>TXN-2023-000361</t>
  </si>
  <si>
    <t xml:space="preserve">CUST-0059 </t>
  </si>
  <si>
    <t xml:space="preserve"> 50.85 CAD </t>
  </si>
  <si>
    <t>19,70</t>
  </si>
  <si>
    <t>TXN-2024-000355</t>
  </si>
  <si>
    <t>01/02/2024</t>
  </si>
  <si>
    <t xml:space="preserve"> London  ON </t>
  </si>
  <si>
    <t>TXN-2023-000457</t>
  </si>
  <si>
    <t>Kelowna / British Columbia</t>
  </si>
  <si>
    <t>TXN-2024-000279</t>
  </si>
  <si>
    <t>CUST-0259</t>
  </si>
  <si>
    <t>12/28/2024</t>
  </si>
  <si>
    <t>Regina Saskatchewa</t>
  </si>
  <si>
    <t>TXN-2023-000013</t>
  </si>
  <si>
    <t>CUST-0074</t>
  </si>
  <si>
    <t>12/06/2023</t>
  </si>
  <si>
    <t>Richmond (British Columbia)</t>
  </si>
  <si>
    <t>TXN-2024-000183</t>
  </si>
  <si>
    <t>Sherbrooke,QUEBEC</t>
  </si>
  <si>
    <t>TXN-2023-000369</t>
  </si>
  <si>
    <t>CUST-0043</t>
  </si>
  <si>
    <t xml:space="preserve"> Saint John (NB) </t>
  </si>
  <si>
    <t>CAD 6.60</t>
  </si>
  <si>
    <t>TXN-2023-000882</t>
  </si>
  <si>
    <t xml:space="preserve">CUST-0283 </t>
  </si>
  <si>
    <t>Toronto / ONTARIO</t>
  </si>
  <si>
    <t>TXN-2024-000616</t>
  </si>
  <si>
    <t>2024.05.13</t>
  </si>
  <si>
    <t>TXN-2023-000224</t>
  </si>
  <si>
    <t>Saskatoon (Saskatchewan)</t>
  </si>
  <si>
    <t>CAD 15.86</t>
  </si>
  <si>
    <t>TXN-2023-000573</t>
  </si>
  <si>
    <t>01/23/2023</t>
  </si>
  <si>
    <t>Sherbrooke, qc</t>
  </si>
  <si>
    <t>8,24</t>
  </si>
  <si>
    <t>TXN-2023-000654</t>
  </si>
  <si>
    <t>13/05/2023</t>
  </si>
  <si>
    <t>Sydney-ns</t>
  </si>
  <si>
    <t>TXN-2023-000546</t>
  </si>
  <si>
    <t xml:space="preserve">CUST-0214 </t>
  </si>
  <si>
    <t>2023.03.05</t>
  </si>
  <si>
    <t>Richmond (BC)</t>
  </si>
  <si>
    <t>CAD 7.83</t>
  </si>
  <si>
    <t>TXN-2024-000583</t>
  </si>
  <si>
    <t>BC - Victoria</t>
  </si>
  <si>
    <t>TXN-2024-000634</t>
  </si>
  <si>
    <t xml:space="preserve"> Markham-Ontario </t>
  </si>
  <si>
    <t>TXN-2024-000177</t>
  </si>
  <si>
    <t xml:space="preserve"> Windsor, ONTARIO </t>
  </si>
  <si>
    <t>TXN-2023-000666</t>
  </si>
  <si>
    <t>TXN-2023-000674</t>
  </si>
  <si>
    <t>Windsor  on</t>
  </si>
  <si>
    <t>CAD 75.49</t>
  </si>
  <si>
    <t>TXN-2024-000586</t>
  </si>
  <si>
    <t>CUST-0310</t>
  </si>
  <si>
    <t>2024.08.28</t>
  </si>
  <si>
    <t>13,45</t>
  </si>
  <si>
    <t>4,56</t>
  </si>
  <si>
    <t>TXN-2024-000394</t>
  </si>
  <si>
    <t>CUST-0266</t>
  </si>
  <si>
    <t>Hamilton, Ontario</t>
  </si>
  <si>
    <t>TXN-2023-000164</t>
  </si>
  <si>
    <t>Cust-0049</t>
  </si>
  <si>
    <t xml:space="preserve"> Gatineau (Quebec) </t>
  </si>
  <si>
    <t>TXN-2024-000249</t>
  </si>
  <si>
    <t xml:space="preserve">CUST-0149 </t>
  </si>
  <si>
    <t>2024.06.03</t>
  </si>
  <si>
    <t>Calgary-ab</t>
  </si>
  <si>
    <t>TXN-2023-000635</t>
  </si>
  <si>
    <t>Cust-0131</t>
  </si>
  <si>
    <t>BRITISH COLUMBIA - Vancouver</t>
  </si>
  <si>
    <t>CAD 61.29</t>
  </si>
  <si>
    <t>TXN-2023-000886</t>
  </si>
  <si>
    <t>CUST-0219</t>
  </si>
  <si>
    <t xml:space="preserve"> Feb 23, 2023  </t>
  </si>
  <si>
    <t xml:space="preserve"> Richmond (BC) </t>
  </si>
  <si>
    <t>CAD 21.21</t>
  </si>
  <si>
    <t>TXN-2024-000670</t>
  </si>
  <si>
    <t>2024.02.20</t>
  </si>
  <si>
    <t>TXN-2024-000376</t>
  </si>
  <si>
    <t>2024.03.29</t>
  </si>
  <si>
    <t>Brandon,mb</t>
  </si>
  <si>
    <t>TXN-2023-000075</t>
  </si>
  <si>
    <t>TXN-2023-000114</t>
  </si>
  <si>
    <t>CUST-0169</t>
  </si>
  <si>
    <t>TXN-2023-000599</t>
  </si>
  <si>
    <t>2023.02.15</t>
  </si>
  <si>
    <t>Lethbridge / Alberta</t>
  </si>
  <si>
    <t>CAD -8.28</t>
  </si>
  <si>
    <t>Txn-2024-000391</t>
  </si>
  <si>
    <t>TXN-2024-000105</t>
  </si>
  <si>
    <t>Saskatoon, Saskatchewan</t>
  </si>
  <si>
    <t>TXN-2024-000115</t>
  </si>
  <si>
    <t>11/26/2024</t>
  </si>
  <si>
    <t>Vaughan Ontari0</t>
  </si>
  <si>
    <t>TXN-2023-000418</t>
  </si>
  <si>
    <t>2023.12.02</t>
  </si>
  <si>
    <t>Corner Brook,Newfoundl&amp; &amp; Labrador</t>
  </si>
  <si>
    <t>8,69</t>
  </si>
  <si>
    <t>TXN-2023-000526</t>
  </si>
  <si>
    <t>London,Ontario</t>
  </si>
  <si>
    <t>TXN-2023-000458</t>
  </si>
  <si>
    <t>CUST-0202</t>
  </si>
  <si>
    <t>21/01/2023</t>
  </si>
  <si>
    <t>Moncton, New Brunswick</t>
  </si>
  <si>
    <t xml:space="preserve"> 19.93 CAD </t>
  </si>
  <si>
    <t xml:space="preserve"> 4.46 CAD </t>
  </si>
  <si>
    <t>TXN-2023-000410</t>
  </si>
  <si>
    <t>CAD 28.40</t>
  </si>
  <si>
    <t>TXN-2024-000093</t>
  </si>
  <si>
    <t xml:space="preserve"> Ontario - Ottawa </t>
  </si>
  <si>
    <t>TXN-2023-000931</t>
  </si>
  <si>
    <t xml:space="preserve"> Kitchener-ONTARIO </t>
  </si>
  <si>
    <t>15,10</t>
  </si>
  <si>
    <t>TXN-2023-000090</t>
  </si>
  <si>
    <t>08/30/2023</t>
  </si>
  <si>
    <t>TXN-2023-000337</t>
  </si>
  <si>
    <t xml:space="preserve"> Victoria,British Columbia </t>
  </si>
  <si>
    <t>TXN-2024-000922</t>
  </si>
  <si>
    <t>TXN-2024-000934</t>
  </si>
  <si>
    <t xml:space="preserve"> BRITISH COLUMBIA - Burnaby </t>
  </si>
  <si>
    <t>TXN-2024-000606</t>
  </si>
  <si>
    <t xml:space="preserve">CUST-0174 </t>
  </si>
  <si>
    <t>01/01/2024</t>
  </si>
  <si>
    <t>TXN-2024-000594</t>
  </si>
  <si>
    <t>13/11/2024</t>
  </si>
  <si>
    <t>TXN-2023-000612</t>
  </si>
  <si>
    <t>CUST-0181</t>
  </si>
  <si>
    <t>10/8/2023</t>
  </si>
  <si>
    <t>Hamilton / Ontario</t>
  </si>
  <si>
    <t>TXN-2023-000095</t>
  </si>
  <si>
    <t>CAD 78.28</t>
  </si>
  <si>
    <t>CAD 28.73</t>
  </si>
  <si>
    <t>TXN-2023-000012</t>
  </si>
  <si>
    <t>09/01/2023</t>
  </si>
  <si>
    <t xml:space="preserve"> London  on </t>
  </si>
  <si>
    <t>TXN-2023-000397</t>
  </si>
  <si>
    <t>CUST-0009</t>
  </si>
  <si>
    <t>Brandon, mb</t>
  </si>
  <si>
    <t>TXN-2023-000534</t>
  </si>
  <si>
    <t>Kitchener,ON</t>
  </si>
  <si>
    <t xml:space="preserve"> 24.37 CAD </t>
  </si>
  <si>
    <t>TXN-2024-000044</t>
  </si>
  <si>
    <t>CUST-0105</t>
  </si>
  <si>
    <t>2024.04.22</t>
  </si>
  <si>
    <t>Winnipeg, Manitoba</t>
  </si>
  <si>
    <t>TXN-2024-000043</t>
  </si>
  <si>
    <t>Surrey (British Columbia)</t>
  </si>
  <si>
    <t>CAD 34.16</t>
  </si>
  <si>
    <t>TXN-2023-000330</t>
  </si>
  <si>
    <t>CUST-0178</t>
  </si>
  <si>
    <t>Ottawa on</t>
  </si>
  <si>
    <t>TXN-2023-000168</t>
  </si>
  <si>
    <t>Laval  qc</t>
  </si>
  <si>
    <t>TXN-2024-000498</t>
  </si>
  <si>
    <t>Halifax, Nova Scotia</t>
  </si>
  <si>
    <t>TXN-2024-000877</t>
  </si>
  <si>
    <t xml:space="preserve">CUST-0095 </t>
  </si>
  <si>
    <t>2024.12.14</t>
  </si>
  <si>
    <t>TXN-2023-000598</t>
  </si>
  <si>
    <t>2023.01.27</t>
  </si>
  <si>
    <t>20,42</t>
  </si>
  <si>
    <t>TXN-2024-000757</t>
  </si>
  <si>
    <t>2024.03.01</t>
  </si>
  <si>
    <t>Victoria (British Columbi)</t>
  </si>
  <si>
    <t>TXN-2023-000101</t>
  </si>
  <si>
    <t>04/11/2023</t>
  </si>
  <si>
    <t>Kitchener (Ontari)</t>
  </si>
  <si>
    <t>CAD 10.32</t>
  </si>
  <si>
    <t>TXN-2024-000427</t>
  </si>
  <si>
    <t>CUST-0032</t>
  </si>
  <si>
    <t>15/11/2024</t>
  </si>
  <si>
    <t>Ottawa,Ontari</t>
  </si>
  <si>
    <t>CAD 14.08</t>
  </si>
  <si>
    <t>TXN-2024-000179</t>
  </si>
  <si>
    <t>25/08/2024</t>
  </si>
  <si>
    <t>CAD 12.93</t>
  </si>
  <si>
    <t>TXN-2023-000445</t>
  </si>
  <si>
    <t>Red Deer  Albert</t>
  </si>
  <si>
    <t>CAD 13.94</t>
  </si>
  <si>
    <t>TXN-2023-000417</t>
  </si>
  <si>
    <t>CUST-0023</t>
  </si>
  <si>
    <t>2023.08.25</t>
  </si>
  <si>
    <t>Ontario - Hamilton</t>
  </si>
  <si>
    <t>TXN-2023-000871</t>
  </si>
  <si>
    <t xml:space="preserve">CUST-0068 </t>
  </si>
  <si>
    <t>05/24/2023</t>
  </si>
  <si>
    <t>Sherbrooke, Qu3b3c</t>
  </si>
  <si>
    <t>TXN-2024-000883</t>
  </si>
  <si>
    <t>TXN-2023-000681</t>
  </si>
  <si>
    <t>Red Deer,Alberta</t>
  </si>
  <si>
    <t>14,15</t>
  </si>
  <si>
    <t>TXN-2023-000178</t>
  </si>
  <si>
    <t>26/10/2023</t>
  </si>
  <si>
    <t>Ontario - Toronto</t>
  </si>
  <si>
    <t>TXN-2024-000396</t>
  </si>
  <si>
    <t>Saskatoon-Saskatchewan</t>
  </si>
  <si>
    <t>CAD 29.24</t>
  </si>
  <si>
    <t>CAD 15.23</t>
  </si>
  <si>
    <t>TXN-2023-000912</t>
  </si>
  <si>
    <t>2023.06.11</t>
  </si>
  <si>
    <t xml:space="preserve"> Fredericton / NewBrunswick </t>
  </si>
  <si>
    <t>CAD 48.98</t>
  </si>
  <si>
    <t>TXN-2023-000794</t>
  </si>
  <si>
    <t>CUST-0144</t>
  </si>
  <si>
    <t>2023.03.01</t>
  </si>
  <si>
    <t>Sherbrooke Quebec</t>
  </si>
  <si>
    <t>TXN-2024-000685</t>
  </si>
  <si>
    <t>CUST-0162</t>
  </si>
  <si>
    <t>12/24/2024</t>
  </si>
  <si>
    <t>Lethbridge,Albert</t>
  </si>
  <si>
    <t xml:space="preserve"> 85.17 CAD </t>
  </si>
  <si>
    <t>TXN-2024-000384</t>
  </si>
  <si>
    <t>30/11/2024</t>
  </si>
  <si>
    <t>Lethbridge (Alberta)</t>
  </si>
  <si>
    <t>TXN-2023-000752</t>
  </si>
  <si>
    <t>08/11/2023</t>
  </si>
  <si>
    <t>British Columbia - Burnaby</t>
  </si>
  <si>
    <t>TXN-2024-000258</t>
  </si>
  <si>
    <t>TXN-2023-000539</t>
  </si>
  <si>
    <t>CUST-0154</t>
  </si>
  <si>
    <t>Longueuil / qc</t>
  </si>
  <si>
    <t>TXN-2024-000336</t>
  </si>
  <si>
    <t xml:space="preserve"> ON - Mississauga </t>
  </si>
  <si>
    <t>CAD 22.49</t>
  </si>
  <si>
    <t>TXN-2023-000016</t>
  </si>
  <si>
    <t>2023.06.04</t>
  </si>
  <si>
    <t>Ottawa, Ontario</t>
  </si>
  <si>
    <t>CAD 9.36</t>
  </si>
  <si>
    <t>TXN-2024-000325</t>
  </si>
  <si>
    <t>TXN-2023-000759</t>
  </si>
  <si>
    <t>07/03/2023</t>
  </si>
  <si>
    <t>Brampton on</t>
  </si>
  <si>
    <t>CAD 8.83</t>
  </si>
  <si>
    <t>TXN-2024-000223</t>
  </si>
  <si>
    <t>CUST-0137</t>
  </si>
  <si>
    <t xml:space="preserve"> Burnaby,BC </t>
  </si>
  <si>
    <t>80,74</t>
  </si>
  <si>
    <t>TXN-2024-000180</t>
  </si>
  <si>
    <t>CUST-0182</t>
  </si>
  <si>
    <t>9/17/2024</t>
  </si>
  <si>
    <t>Victoria, British Columbi</t>
  </si>
  <si>
    <t>TXN-2024-000442</t>
  </si>
  <si>
    <t>TXN-2024-000023</t>
  </si>
  <si>
    <t>29/01/2024</t>
  </si>
  <si>
    <t>Laval (Quebec)</t>
  </si>
  <si>
    <t>CAD 27.61</t>
  </si>
  <si>
    <t>TXN-2023-000357</t>
  </si>
  <si>
    <t>2023.08.09</t>
  </si>
  <si>
    <t>TXN-2023-000667</t>
  </si>
  <si>
    <t>Winnipeg, Manitob</t>
  </si>
  <si>
    <t>-23,03</t>
  </si>
  <si>
    <t>TXN-2023-000862</t>
  </si>
  <si>
    <t>CUST-0295</t>
  </si>
  <si>
    <t>Ontario - Windsor</t>
  </si>
  <si>
    <t>TXN-2023-000341</t>
  </si>
  <si>
    <t>2023.08.08</t>
  </si>
  <si>
    <t>TXN-2024-000432</t>
  </si>
  <si>
    <t>Vancouver,BRITISH COLUMBIA</t>
  </si>
  <si>
    <t>TXN-2023-000552</t>
  </si>
  <si>
    <t>2023.10.02</t>
  </si>
  <si>
    <t>Longueuil,QUEBEC</t>
  </si>
  <si>
    <t>TXN-2024-000834</t>
  </si>
  <si>
    <t>Calgary-Alberta</t>
  </si>
  <si>
    <t>TXN-2024-000204</t>
  </si>
  <si>
    <t>03/03/2024</t>
  </si>
  <si>
    <t>Richmond-British Columbi</t>
  </si>
  <si>
    <t>TXN-2023-000631</t>
  </si>
  <si>
    <t>30/01/2023</t>
  </si>
  <si>
    <t>TXN-2023-000094</t>
  </si>
  <si>
    <t xml:space="preserve"> Nov 17, 2023  </t>
  </si>
  <si>
    <t>Lethbridge  Alberta</t>
  </si>
  <si>
    <t>TXN-2024-000559</t>
  </si>
  <si>
    <t>Quebec City  QC</t>
  </si>
  <si>
    <t>TXN-2023-000069</t>
  </si>
  <si>
    <t>CUST-0231</t>
  </si>
  <si>
    <t>07/01/2023</t>
  </si>
  <si>
    <t>Mississauga  Ontari</t>
  </si>
  <si>
    <t>TXN-2024-000623</t>
  </si>
  <si>
    <t>CUST-0080</t>
  </si>
  <si>
    <t>16,22</t>
  </si>
  <si>
    <t>TXN-2024-000285</t>
  </si>
  <si>
    <t>13/07/2024</t>
  </si>
  <si>
    <t xml:space="preserve"> Montreal (Quebec) </t>
  </si>
  <si>
    <t>TXN-2023-000845</t>
  </si>
  <si>
    <t>Mississauga  Ontario</t>
  </si>
  <si>
    <t>TXN-2023-000435</t>
  </si>
  <si>
    <t>CUST-0258</t>
  </si>
  <si>
    <t xml:space="preserve"> Jun 27, 2023  </t>
  </si>
  <si>
    <t>London, on</t>
  </si>
  <si>
    <t>TXN-2024-000154</t>
  </si>
  <si>
    <t>17/11/2024</t>
  </si>
  <si>
    <t>Windsor-Ontario</t>
  </si>
  <si>
    <t>TXN-2024-000076</t>
  </si>
  <si>
    <t>CUST-0240</t>
  </si>
  <si>
    <t>2024.11.15</t>
  </si>
  <si>
    <t>Kitchener, ONTARIO</t>
  </si>
  <si>
    <t>CAD 54.67</t>
  </si>
  <si>
    <t>TXN-2023-000731</t>
  </si>
  <si>
    <t xml:space="preserve"> Vaughan-on </t>
  </si>
  <si>
    <t>CAD 12.35</t>
  </si>
  <si>
    <t>TXN-2023-000447</t>
  </si>
  <si>
    <t xml:space="preserve"> 30-Dec-2023  </t>
  </si>
  <si>
    <t>Hamilton, Ontari</t>
  </si>
  <si>
    <t>TXN-2023-000189</t>
  </si>
  <si>
    <t>CUST-0029</t>
  </si>
  <si>
    <t xml:space="preserve"> 2023.05.02  </t>
  </si>
  <si>
    <t>Hamilton  Ontario</t>
  </si>
  <si>
    <t>CAD 68.92</t>
  </si>
  <si>
    <t>TXN-2023-000272</t>
  </si>
  <si>
    <t>06/03/2023</t>
  </si>
  <si>
    <t>Halifax / NovaScotia</t>
  </si>
  <si>
    <t>TXN-2023-000237</t>
  </si>
  <si>
    <t>07/20/2023</t>
  </si>
  <si>
    <t>Gatineau  QUEBEC</t>
  </si>
  <si>
    <t>CAD 58.96</t>
  </si>
  <si>
    <t>TXN-2023-000488</t>
  </si>
  <si>
    <t>14,64</t>
  </si>
  <si>
    <t>TXN-2023-000118</t>
  </si>
  <si>
    <t xml:space="preserve"> 5.87 CAD </t>
  </si>
  <si>
    <t>TXN-2023-000944</t>
  </si>
  <si>
    <t xml:space="preserve">CUST-0155 </t>
  </si>
  <si>
    <t xml:space="preserve"> Apr 25, 2023  </t>
  </si>
  <si>
    <t>TXN-2024-000513</t>
  </si>
  <si>
    <t xml:space="preserve"> Quebec City Quebec </t>
  </si>
  <si>
    <t>TXN-2024-000826</t>
  </si>
  <si>
    <t>Hamilton  Ontari</t>
  </si>
  <si>
    <t>TXN-2024-000127</t>
  </si>
  <si>
    <t>CUST-0052</t>
  </si>
  <si>
    <t>Montreal-QUEBEC</t>
  </si>
  <si>
    <t>TXN-2023-000117</t>
  </si>
  <si>
    <t>20/12/2023</t>
  </si>
  <si>
    <t>TXN-2024-000474</t>
  </si>
  <si>
    <t>08/08/2024</t>
  </si>
  <si>
    <t>7,88</t>
  </si>
  <si>
    <t>TXN-2024-000694</t>
  </si>
  <si>
    <t>Gatineau (QC)</t>
  </si>
  <si>
    <t>49,99</t>
  </si>
  <si>
    <t>TXN-2024-000058</t>
  </si>
  <si>
    <t>Red Deer,Alb3rta</t>
  </si>
  <si>
    <t xml:space="preserve"> 16.58 CAD </t>
  </si>
  <si>
    <t>TXN-2024-000864</t>
  </si>
  <si>
    <t>09/04/2024</t>
  </si>
  <si>
    <t>Windsor / Ontario</t>
  </si>
  <si>
    <t>TXN-2024-000913</t>
  </si>
  <si>
    <t>2024.10.28</t>
  </si>
  <si>
    <t>TXN-2023-000370</t>
  </si>
  <si>
    <t>CAD 74.75</t>
  </si>
  <si>
    <t>TXN-2024-000269</t>
  </si>
  <si>
    <t>TXN-2023-000047</t>
  </si>
  <si>
    <t>CUST-0077</t>
  </si>
  <si>
    <t>12/12/2023</t>
  </si>
  <si>
    <t>Calgary-ALBERTA</t>
  </si>
  <si>
    <t xml:space="preserve"> 35.82 CAD </t>
  </si>
  <si>
    <t>TXN-2024-000350</t>
  </si>
  <si>
    <t>CUST-0215</t>
  </si>
  <si>
    <t>03/14/2024</t>
  </si>
  <si>
    <t>Vaughan / ON</t>
  </si>
  <si>
    <t>TXN-2024-000196</t>
  </si>
  <si>
    <t>2024.09.13</t>
  </si>
  <si>
    <t>Windsor (Ontario)</t>
  </si>
  <si>
    <t xml:space="preserve"> 84.77 CAD </t>
  </si>
  <si>
    <t>TXN-2023-000390</t>
  </si>
  <si>
    <t>cust-0074</t>
  </si>
  <si>
    <t>2023.03.16</t>
  </si>
  <si>
    <t xml:space="preserve"> Richmond-BritishColumbia</t>
  </si>
  <si>
    <t>TXN-2023-000835</t>
  </si>
  <si>
    <t>Cust-0190</t>
  </si>
  <si>
    <t xml:space="preserve"> Kitchener, Ontario </t>
  </si>
  <si>
    <t>TXN-2023-000737</t>
  </si>
  <si>
    <t>Halifax  NOVA SCOTIA</t>
  </si>
  <si>
    <t>TXN-2023-000264</t>
  </si>
  <si>
    <t>Winnipeg / MANITOBA</t>
  </si>
  <si>
    <t>CAD 35.05</t>
  </si>
  <si>
    <t>TXN-2024-000444</t>
  </si>
  <si>
    <t>02/06/2024</t>
  </si>
  <si>
    <t>TXN-2024-000676</t>
  </si>
  <si>
    <t>CAD 4.63</t>
  </si>
  <si>
    <t>TXN-2024-000305</t>
  </si>
  <si>
    <t>27/07/2024</t>
  </si>
  <si>
    <t>Burnaby-British Columbia</t>
  </si>
  <si>
    <t>TXN-2023-000342</t>
  </si>
  <si>
    <t>CUST-0004</t>
  </si>
  <si>
    <t>01/13/2023</t>
  </si>
  <si>
    <t>Ontari - Mississauga</t>
  </si>
  <si>
    <t>TXN-2024-000767</t>
  </si>
  <si>
    <t>CUST-0264</t>
  </si>
  <si>
    <t>09/08/2024</t>
  </si>
  <si>
    <t>BritishC0lumbia - Victoria</t>
  </si>
  <si>
    <t>TXN-2024-000150</t>
  </si>
  <si>
    <t>CUST-0209</t>
  </si>
  <si>
    <t>Richmond  bc</t>
  </si>
  <si>
    <t>TXN-2024-000787</t>
  </si>
  <si>
    <t>CUST-0072</t>
  </si>
  <si>
    <t>2024.05.27</t>
  </si>
  <si>
    <t xml:space="preserve"> Mississauga,Ontari </t>
  </si>
  <si>
    <t>TXN-2024-000051</t>
  </si>
  <si>
    <t>TXN-2023-000354</t>
  </si>
  <si>
    <t>Markham (Ontario)</t>
  </si>
  <si>
    <t>6,36</t>
  </si>
  <si>
    <t>TXN-2023-000928</t>
  </si>
  <si>
    <t>1/24/2023</t>
  </si>
  <si>
    <t>Longueuil QUEBEC</t>
  </si>
  <si>
    <t>TXN-2024-000143</t>
  </si>
  <si>
    <t>12,07</t>
  </si>
  <si>
    <t>TXN-2023-000471</t>
  </si>
  <si>
    <t>2023.07.09</t>
  </si>
  <si>
    <t>TXN-2024-000400</t>
  </si>
  <si>
    <t>Cust-0105</t>
  </si>
  <si>
    <t>2024.02.06</t>
  </si>
  <si>
    <t>Charlottetown PRINCE EDWARD ISLAND</t>
  </si>
  <si>
    <t xml:space="preserve"> 7.52 CAD </t>
  </si>
  <si>
    <t>TXN-2024-000626</t>
  </si>
  <si>
    <t xml:space="preserve">CUST-0028 </t>
  </si>
  <si>
    <t xml:space="preserve"> 32.58 CAD </t>
  </si>
  <si>
    <t>TXN-2023-000321</t>
  </si>
  <si>
    <t>Vancouver-BritishC0lumbia</t>
  </si>
  <si>
    <t>CAD 46.70</t>
  </si>
  <si>
    <t>TXN-2024-000020</t>
  </si>
  <si>
    <t xml:space="preserve">CUST-0001 </t>
  </si>
  <si>
    <t>ON - Vaughan</t>
  </si>
  <si>
    <t>CAD 11.41</t>
  </si>
  <si>
    <t>TXN-2023-000810</t>
  </si>
  <si>
    <t>Red Deer AB</t>
  </si>
  <si>
    <t>TXN-2024-000791</t>
  </si>
  <si>
    <t>2024.10.22</t>
  </si>
  <si>
    <t>Sydney  NovaScotia</t>
  </si>
  <si>
    <t>TXN-2024-000809</t>
  </si>
  <si>
    <t>2024.09.24</t>
  </si>
  <si>
    <t>Brandon-Manitoba</t>
  </si>
  <si>
    <t>TXN-2024-000408</t>
  </si>
  <si>
    <t>Brampton, on</t>
  </si>
  <si>
    <t>TXN-2023-000538</t>
  </si>
  <si>
    <t>Hamilton,on</t>
  </si>
  <si>
    <t>TXN-2024-000621</t>
  </si>
  <si>
    <t>23/06/2024</t>
  </si>
  <si>
    <t>London / ONTARIO</t>
  </si>
  <si>
    <t>TXN-2023-000039</t>
  </si>
  <si>
    <t>16/12/2023</t>
  </si>
  <si>
    <t>ONTARIO - London</t>
  </si>
  <si>
    <t>TXN-2024-000176</t>
  </si>
  <si>
    <t>03/24/2024</t>
  </si>
  <si>
    <t>Kitchener (ON)</t>
  </si>
  <si>
    <t>CAD 5.06</t>
  </si>
  <si>
    <t>TXN-2023-000246</t>
  </si>
  <si>
    <t xml:space="preserve">CUST-0238 </t>
  </si>
  <si>
    <t>02/02/2023</t>
  </si>
  <si>
    <t>TXN-2023-000829</t>
  </si>
  <si>
    <t>CUST-0037</t>
  </si>
  <si>
    <t>Windsor, ONTARIO</t>
  </si>
  <si>
    <t>30,43</t>
  </si>
  <si>
    <t>TXN-2024-000668</t>
  </si>
  <si>
    <t>28/07/2024</t>
  </si>
  <si>
    <t>qc - Montreal</t>
  </si>
  <si>
    <t>CAD 4.42</t>
  </si>
  <si>
    <t>TXN-2024-000755</t>
  </si>
  <si>
    <t>24/07/2024</t>
  </si>
  <si>
    <t>Albert - Red Deer</t>
  </si>
  <si>
    <t>TXN-2023-000859</t>
  </si>
  <si>
    <t>Markham  ONTARIO</t>
  </si>
  <si>
    <t>CAD 8.18</t>
  </si>
  <si>
    <t>2,47</t>
  </si>
  <si>
    <t>TXN-2024-000155</t>
  </si>
  <si>
    <t>Quebec City, qc</t>
  </si>
  <si>
    <t>TXN-2024-000288</t>
  </si>
  <si>
    <t>CUST-0042</t>
  </si>
  <si>
    <t>2024.04.04</t>
  </si>
  <si>
    <t>TXN-2023-000603</t>
  </si>
  <si>
    <t>16/06/2023</t>
  </si>
  <si>
    <t>TXN-2024-000570</t>
  </si>
  <si>
    <t>TXN-2024-000744</t>
  </si>
  <si>
    <t xml:space="preserve"> 3.63 CAD </t>
  </si>
  <si>
    <t>TXN-2023-000018</t>
  </si>
  <si>
    <t xml:space="preserve"> 2023.01.05  </t>
  </si>
  <si>
    <t xml:space="preserve"> Gatineau (Quebe) </t>
  </si>
  <si>
    <t xml:space="preserve"> 23.18 CAD </t>
  </si>
  <si>
    <t>CAD 8.02</t>
  </si>
  <si>
    <t>TXN-2023-000128</t>
  </si>
  <si>
    <t>Cust-0174</t>
  </si>
  <si>
    <t xml:space="preserve"> Ontari - Markham </t>
  </si>
  <si>
    <t>16,59</t>
  </si>
  <si>
    <t>TXN-2024-000323</t>
  </si>
  <si>
    <t>2024.10.26</t>
  </si>
  <si>
    <t xml:space="preserve"> Ottawa / Ontario </t>
  </si>
  <si>
    <t xml:space="preserve"> 31.37 CAD </t>
  </si>
  <si>
    <t>TXN-2024-000256</t>
  </si>
  <si>
    <t>6/20/2024</t>
  </si>
  <si>
    <t>41,03</t>
  </si>
  <si>
    <t>TXN-2023-000658</t>
  </si>
  <si>
    <t>Saskatoon, SASKATCHEWAN</t>
  </si>
  <si>
    <t xml:space="preserve"> 11.16 CAD </t>
  </si>
  <si>
    <t>5,84</t>
  </si>
  <si>
    <t>TXN-2023-000191</t>
  </si>
  <si>
    <t>CAD 23.02</t>
  </si>
  <si>
    <t>TXN-2023-000116</t>
  </si>
  <si>
    <t xml:space="preserve"> Nov 10, 2023  </t>
  </si>
  <si>
    <t>nb - Saint John</t>
  </si>
  <si>
    <t>TXN-2024-000617</t>
  </si>
  <si>
    <t>05/26/2024</t>
  </si>
  <si>
    <t>Kitchener  Ontari0</t>
  </si>
  <si>
    <t>89,40</t>
  </si>
  <si>
    <t>TXN-2023-000607</t>
  </si>
  <si>
    <t>TXN-2024-000181</t>
  </si>
  <si>
    <t>CUST-0236</t>
  </si>
  <si>
    <t>09/05/2024</t>
  </si>
  <si>
    <t>Kitchener,Ontario</t>
  </si>
  <si>
    <t>TXN-2024-000302</t>
  </si>
  <si>
    <t>Sydney (NOVA SCOTIA)</t>
  </si>
  <si>
    <t xml:space="preserve"> 23.07 CAD </t>
  </si>
  <si>
    <t xml:space="preserve"> 10.04 CAD </t>
  </si>
  <si>
    <t>TXN-2023-000760</t>
  </si>
  <si>
    <t>TXN-2024-000713</t>
  </si>
  <si>
    <t>4/1/2024</t>
  </si>
  <si>
    <t>Kelowna (BritishColumbia)</t>
  </si>
  <si>
    <t>TXN-2024-000724</t>
  </si>
  <si>
    <t>10/07/2024</t>
  </si>
  <si>
    <t>Gatineau,QC</t>
  </si>
  <si>
    <t xml:space="preserve"> 0.75 CAD </t>
  </si>
  <si>
    <t>TXN-2023-000686</t>
  </si>
  <si>
    <t>Kelowna (BRITISH COLUMBIA)</t>
  </si>
  <si>
    <t>TXN-2023-000518</t>
  </si>
  <si>
    <t xml:space="preserve"> 31.44 CAD </t>
  </si>
  <si>
    <t>TXN-2024-000046</t>
  </si>
  <si>
    <t>2024.09.07</t>
  </si>
  <si>
    <t>TXN-2023-000910</t>
  </si>
  <si>
    <t>TXN-2024-000158</t>
  </si>
  <si>
    <t>Sydney, NovaScotia</t>
  </si>
  <si>
    <t xml:space="preserve"> 66.44 CAD </t>
  </si>
  <si>
    <t>TXN-2024-000852</t>
  </si>
  <si>
    <t>30/06/2024</t>
  </si>
  <si>
    <t>TXN-2023-000172</t>
  </si>
  <si>
    <t>CUST-0036</t>
  </si>
  <si>
    <t>Windsor / ON</t>
  </si>
  <si>
    <t>TXN-2024-000017</t>
  </si>
  <si>
    <t>TXN-2024-000512</t>
  </si>
  <si>
    <t>CUST-0184</t>
  </si>
  <si>
    <t>04/27/2024</t>
  </si>
  <si>
    <t>Victoria  BC</t>
  </si>
  <si>
    <t>TXN-2023-000049</t>
  </si>
  <si>
    <t>2023.05.28</t>
  </si>
  <si>
    <t>Montreal-qc</t>
  </si>
  <si>
    <t>TXN-2023-000941</t>
  </si>
  <si>
    <t>Burnaby / British Columbi</t>
  </si>
  <si>
    <t>TXN-2024-000516</t>
  </si>
  <si>
    <t>Toronto, ON</t>
  </si>
  <si>
    <t>TXN-2023-000481</t>
  </si>
  <si>
    <t>01/12/2023</t>
  </si>
  <si>
    <t xml:space="preserve"> London, ONTARIO </t>
  </si>
  <si>
    <t>TXN-2024-000284</t>
  </si>
  <si>
    <t>08/18/2024</t>
  </si>
  <si>
    <t>TXN-2024-000719</t>
  </si>
  <si>
    <t>06/05/2024</t>
  </si>
  <si>
    <t>Regina-Saskatchewa</t>
  </si>
  <si>
    <t xml:space="preserve"> 50.17 CAD </t>
  </si>
  <si>
    <t>TXN-2023-000878</t>
  </si>
  <si>
    <t>2023.01.17</t>
  </si>
  <si>
    <t xml:space="preserve"> Brandon (Manitoba) </t>
  </si>
  <si>
    <t>255,63</t>
  </si>
  <si>
    <t>TXN-2023-000226</t>
  </si>
  <si>
    <t>10/10/2023</t>
  </si>
  <si>
    <t>Montreal,QC</t>
  </si>
  <si>
    <t>4,97</t>
  </si>
  <si>
    <t>TXN-2023-000027</t>
  </si>
  <si>
    <t>20,83</t>
  </si>
  <si>
    <t>TXN-2023-000843</t>
  </si>
  <si>
    <t>07/16/2023</t>
  </si>
  <si>
    <t>Quebec City (QUEBEC)</t>
  </si>
  <si>
    <t xml:space="preserve"> 5.94 CAD </t>
  </si>
  <si>
    <t>TXN-2024-000438</t>
  </si>
  <si>
    <t xml:space="preserve">CUST-0029 </t>
  </si>
  <si>
    <t>2024.08.12</t>
  </si>
  <si>
    <t>TXN-2023-000230</t>
  </si>
  <si>
    <t xml:space="preserve"> Corner Brook,NEWFOUNDLAND AND LABRADOR </t>
  </si>
  <si>
    <t>CAD 50.23</t>
  </si>
  <si>
    <t>TXN-2024-000365</t>
  </si>
  <si>
    <t>5/17/2024</t>
  </si>
  <si>
    <t>Longueuil-QUEBEC</t>
  </si>
  <si>
    <t>CAD 12.97</t>
  </si>
  <si>
    <t>TXN-2023-000038</t>
  </si>
  <si>
    <t>Longueuil / Qu3b3c</t>
  </si>
  <si>
    <t>TXN-2024-000375</t>
  </si>
  <si>
    <t>2024.01.19</t>
  </si>
  <si>
    <t>TXN-2023-000470</t>
  </si>
  <si>
    <t>TXN-2024-000851</t>
  </si>
  <si>
    <t>24/05/2024</t>
  </si>
  <si>
    <t xml:space="preserve"> Toronto  Ontari </t>
  </si>
  <si>
    <t>TXN-2024-000705</t>
  </si>
  <si>
    <t>11/24/2024</t>
  </si>
  <si>
    <t>Hamilton / on</t>
  </si>
  <si>
    <t>TXN-2023-000842</t>
  </si>
  <si>
    <t>16/03/2023</t>
  </si>
  <si>
    <t>Hamilton-ONTARIO</t>
  </si>
  <si>
    <t>18,39</t>
  </si>
  <si>
    <t>7,34</t>
  </si>
  <si>
    <t>TXN-2024-000195</t>
  </si>
  <si>
    <t>Cust-0169</t>
  </si>
  <si>
    <t>2024.04.06</t>
  </si>
  <si>
    <t>Regina (Saskatchewan)</t>
  </si>
  <si>
    <t xml:space="preserve"> -7.56 CAD </t>
  </si>
  <si>
    <t>TXN-2023-000855</t>
  </si>
  <si>
    <t>2023.12.12</t>
  </si>
  <si>
    <t>Edmonton, Alb3rta</t>
  </si>
  <si>
    <t>CAD 3.77</t>
  </si>
  <si>
    <t>TXN-2024-000865</t>
  </si>
  <si>
    <t>TXN-2023-000504</t>
  </si>
  <si>
    <t>TXN-2024-000541</t>
  </si>
  <si>
    <t>London,Ontari</t>
  </si>
  <si>
    <t>CAD 7.67</t>
  </si>
  <si>
    <t>TXN-2024-000831</t>
  </si>
  <si>
    <t>2024.04.29</t>
  </si>
  <si>
    <t>Toronto Ontari</t>
  </si>
  <si>
    <t>3,32</t>
  </si>
  <si>
    <t>TXN-2024-000580</t>
  </si>
  <si>
    <t>Vaughan-ONTARIO</t>
  </si>
  <si>
    <t>TXN-2023-000163</t>
  </si>
  <si>
    <t>CAD 29.62</t>
  </si>
  <si>
    <t>TXN-2023-000909</t>
  </si>
  <si>
    <t>CAD 11.34</t>
  </si>
  <si>
    <t>TXN-2024-000153</t>
  </si>
  <si>
    <t>2024.07.18</t>
  </si>
  <si>
    <t>Toronto / ON</t>
  </si>
  <si>
    <t>TXN-2023-000802</t>
  </si>
  <si>
    <t>2023.04.24</t>
  </si>
  <si>
    <t>Laval-QC</t>
  </si>
  <si>
    <t>cust-0277</t>
  </si>
  <si>
    <t xml:space="preserve">N/A </t>
  </si>
  <si>
    <t xml:space="preserve"> London,on</t>
  </si>
  <si>
    <t>TXN-2024-000756</t>
  </si>
  <si>
    <t>03/17/2024</t>
  </si>
  <si>
    <t>Ottawa-Ontario</t>
  </si>
  <si>
    <t>21,56</t>
  </si>
  <si>
    <t>5,95</t>
  </si>
  <si>
    <t>TXN-2023-000112</t>
  </si>
  <si>
    <t>10/30/2023</t>
  </si>
  <si>
    <t>Charlottetown,PrinceEdwardIsland</t>
  </si>
  <si>
    <t>TXN-2024-000227</t>
  </si>
  <si>
    <t>24/10/2024</t>
  </si>
  <si>
    <t>London-ON</t>
  </si>
  <si>
    <t>TXN-2024-000689</t>
  </si>
  <si>
    <t>5/24/2024</t>
  </si>
  <si>
    <t>Montreal  QC</t>
  </si>
  <si>
    <t>TXN-2024-000104</t>
  </si>
  <si>
    <t>03/01/2024</t>
  </si>
  <si>
    <t>Moncton nb</t>
  </si>
  <si>
    <t>TXN-2024-000422</t>
  </si>
  <si>
    <t>2024.09.19</t>
  </si>
  <si>
    <t xml:space="preserve"> Gatineau / Quebe </t>
  </si>
  <si>
    <t>1,06</t>
  </si>
  <si>
    <t>TXN-2023-000420</t>
  </si>
  <si>
    <t xml:space="preserve">CUST-0202 </t>
  </si>
  <si>
    <t>03/21/2023</t>
  </si>
  <si>
    <t>TXN-2023-000751</t>
  </si>
  <si>
    <t xml:space="preserve">CUST-0035 </t>
  </si>
  <si>
    <t>12/31/2023</t>
  </si>
  <si>
    <t>NS - Sydney</t>
  </si>
  <si>
    <t>TXN-2023-000587</t>
  </si>
  <si>
    <t>18/10/2023</t>
  </si>
  <si>
    <t>mb - Winnipeg</t>
  </si>
  <si>
    <t>CAD 7.65</t>
  </si>
  <si>
    <t>TXN-2024-000781</t>
  </si>
  <si>
    <t>11/11/2024</t>
  </si>
  <si>
    <t>Corner Brook, NewfoundlandandLabrador</t>
  </si>
  <si>
    <t xml:space="preserve"> 19.77 CAD </t>
  </si>
  <si>
    <t>CAD 7.79</t>
  </si>
  <si>
    <t>TXN-2023-000673</t>
  </si>
  <si>
    <t>QC - Gatineau</t>
  </si>
  <si>
    <t>CAD 6.61</t>
  </si>
  <si>
    <t>TXN-2023-000120</t>
  </si>
  <si>
    <t>27,92</t>
  </si>
  <si>
    <t>TXN-2023-000054</t>
  </si>
  <si>
    <t>TXN-2023-000152</t>
  </si>
  <si>
    <t>Burnaby, British C0lumbia</t>
  </si>
  <si>
    <t>CAD 40.56</t>
  </si>
  <si>
    <t>CAD 13.38</t>
  </si>
  <si>
    <t>TXN-2023-000404</t>
  </si>
  <si>
    <t>Mississauga, Ontari</t>
  </si>
  <si>
    <t>5,67</t>
  </si>
  <si>
    <t>TXN-2024-000946</t>
  </si>
  <si>
    <t>Lethbridge, Alberta</t>
  </si>
  <si>
    <t>CAD 5.15</t>
  </si>
  <si>
    <t>TXN-2023-000208</t>
  </si>
  <si>
    <t>TXN-2023-000659</t>
  </si>
  <si>
    <t>CUST-0075</t>
  </si>
  <si>
    <t>09/05/2023</t>
  </si>
  <si>
    <t>Brandon  MB</t>
  </si>
  <si>
    <t>TXN-2024-000844</t>
  </si>
  <si>
    <t>TXN-2024-000763</t>
  </si>
  <si>
    <t>08/23/2024</t>
  </si>
  <si>
    <t xml:space="preserve"> 28.09 CAD </t>
  </si>
  <si>
    <t>TXN-2024-000009</t>
  </si>
  <si>
    <t>22/01/2024</t>
  </si>
  <si>
    <t>Kitchener (on)</t>
  </si>
  <si>
    <t>TXN-2024-000808</t>
  </si>
  <si>
    <t>05/02/2024</t>
  </si>
  <si>
    <t>Windsor,Ontario</t>
  </si>
  <si>
    <t>TXN-2024-000037</t>
  </si>
  <si>
    <t>TXN-2024-000453</t>
  </si>
  <si>
    <t>ON - Brampton</t>
  </si>
  <si>
    <t>CAD -44.71</t>
  </si>
  <si>
    <t>TXN-2024-000254</t>
  </si>
  <si>
    <t xml:space="preserve"> TXN-2024-000304</t>
  </si>
  <si>
    <t>Toronto-ONTARIO</t>
  </si>
  <si>
    <t xml:space="preserve"> TXN-2023-000747</t>
  </si>
  <si>
    <t>06/01/2023</t>
  </si>
  <si>
    <t>CAD 8.33</t>
  </si>
  <si>
    <t>TXN-2023-000572</t>
  </si>
  <si>
    <t>TXN-2023-000624</t>
  </si>
  <si>
    <t xml:space="preserve"> British Columbia - Victoria </t>
  </si>
  <si>
    <t>TXN-2024-000733</t>
  </si>
  <si>
    <t xml:space="preserve">CUST-0129 </t>
  </si>
  <si>
    <t>7,95</t>
  </si>
  <si>
    <t>TXN-2024-000892</t>
  </si>
  <si>
    <t>TXN-2024-000263</t>
  </si>
  <si>
    <t>01/07/2024</t>
  </si>
  <si>
    <t xml:space="preserve"> Mississauga ON </t>
  </si>
  <si>
    <t>TXN-2023-000611</t>
  </si>
  <si>
    <t>CUST-0019</t>
  </si>
  <si>
    <t>16/04/2023</t>
  </si>
  <si>
    <t>Windsor on</t>
  </si>
  <si>
    <t>Txn-2023-000298</t>
  </si>
  <si>
    <t xml:space="preserve"> 31/03/2023  </t>
  </si>
  <si>
    <t>55,44</t>
  </si>
  <si>
    <t>TXN-2024-000415</t>
  </si>
  <si>
    <t>Fredericton (New Brunswic)</t>
  </si>
  <si>
    <t>TXN-2024-000151</t>
  </si>
  <si>
    <t>2024.05.16</t>
  </si>
  <si>
    <t>Halifax,NS</t>
  </si>
  <si>
    <t>TXN-2024-000789</t>
  </si>
  <si>
    <t>CUST-0224</t>
  </si>
  <si>
    <t xml:space="preserve"> Quebec City,Quebec </t>
  </si>
  <si>
    <t>TXN-2023-000641</t>
  </si>
  <si>
    <t>CUST-0186</t>
  </si>
  <si>
    <t>Hamilton, on</t>
  </si>
  <si>
    <t>TXN-2023-000890</t>
  </si>
  <si>
    <t xml:space="preserve"> Victoria (BRITISH COLUMBIA) </t>
  </si>
  <si>
    <t>TXN-2023-000551</t>
  </si>
  <si>
    <t>CUST-0027</t>
  </si>
  <si>
    <t>CAD 39.49</t>
  </si>
  <si>
    <t>TXN-2024-000887</t>
  </si>
  <si>
    <t>Cust-0158</t>
  </si>
  <si>
    <t xml:space="preserve"> Brandon  mb </t>
  </si>
  <si>
    <t>TXN-2024-000489</t>
  </si>
  <si>
    <t>Halifax-Nova Scotia</t>
  </si>
  <si>
    <t>CUST-0156</t>
  </si>
  <si>
    <t>TXN-2023-000147</t>
  </si>
  <si>
    <t>Sherbrooke-QC</t>
  </si>
  <si>
    <t>TXN-2023-000721</t>
  </si>
  <si>
    <t>12/10/2023</t>
  </si>
  <si>
    <t>Mississauga (Ontari)</t>
  </si>
  <si>
    <t>CAD 18.62</t>
  </si>
  <si>
    <t>TXN-2024-000932</t>
  </si>
  <si>
    <t xml:space="preserve"> Ontario - Vaughan </t>
  </si>
  <si>
    <t>TXN-2023-000740</t>
  </si>
  <si>
    <t>Charlottetown-PE</t>
  </si>
  <si>
    <t>TXN-2023-000660</t>
  </si>
  <si>
    <t xml:space="preserve"> 13.73 CAD </t>
  </si>
  <si>
    <t>TXN-2024-000349</t>
  </si>
  <si>
    <t>21,39</t>
  </si>
  <si>
    <t>CAD 9.52</t>
  </si>
  <si>
    <t>TXN-2023-000464</t>
  </si>
  <si>
    <t>2023.12.26</t>
  </si>
  <si>
    <t>Vaughan,Ontari</t>
  </si>
  <si>
    <t>TXN-2023-000326</t>
  </si>
  <si>
    <t>TXN-2023-000187</t>
  </si>
  <si>
    <t xml:space="preserve">CUST-0039 </t>
  </si>
  <si>
    <t>TXN-2023-000124</t>
  </si>
  <si>
    <t>London / Ontari</t>
  </si>
  <si>
    <t xml:space="preserve"> 4.17 CAD </t>
  </si>
  <si>
    <t>TXN-2023-000854</t>
  </si>
  <si>
    <t>Longueuil / Quebec</t>
  </si>
  <si>
    <t>CAD 28.27</t>
  </si>
  <si>
    <t xml:space="preserve"> 12.52 CAD </t>
  </si>
  <si>
    <t>TXN-2023-000609</t>
  </si>
  <si>
    <t>CUST-0030</t>
  </si>
  <si>
    <t>Sherbrooke, QUEBEC</t>
  </si>
  <si>
    <t>CAD 13.40</t>
  </si>
  <si>
    <t>Txn-2023-000144</t>
  </si>
  <si>
    <t>Brampton (ON)</t>
  </si>
  <si>
    <t>TXN-2023-000198</t>
  </si>
  <si>
    <t xml:space="preserve"> QC - Quebec City </t>
  </si>
  <si>
    <t>TXN-2024-000610</t>
  </si>
  <si>
    <t>CUST-0147</t>
  </si>
  <si>
    <t>Edmonton / Albert</t>
  </si>
  <si>
    <t>TXN-2024-000280</t>
  </si>
  <si>
    <t>TXN-2023-000294</t>
  </si>
  <si>
    <t xml:space="preserve"> Vancouver-British C0lumbi </t>
  </si>
  <si>
    <t>CAD 62.14</t>
  </si>
  <si>
    <t>TXN-2023-000401</t>
  </si>
  <si>
    <t>06/10/2023</t>
  </si>
  <si>
    <t>Hamilton ONTARIO</t>
  </si>
  <si>
    <t>TXN-2023-000123</t>
  </si>
  <si>
    <t>04/10/2023</t>
  </si>
  <si>
    <t>TXN-2024-000184</t>
  </si>
  <si>
    <t>qc - Longueuil</t>
  </si>
  <si>
    <t>TXN-2023-000203</t>
  </si>
  <si>
    <t>TXN-2024-000439</t>
  </si>
  <si>
    <t>St. John's, NewfoundlandandLabrador</t>
  </si>
  <si>
    <t>TXN-2024-000247</t>
  </si>
  <si>
    <t>TXN-2024-000416</t>
  </si>
  <si>
    <t>Moncton-NB</t>
  </si>
  <si>
    <t>9,78</t>
  </si>
  <si>
    <t>TXN-2024-000933</t>
  </si>
  <si>
    <t>2024.07.24</t>
  </si>
  <si>
    <t>bc - Burnaby</t>
  </si>
  <si>
    <t>TXN-2023-000766</t>
  </si>
  <si>
    <t>Gatineau, QC</t>
  </si>
  <si>
    <t xml:space="preserve"> 2.16 CAD </t>
  </si>
  <si>
    <t>TXN-2023-000907</t>
  </si>
  <si>
    <t>Montreal,Quebe</t>
  </si>
  <si>
    <t>TXN-2024-000836</t>
  </si>
  <si>
    <t>TXN-2023-000888</t>
  </si>
  <si>
    <t>Regina,Saskatchewan</t>
  </si>
  <si>
    <t>CAD 19.78</t>
  </si>
  <si>
    <t>TXN-2023-000130</t>
  </si>
  <si>
    <t>17/03/2023</t>
  </si>
  <si>
    <t>TXN-2023-000638</t>
  </si>
  <si>
    <t>TXN-2023-000403</t>
  </si>
  <si>
    <t>06/07/2023</t>
  </si>
  <si>
    <t>Ottawa (Ontari0)</t>
  </si>
  <si>
    <t xml:space="preserve"> 21.76 CAD </t>
  </si>
  <si>
    <t>TXN-2024-000785</t>
  </si>
  <si>
    <t>08/24/2024</t>
  </si>
  <si>
    <t>Toronto,on</t>
  </si>
  <si>
    <t>TXN-2023-000771</t>
  </si>
  <si>
    <t>Hamilton  ON</t>
  </si>
  <si>
    <t>TXN-2024-000736</t>
  </si>
  <si>
    <t>CUST-0159</t>
  </si>
  <si>
    <t>10/19/2024</t>
  </si>
  <si>
    <t>Sydney-NS</t>
  </si>
  <si>
    <t>TXN-2023-000914</t>
  </si>
  <si>
    <t>Surrey BRITISH COLUMBIA</t>
  </si>
  <si>
    <t>TXN-2023-000220</t>
  </si>
  <si>
    <t>CUST-0279</t>
  </si>
  <si>
    <t xml:space="preserve"> 12/29/2023  </t>
  </si>
  <si>
    <t>Fredericton / New Brunswic</t>
  </si>
  <si>
    <t>TXN-2023-000642</t>
  </si>
  <si>
    <t>04/06/2023</t>
  </si>
  <si>
    <t>Saskatoon SASKATCHEWAN</t>
  </si>
  <si>
    <t>CAD 89.93</t>
  </si>
  <si>
    <t>TXN-2024-000916</t>
  </si>
  <si>
    <t>NOVA SCOTIA - Sydney</t>
  </si>
  <si>
    <t>TXN-2023-000753</t>
  </si>
  <si>
    <t>Kelowna-BRITISH COLUMBIA</t>
  </si>
  <si>
    <t>19,30</t>
  </si>
  <si>
    <t>TXN-2023-000807</t>
  </si>
  <si>
    <t>Markham,Ontari</t>
  </si>
  <si>
    <t>TXN-2023-000920</t>
  </si>
  <si>
    <t>Calgary,ALBERTA</t>
  </si>
  <si>
    <t>TXN-2024-000625</t>
  </si>
  <si>
    <t>26/05/2024</t>
  </si>
  <si>
    <t>Gatineau / QUEBEC</t>
  </si>
  <si>
    <t>CAD 17.75</t>
  </si>
  <si>
    <t>TXN-2024-000875</t>
  </si>
  <si>
    <t xml:space="preserve">CUST-0146 </t>
  </si>
  <si>
    <t>27/08/2024</t>
  </si>
  <si>
    <t>TXN-2024-000761</t>
  </si>
  <si>
    <t>10/21/2024</t>
  </si>
  <si>
    <t>Markham (ONTARIO)</t>
  </si>
  <si>
    <t>TXN-2024-000387</t>
  </si>
  <si>
    <t>12/10/2024</t>
  </si>
  <si>
    <t>Vancouver  BritishColumbia</t>
  </si>
  <si>
    <t xml:space="preserve"> 13.37 CAD </t>
  </si>
  <si>
    <t>TXN-2023-000510</t>
  </si>
  <si>
    <t>Kelowna BritishColumbia</t>
  </si>
  <si>
    <t>TXN-2023-000268</t>
  </si>
  <si>
    <t>CUST-0143</t>
  </si>
  <si>
    <t>02/11/2023</t>
  </si>
  <si>
    <t>Surrey (British Columbi)</t>
  </si>
  <si>
    <t>32,90</t>
  </si>
  <si>
    <t>TXN-2023-000820</t>
  </si>
  <si>
    <t>2023.06.30</t>
  </si>
  <si>
    <t>TXN-2023-000497</t>
  </si>
  <si>
    <t>ab - Edmonton</t>
  </si>
  <si>
    <t>TXN-2023-000113</t>
  </si>
  <si>
    <t>CUST-0047</t>
  </si>
  <si>
    <t>09/11/2023</t>
  </si>
  <si>
    <t>TXN-2024-000692</t>
  </si>
  <si>
    <t>Cust-0089</t>
  </si>
  <si>
    <t>Red Deer (Alberta)</t>
  </si>
  <si>
    <t>CAD 10.61</t>
  </si>
  <si>
    <t>TXN-2024-000233</t>
  </si>
  <si>
    <t>2024.04.18</t>
  </si>
  <si>
    <t>1,83</t>
  </si>
  <si>
    <t>TXN-2023-000870</t>
  </si>
  <si>
    <t>CUST-0078</t>
  </si>
  <si>
    <t>2023.02.19</t>
  </si>
  <si>
    <t>Mississauga,Ontario</t>
  </si>
  <si>
    <t>TXN-2023-000608</t>
  </si>
  <si>
    <t>London (ONTARIO)</t>
  </si>
  <si>
    <t xml:space="preserve"> TXN-2024-000672</t>
  </si>
  <si>
    <t>03/18/2024</t>
  </si>
  <si>
    <t>Alberta - Calgary</t>
  </si>
  <si>
    <t>TXN-2024-000374</t>
  </si>
  <si>
    <t>2024.04.12</t>
  </si>
  <si>
    <t>CAD 9.60</t>
  </si>
  <si>
    <t>TXN-2023-000234</t>
  </si>
  <si>
    <t>CUST-0261</t>
  </si>
  <si>
    <t>Mississauga-Ontari</t>
  </si>
  <si>
    <t>CAD 8.51</t>
  </si>
  <si>
    <t>TXN-2024-000786</t>
  </si>
  <si>
    <t xml:space="preserve"> 11.00 CAD </t>
  </si>
  <si>
    <t>TXN-2023-000677</t>
  </si>
  <si>
    <t>Brampton,Ontario</t>
  </si>
  <si>
    <t>TXN-2024-000318</t>
  </si>
  <si>
    <t>Sherbrooke  Quebec</t>
  </si>
  <si>
    <t>TXN-2023-000649</t>
  </si>
  <si>
    <t>6/16/2023</t>
  </si>
  <si>
    <t>Kitchener-Ontario</t>
  </si>
  <si>
    <t>TXN-2023-000411</t>
  </si>
  <si>
    <t>CUST-0206</t>
  </si>
  <si>
    <t xml:space="preserve"> Vaughan Ontario </t>
  </si>
  <si>
    <t>TXN-2024-000899</t>
  </si>
  <si>
    <t>CUST-0150</t>
  </si>
  <si>
    <t xml:space="preserve"> 2024.11.21  </t>
  </si>
  <si>
    <t>Toronto-Ontari</t>
  </si>
  <si>
    <t>TXN-2024-000710</t>
  </si>
  <si>
    <t>10/16/2024</t>
  </si>
  <si>
    <t>Brampton Ontari</t>
  </si>
  <si>
    <t>CAD 42.86</t>
  </si>
  <si>
    <t>TXN-2024-000359</t>
  </si>
  <si>
    <t xml:space="preserve"> Windsor / Ontario </t>
  </si>
  <si>
    <t>TXN-2023-000259</t>
  </si>
  <si>
    <t xml:space="preserve"> Mar 10, 2023  </t>
  </si>
  <si>
    <t>Qu3b3c - Laval</t>
  </si>
  <si>
    <t>TXN-2024-000745</t>
  </si>
  <si>
    <t>London, Ontario</t>
  </si>
  <si>
    <t>CAD 13.39</t>
  </si>
  <si>
    <t>TXN-2024-000628</t>
  </si>
  <si>
    <t>12/16/2024</t>
  </si>
  <si>
    <t>TXN-2023-000633</t>
  </si>
  <si>
    <t>New Brunswic - Saint John</t>
  </si>
  <si>
    <t>TXN-2024-000283</t>
  </si>
  <si>
    <t>CAD 23.45</t>
  </si>
  <si>
    <t>TXN-2023-000377</t>
  </si>
  <si>
    <t>12/11/2023</t>
  </si>
  <si>
    <t xml:space="preserve"> New Brunswick - Moncton </t>
  </si>
  <si>
    <t>TXN-2023-000385</t>
  </si>
  <si>
    <t xml:space="preserve">CUST-0048 </t>
  </si>
  <si>
    <t>06/18/2023</t>
  </si>
  <si>
    <t>Quebec City-Quebec</t>
  </si>
  <si>
    <t>TXN-2024-000225</t>
  </si>
  <si>
    <t>TXN-2024-000815</t>
  </si>
  <si>
    <t>Montreal (QC)</t>
  </si>
  <si>
    <t>Halifax (Nova Scoti)</t>
  </si>
  <si>
    <t>TXN-2023-000348</t>
  </si>
  <si>
    <t>19/04/2023</t>
  </si>
  <si>
    <t>Sherbrooke-Quebec</t>
  </si>
  <si>
    <t>TXN-2024-000506</t>
  </si>
  <si>
    <t>2024.10.01</t>
  </si>
  <si>
    <t>TXN-2023-000640</t>
  </si>
  <si>
    <t>TXN-2023-000858</t>
  </si>
  <si>
    <t>12/27/2023</t>
  </si>
  <si>
    <t>TXN-2023-000929</t>
  </si>
  <si>
    <t>Richmond, BC</t>
  </si>
  <si>
    <t>TXN-2023-000906</t>
  </si>
  <si>
    <t xml:space="preserve">CUST-0073 </t>
  </si>
  <si>
    <t>05/16/2023</t>
  </si>
  <si>
    <t>Brampton-on</t>
  </si>
  <si>
    <t>TXN-2024-000620</t>
  </si>
  <si>
    <t>ONTARIO - Hamilton</t>
  </si>
  <si>
    <t>22,98</t>
  </si>
  <si>
    <t>TXN-2024-000856</t>
  </si>
  <si>
    <t>Cust-0021</t>
  </si>
  <si>
    <t>Kitchener,ONTARIO</t>
  </si>
  <si>
    <t>TXN-2023-000804</t>
  </si>
  <si>
    <t>Edmonton Albert</t>
  </si>
  <si>
    <t>CAD 16.44</t>
  </si>
  <si>
    <t>TXN-2023-000646</t>
  </si>
  <si>
    <t>2023.01.10</t>
  </si>
  <si>
    <t>TXN-2024-000847</t>
  </si>
  <si>
    <t>Red Deer / Albert</t>
  </si>
  <si>
    <t>34,36</t>
  </si>
  <si>
    <t>TXN-2024-000557</t>
  </si>
  <si>
    <t>Laval, qc</t>
  </si>
  <si>
    <t>CAD 87.29</t>
  </si>
  <si>
    <t>TXN-2023-000578</t>
  </si>
  <si>
    <t>CUST-0134</t>
  </si>
  <si>
    <t>St. John's,Newfoundland and Labrador</t>
  </si>
  <si>
    <t>TXN-2024-000796</t>
  </si>
  <si>
    <t>BRITISH COLUMBIA - Richmond</t>
  </si>
  <si>
    <t xml:space="preserve"> 43.40 CAD </t>
  </si>
  <si>
    <t>TXN-2023-000086</t>
  </si>
  <si>
    <t>174,89</t>
  </si>
  <si>
    <t>TXN-2023-000243</t>
  </si>
  <si>
    <t>TXN-2024-000699</t>
  </si>
  <si>
    <t>33,02</t>
  </si>
  <si>
    <t>TXN-2023-000160</t>
  </si>
  <si>
    <t xml:space="preserve"> Sydney NS </t>
  </si>
  <si>
    <t xml:space="preserve"> 30.60 CAD </t>
  </si>
  <si>
    <t>TXN-2024-000525</t>
  </si>
  <si>
    <t>TXN-2023-000036</t>
  </si>
  <si>
    <t>Victoria-British Columbi</t>
  </si>
  <si>
    <t>7,75</t>
  </si>
  <si>
    <t>Txn-2023-000171</t>
  </si>
  <si>
    <t>Red Deer-Albert</t>
  </si>
  <si>
    <t>6,80</t>
  </si>
  <si>
    <t>TXN-2024-000655</t>
  </si>
  <si>
    <t>Cust-0234</t>
  </si>
  <si>
    <t>06/01/2024</t>
  </si>
  <si>
    <t>ab - Red Deer</t>
  </si>
  <si>
    <t>TXN-2023-000891</t>
  </si>
  <si>
    <t>CUST-0285</t>
  </si>
  <si>
    <t>TXN-2023-000848</t>
  </si>
  <si>
    <t xml:space="preserve"> 2023.05.19  </t>
  </si>
  <si>
    <t xml:space="preserve"> Kitchener,ON </t>
  </si>
  <si>
    <t>TXN-2023-000945</t>
  </si>
  <si>
    <t>Cust-0320</t>
  </si>
  <si>
    <t>CAD 12.75</t>
  </si>
  <si>
    <t>TXN-2024-000734</t>
  </si>
  <si>
    <t>Winnipeg,MANITOBA</t>
  </si>
  <si>
    <t>CAD 8.72</t>
  </si>
  <si>
    <t>TXN-2024-000096</t>
  </si>
  <si>
    <t xml:space="preserve"> 12.17 CAD </t>
  </si>
  <si>
    <t>TXN-2024-000564</t>
  </si>
  <si>
    <t>Longueuil, Quebe</t>
  </si>
  <si>
    <t>TXN-2024-000241</t>
  </si>
  <si>
    <t>2024.10.13</t>
  </si>
  <si>
    <t>CAD 11.97</t>
  </si>
  <si>
    <t>Txn-2024-000743</t>
  </si>
  <si>
    <t>4/26/2024</t>
  </si>
  <si>
    <t>Halifax NOVA SCOTIA</t>
  </si>
  <si>
    <t>TXN-2024-000575</t>
  </si>
  <si>
    <t>08/12/2024</t>
  </si>
  <si>
    <t>Brandon Manitoba</t>
  </si>
  <si>
    <t>TXN-2023-000691</t>
  </si>
  <si>
    <t>2023.12.11</t>
  </si>
  <si>
    <t>3,54</t>
  </si>
  <si>
    <t>TXN-2024-000461</t>
  </si>
  <si>
    <t xml:space="preserve"> ab - Lethbridge </t>
  </si>
  <si>
    <t xml:space="preserve"> 51.20 CAD </t>
  </si>
  <si>
    <t>TXN-2024-000554</t>
  </si>
  <si>
    <t>2024.09.20</t>
  </si>
  <si>
    <t>TXN-2024-000889</t>
  </si>
  <si>
    <t>CUST-0307</t>
  </si>
  <si>
    <t>13/08/2024</t>
  </si>
  <si>
    <t>9,58</t>
  </si>
  <si>
    <t xml:space="preserve"> TXN-2023-000207</t>
  </si>
  <si>
    <t>Ottawa,ON</t>
  </si>
  <si>
    <t>TXN-2023-000393</t>
  </si>
  <si>
    <t>19/05/2023</t>
  </si>
  <si>
    <t>Saskatoon, Saskatch3wa</t>
  </si>
  <si>
    <t>TXN-2024-000795</t>
  </si>
  <si>
    <t>CUST-0040</t>
  </si>
  <si>
    <t>2024.07.30</t>
  </si>
  <si>
    <t>Edmonton, Alberta</t>
  </si>
  <si>
    <t>TXN-2024-000398</t>
  </si>
  <si>
    <t xml:space="preserve">CUST-0260 </t>
  </si>
  <si>
    <t>Toronto,ONTARIO</t>
  </si>
  <si>
    <t>TXN-2024-000849</t>
  </si>
  <si>
    <t>QUEBEC - Quebec City</t>
  </si>
  <si>
    <t>TXN-2023-000218</t>
  </si>
  <si>
    <t>TXN-2023-000005</t>
  </si>
  <si>
    <t>03/06/2023</t>
  </si>
  <si>
    <t>London,ON</t>
  </si>
  <si>
    <t>TXN-2023-000769</t>
  </si>
  <si>
    <t>CUST-0015</t>
  </si>
  <si>
    <t>Calgary,AB</t>
  </si>
  <si>
    <t xml:space="preserve"> 13.08 CAD </t>
  </si>
  <si>
    <t>TXN-2023-000643</t>
  </si>
  <si>
    <t>-10,08</t>
  </si>
  <si>
    <t>TXN-2023-000930</t>
  </si>
  <si>
    <t>Quebec City (qc)</t>
  </si>
  <si>
    <t>TXN-2024-000613</t>
  </si>
  <si>
    <t>2024.07.03</t>
  </si>
  <si>
    <t xml:space="preserve"> TXN-2023-000739</t>
  </si>
  <si>
    <t>14/07/2023</t>
  </si>
  <si>
    <t>43,65</t>
  </si>
  <si>
    <t>CAD 12.73</t>
  </si>
  <si>
    <t>TXN-2023-000547</t>
  </si>
  <si>
    <t>Quebec City / Quebe</t>
  </si>
  <si>
    <t>TXN-2023-000726</t>
  </si>
  <si>
    <t>Ottawa,on</t>
  </si>
  <si>
    <t>TXN-2023-000684</t>
  </si>
  <si>
    <t>CUST-0093</t>
  </si>
  <si>
    <t>2023.08.22</t>
  </si>
  <si>
    <t xml:space="preserve"> 13.55 CAD </t>
  </si>
  <si>
    <t>TXN-2024-000099</t>
  </si>
  <si>
    <t>2024.09.06</t>
  </si>
  <si>
    <t>Mississauga  ONTARIO</t>
  </si>
  <si>
    <t>TXN-2024-000805</t>
  </si>
  <si>
    <t>Calgary / ALBERTA</t>
  </si>
  <si>
    <t>TXN-2023-000728</t>
  </si>
  <si>
    <t>Fredericton,NewBrunswick</t>
  </si>
  <si>
    <t>TXN-2024-000574</t>
  </si>
  <si>
    <t>01/17/2024</t>
  </si>
  <si>
    <t>qc - Laval</t>
  </si>
  <si>
    <t>105,20</t>
  </si>
  <si>
    <t>TXN-2023-000503</t>
  </si>
  <si>
    <t>Burnaby bc</t>
  </si>
  <si>
    <t>27,27</t>
  </si>
  <si>
    <t>TXN-2024-000048</t>
  </si>
  <si>
    <t>04/19/2024</t>
  </si>
  <si>
    <t>Vancouver / British Columbia</t>
  </si>
  <si>
    <t>TXN-2023-000033</t>
  </si>
  <si>
    <t>CAD 8.36</t>
  </si>
  <si>
    <t>TXN-2023-000780</t>
  </si>
  <si>
    <t>CUST-0158</t>
  </si>
  <si>
    <t xml:space="preserve"> Markham,Ontario </t>
  </si>
  <si>
    <t>CAD 35.87</t>
  </si>
  <si>
    <t>TXN-2023-000840</t>
  </si>
  <si>
    <t>2023.12.18</t>
  </si>
  <si>
    <t xml:space="preserve"> 18.98 CAD </t>
  </si>
  <si>
    <t>TXN-2024-000201</t>
  </si>
  <si>
    <t>17/07/2024</t>
  </si>
  <si>
    <t>Longueuil,QC</t>
  </si>
  <si>
    <t>TXN-2023-000135</t>
  </si>
  <si>
    <t>03/22/2023</t>
  </si>
  <si>
    <t>Richmond  BC</t>
  </si>
  <si>
    <t>TXN-2023-000028</t>
  </si>
  <si>
    <t>CUST-0049</t>
  </si>
  <si>
    <t xml:space="preserve"> Corner Brook,Newfoundland and Labrador </t>
  </si>
  <si>
    <t>TXN-2023-000881</t>
  </si>
  <si>
    <t>06/22/2023</t>
  </si>
  <si>
    <t>CAD 42.73</t>
  </si>
  <si>
    <t>TXN-2023-000231</t>
  </si>
  <si>
    <t>Longueuil (qc)</t>
  </si>
  <si>
    <t>TXN-2024-000490</t>
  </si>
  <si>
    <t>Montreal, QUEBEC</t>
  </si>
  <si>
    <t>TXN-2023-000773</t>
  </si>
  <si>
    <t>Quebe - Laval</t>
  </si>
  <si>
    <t>TXN-2024-000379</t>
  </si>
  <si>
    <t xml:space="preserve"> Quebec - Gatineau </t>
  </si>
  <si>
    <t>TXN-2023-000289</t>
  </si>
  <si>
    <t>2023.08.30</t>
  </si>
  <si>
    <t>on - Toronto</t>
  </si>
  <si>
    <t>Montreal (qc)</t>
  </si>
  <si>
    <t>TXN-2024-000675</t>
  </si>
  <si>
    <t>02/12/2024</t>
  </si>
  <si>
    <t>TXN-2023-000392</t>
  </si>
  <si>
    <t>2023.11.06</t>
  </si>
  <si>
    <t>TXN-2024-000499</t>
  </si>
  <si>
    <t>11/06/2024</t>
  </si>
  <si>
    <t>TXN-2024-000139</t>
  </si>
  <si>
    <t>TXN-2023-000063</t>
  </si>
  <si>
    <t>TXN-2024-000472</t>
  </si>
  <si>
    <t>Laval / Quebec</t>
  </si>
  <si>
    <t>TXN-2023-000648</t>
  </si>
  <si>
    <t xml:space="preserve">CUST-0277 </t>
  </si>
  <si>
    <t>TXN-2024-000129</t>
  </si>
  <si>
    <t>TXN-2023-000521</t>
  </si>
  <si>
    <t>2023.01.20</t>
  </si>
  <si>
    <t>CAD 35.99</t>
  </si>
  <si>
    <t>TXN-2024-000839</t>
  </si>
  <si>
    <t>CUST-0090</t>
  </si>
  <si>
    <t>2024.06.23</t>
  </si>
  <si>
    <t>TXN-2023-000065</t>
  </si>
  <si>
    <t>Gatineau,QUEBEC</t>
  </si>
  <si>
    <t>5,21</t>
  </si>
  <si>
    <t>TXN-2023-000813</t>
  </si>
  <si>
    <t xml:space="preserve"> Lethbridge (Alberta) </t>
  </si>
  <si>
    <t>CAD 14.64</t>
  </si>
  <si>
    <t>TXN-2024-000015</t>
  </si>
  <si>
    <t>TXN-2024-000157</t>
  </si>
  <si>
    <t>Surrey  BRITISH COLUMBIA</t>
  </si>
  <si>
    <t>TXN-2023-000041</t>
  </si>
  <si>
    <t>09/18/2023</t>
  </si>
  <si>
    <t>Mississauga  on</t>
  </si>
  <si>
    <t xml:space="preserve"> 54.03 CAD </t>
  </si>
  <si>
    <t>TXN-2024-000493</t>
  </si>
  <si>
    <t>Mississauga Ontario</t>
  </si>
  <si>
    <t>TXN-2024-000380</t>
  </si>
  <si>
    <t xml:space="preserve">CUST-0168 </t>
  </si>
  <si>
    <t>TXN-2023-000188</t>
  </si>
  <si>
    <t xml:space="preserve">CUST-0078 </t>
  </si>
  <si>
    <t>Red Deer (ALBERTA)</t>
  </si>
  <si>
    <t>TXN-2023-000764</t>
  </si>
  <si>
    <t>2023.10.28</t>
  </si>
  <si>
    <t>London (ON)</t>
  </si>
  <si>
    <t>CUST-0054</t>
  </si>
  <si>
    <t xml:space="preserve"> Ontario - London </t>
  </si>
  <si>
    <t>TXN-2024-000792</t>
  </si>
  <si>
    <t>Sherbrooke, QC</t>
  </si>
  <si>
    <t>TXN-2024-000053</t>
  </si>
  <si>
    <t>05/14/2024</t>
  </si>
  <si>
    <t>Moncton New Brunswic</t>
  </si>
  <si>
    <t>TXN-2023-000879</t>
  </si>
  <si>
    <t>13/01/2023</t>
  </si>
  <si>
    <t xml:space="preserve"> Ottawa-Ontario </t>
  </si>
  <si>
    <t>TXN-2023-000338</t>
  </si>
  <si>
    <t>2023.10.24</t>
  </si>
  <si>
    <t>TXN-2024-000749</t>
  </si>
  <si>
    <t>TXN-2023-000720</t>
  </si>
  <si>
    <t xml:space="preserve"> Sep 20, 2023  </t>
  </si>
  <si>
    <t>Sherbrooke (QUEBEC)</t>
  </si>
  <si>
    <t>TXN-2024-000725</t>
  </si>
  <si>
    <t>TXN-2023-000296</t>
  </si>
  <si>
    <t>2023.11.03</t>
  </si>
  <si>
    <t>CAD 61.55</t>
  </si>
  <si>
    <t>TXN-2023-000702</t>
  </si>
  <si>
    <t>Red Deer, ALBERTA</t>
  </si>
  <si>
    <t>TXN-2024-000252</t>
  </si>
  <si>
    <t>CAD 48.85</t>
  </si>
  <si>
    <t>TXN-2023-000727</t>
  </si>
  <si>
    <t>Richmond, BRITISH COLUMBIA</t>
  </si>
  <si>
    <t>CAD 53.81</t>
  </si>
  <si>
    <t>TXN-2024-000462</t>
  </si>
  <si>
    <t xml:space="preserve"> 31.85 CAD </t>
  </si>
  <si>
    <t>CAD 13.07</t>
  </si>
  <si>
    <t>TXN-2023-000456</t>
  </si>
  <si>
    <t>06/11/2023</t>
  </si>
  <si>
    <t xml:space="preserve"> Lethbridge,ab </t>
  </si>
  <si>
    <t xml:space="preserve"> 20.13 CAD </t>
  </si>
  <si>
    <t>cust-0167</t>
  </si>
  <si>
    <t xml:space="preserve"> Victoria bc</t>
  </si>
  <si>
    <t>TXN-2024-000816</t>
  </si>
  <si>
    <t>Laval,Quebec</t>
  </si>
  <si>
    <t>15,39</t>
  </si>
  <si>
    <t>TXN-2023-000863</t>
  </si>
  <si>
    <t>Cust-0187</t>
  </si>
  <si>
    <t>Toronto  Ontario</t>
  </si>
  <si>
    <t>TXN-2024-000270</t>
  </si>
  <si>
    <t>Hamilton-Ontari</t>
  </si>
  <si>
    <t>TXN-2024-000202</t>
  </si>
  <si>
    <t>TXN-2023-000162</t>
  </si>
  <si>
    <t xml:space="preserve"> Kitchener ON </t>
  </si>
  <si>
    <t>CAD 48.48</t>
  </si>
  <si>
    <t>TXN-2024-000556</t>
  </si>
  <si>
    <t>Richmond  BritishColumbia</t>
  </si>
  <si>
    <t>TXN-2024-000730</t>
  </si>
  <si>
    <t>TXN-2024-000402</t>
  </si>
  <si>
    <t>Markham-Ontario</t>
  </si>
  <si>
    <t>TXN-2024-000703</t>
  </si>
  <si>
    <t>Saskatoon, SK</t>
  </si>
  <si>
    <t>TXN-2023-000477</t>
  </si>
  <si>
    <t>2023.01.14</t>
  </si>
  <si>
    <t>Sherbrooke / qc</t>
  </si>
  <si>
    <t>TXN-2024-000822</t>
  </si>
  <si>
    <t>TXN-2024-000772</t>
  </si>
  <si>
    <t>TXN-2024-000106</t>
  </si>
  <si>
    <t>Brampton / Ontario</t>
  </si>
  <si>
    <t>TXN-2023-000566</t>
  </si>
  <si>
    <t>Richmond-BritishColumbia</t>
  </si>
  <si>
    <t>TXN-2023-000002</t>
  </si>
  <si>
    <t xml:space="preserve"> 8.61 CAD </t>
  </si>
  <si>
    <t>TXN-2023-000938</t>
  </si>
  <si>
    <t>TXN-2023-000562</t>
  </si>
  <si>
    <t>CAD 5.59</t>
  </si>
  <si>
    <t>TXN-2023-000081</t>
  </si>
  <si>
    <t>CUST-0289</t>
  </si>
  <si>
    <t>Ontari - Markham</t>
  </si>
  <si>
    <t>TXN-2023-000206</t>
  </si>
  <si>
    <t>Burnaby,British Columbi</t>
  </si>
  <si>
    <t>TXN-2023-000035</t>
  </si>
  <si>
    <t>Laval, QC</t>
  </si>
  <si>
    <t>CAD 56.00</t>
  </si>
  <si>
    <t>TXN-2024-000776</t>
  </si>
  <si>
    <t>04/23/2024</t>
  </si>
  <si>
    <t xml:space="preserve"> Richmond,BRITISH COLUMBIA </t>
  </si>
  <si>
    <t>CAD 5.45</t>
  </si>
  <si>
    <t>TXN-2023-000509</t>
  </si>
  <si>
    <t>05/17/2023</t>
  </si>
  <si>
    <t>Richmond British Columbia</t>
  </si>
  <si>
    <t>TXN-2024-000428</t>
  </si>
  <si>
    <t>London / ON</t>
  </si>
  <si>
    <t>TXN-2024-000455</t>
  </si>
  <si>
    <t>CUST-0174</t>
  </si>
  <si>
    <t>Victoria-BRITISH COLUMBIA</t>
  </si>
  <si>
    <t>TXN-2023-000367</t>
  </si>
  <si>
    <t>04/14/2023</t>
  </si>
  <si>
    <t>CAD 18.96</t>
  </si>
  <si>
    <t>TXN-2024-000092</t>
  </si>
  <si>
    <t xml:space="preserve">CUST-0124 </t>
  </si>
  <si>
    <t>Markham, Ontari</t>
  </si>
  <si>
    <t>TXN-2024-000340</t>
  </si>
  <si>
    <t>Surrey British Columbi</t>
  </si>
  <si>
    <t>TXN-2023-000898</t>
  </si>
  <si>
    <t>09/10/2023</t>
  </si>
  <si>
    <t>Ontario - London</t>
  </si>
  <si>
    <t>TXN-2024-000565</t>
  </si>
  <si>
    <t>07/05/2024</t>
  </si>
  <si>
    <t>Gatineau (Quebe)</t>
  </si>
  <si>
    <t>TXN-2023-000346</t>
  </si>
  <si>
    <t>TXN-2024-000777</t>
  </si>
  <si>
    <t>QC - Quebec City</t>
  </si>
  <si>
    <t>TXN-2024-000242</t>
  </si>
  <si>
    <t>2024.01.02</t>
  </si>
  <si>
    <t>TXN-2023-000014</t>
  </si>
  <si>
    <t xml:space="preserve"> 10/10/2023  </t>
  </si>
  <si>
    <t>Longueuil  qc</t>
  </si>
  <si>
    <t xml:space="preserve"> 8.03 CAD </t>
  </si>
  <si>
    <t>TXN-2024-000316</t>
  </si>
  <si>
    <t>CUST-0087</t>
  </si>
  <si>
    <t>08/04/2024</t>
  </si>
  <si>
    <t>TXN-2023-000601</t>
  </si>
  <si>
    <t>TXN-2024-000388</t>
  </si>
  <si>
    <t>Vancouver BRITISH COLUMBIA</t>
  </si>
  <si>
    <t>TXN-2023-000274</t>
  </si>
  <si>
    <t>Gatineau-QC</t>
  </si>
  <si>
    <t>TXN-2023-000167</t>
  </si>
  <si>
    <t>TXN-2023-000841</t>
  </si>
  <si>
    <t>Longueuil / QUEBEC</t>
  </si>
  <si>
    <t>cust-0108</t>
  </si>
  <si>
    <t xml:space="preserve"> Kelowna British Columbi</t>
  </si>
  <si>
    <t>TXN-2024-000647</t>
  </si>
  <si>
    <t>Surrey (BritishColumbia)</t>
  </si>
  <si>
    <t xml:space="preserve"> 7.94 CAD </t>
  </si>
  <si>
    <t>TXN-2023-000819</t>
  </si>
  <si>
    <t>Regina,SK</t>
  </si>
  <si>
    <t>28,61</t>
  </si>
  <si>
    <t>TXN-2024-000485</t>
  </si>
  <si>
    <t>Red Deer  ab</t>
  </si>
  <si>
    <t>34,75</t>
  </si>
  <si>
    <t>TXN-2023-000505</t>
  </si>
  <si>
    <t>19/07/2023</t>
  </si>
  <si>
    <t>Laval / QC</t>
  </si>
  <si>
    <t>CAD 9.70</t>
  </si>
  <si>
    <t>TXN-2023-000832</t>
  </si>
  <si>
    <t>30,66</t>
  </si>
  <si>
    <t>TXN-2024-000244</t>
  </si>
  <si>
    <t xml:space="preserve"> 2.49 CAD </t>
  </si>
  <si>
    <t>TXN-2024-000567</t>
  </si>
  <si>
    <t>2024.07.01</t>
  </si>
  <si>
    <t xml:space="preserve"> Toronto / Ontario </t>
  </si>
  <si>
    <t>TXN-2023-000876</t>
  </si>
  <si>
    <t>238,61</t>
  </si>
  <si>
    <t>TXN-2023-000563</t>
  </si>
  <si>
    <t>5/8/2023</t>
  </si>
  <si>
    <t>TXN-2023-000687</t>
  </si>
  <si>
    <t>TXN-2024-000190</t>
  </si>
  <si>
    <t>12/21/2024</t>
  </si>
  <si>
    <t>TXN-2023-000783</t>
  </si>
  <si>
    <t>TXN-2023-000700</t>
  </si>
  <si>
    <t>05/01/2023</t>
  </si>
  <si>
    <t>Quebec City,QC</t>
  </si>
  <si>
    <t>TXN-2024-000476</t>
  </si>
  <si>
    <t>2024.08.26</t>
  </si>
  <si>
    <t>Markham (ON)</t>
  </si>
  <si>
    <t>CAD 20.73</t>
  </si>
  <si>
    <t>CAD 9.13</t>
  </si>
  <si>
    <t>TXN-2024-000682</t>
  </si>
  <si>
    <t xml:space="preserve">CUST-0270 </t>
  </si>
  <si>
    <t>2024.04.01</t>
  </si>
  <si>
    <t>TXN-2024-000511</t>
  </si>
  <si>
    <t>04/04/2024</t>
  </si>
  <si>
    <t>Burnaby (British Columbi)</t>
  </si>
  <si>
    <t>TXN-2024-000059</t>
  </si>
  <si>
    <t>12/05/2024</t>
  </si>
  <si>
    <t>TXN-2024-000475</t>
  </si>
  <si>
    <t>CUST-0214</t>
  </si>
  <si>
    <t>10/03/2024</t>
  </si>
  <si>
    <t>TXN-2023-000561</t>
  </si>
  <si>
    <t xml:space="preserve">CUST-0295 </t>
  </si>
  <si>
    <t>Vaughan  ONTARIO</t>
  </si>
  <si>
    <t>TXN-2023-000857</t>
  </si>
  <si>
    <t>TXN-2023-000748</t>
  </si>
  <si>
    <t xml:space="preserve">CUST-0313 </t>
  </si>
  <si>
    <t>Markham, on</t>
  </si>
  <si>
    <t>TXN-2024-000253</t>
  </si>
  <si>
    <t>Windsor (on)</t>
  </si>
  <si>
    <t>TXN-2024-000022</t>
  </si>
  <si>
    <t>CAD 20.76</t>
  </si>
  <si>
    <t>TXN-2024-000314</t>
  </si>
  <si>
    <t>03/22/2024</t>
  </si>
  <si>
    <t xml:space="preserve"> qc - Montreal </t>
  </si>
  <si>
    <t>TXN-2024-000460</t>
  </si>
  <si>
    <t>CAD 25.51</t>
  </si>
  <si>
    <t>TXN-2023-000161</t>
  </si>
  <si>
    <t>12/09/2023</t>
  </si>
  <si>
    <t>BritishColumbia - Burnaby</t>
  </si>
  <si>
    <t>TXN-2023-000277</t>
  </si>
  <si>
    <t>Vancouver, BC</t>
  </si>
  <si>
    <t>TXN-2024-000192</t>
  </si>
  <si>
    <t>CAD 121.27</t>
  </si>
  <si>
    <t>TXN-2023-000386</t>
  </si>
  <si>
    <t>CUST-0157</t>
  </si>
  <si>
    <t>Montreal Quebec</t>
  </si>
  <si>
    <t>TXN-2023-000806</t>
  </si>
  <si>
    <t>Cust-0243</t>
  </si>
  <si>
    <t>TXN-2023-000414</t>
  </si>
  <si>
    <t>39,38</t>
  </si>
  <si>
    <t>TXN-2023-000492</t>
  </si>
  <si>
    <t>London  ON</t>
  </si>
  <si>
    <t>TXN-2023-000344</t>
  </si>
  <si>
    <t>11/1/2023</t>
  </si>
  <si>
    <t>Gatineau  Quebec</t>
  </si>
  <si>
    <t>CAD 1.13</t>
  </si>
  <si>
    <t>TXN-2023-000770</t>
  </si>
  <si>
    <t xml:space="preserve"> 23.42 CAD </t>
  </si>
  <si>
    <t>TXN-2023-000309</t>
  </si>
  <si>
    <t>Markham on</t>
  </si>
  <si>
    <t>TXN-2023-000662</t>
  </si>
  <si>
    <t>TXN-2024-000131</t>
  </si>
  <si>
    <t xml:space="preserve"> Sherbrooke, QC </t>
  </si>
  <si>
    <t>CAD 8.45</t>
  </si>
  <si>
    <t>TXN-2024-000664</t>
  </si>
  <si>
    <t>30,24</t>
  </si>
  <si>
    <t>CAD 11.57</t>
  </si>
  <si>
    <t>TXN-2023-000872</t>
  </si>
  <si>
    <t>2023.07.05</t>
  </si>
  <si>
    <t>CAD 14.65</t>
  </si>
  <si>
    <t>TXN-2024-000100</t>
  </si>
  <si>
    <t>01/21/2024</t>
  </si>
  <si>
    <t>Markham ON</t>
  </si>
  <si>
    <t>TXN-2023-000373</t>
  </si>
  <si>
    <t>TXN-2024-000088</t>
  </si>
  <si>
    <t>CAD 44.45</t>
  </si>
  <si>
    <t>TXN-2024-000459</t>
  </si>
  <si>
    <t>21/05/2024</t>
  </si>
  <si>
    <t>Kitchener / ON</t>
  </si>
  <si>
    <t>5,60</t>
  </si>
  <si>
    <t>TXN-2024-000331</t>
  </si>
  <si>
    <t>05/29/2024</t>
  </si>
  <si>
    <t>Burnaby (British Columbia)</t>
  </si>
  <si>
    <t>TXN-2024-000215</t>
  </si>
  <si>
    <t>12/26/2024</t>
  </si>
  <si>
    <t xml:space="preserve"> Longueuil  Quebe </t>
  </si>
  <si>
    <t>TXN-2024-000467</t>
  </si>
  <si>
    <t>CUST-0022</t>
  </si>
  <si>
    <t>Edmonton-ab</t>
  </si>
  <si>
    <t>TXN-2023-000122</t>
  </si>
  <si>
    <t>CUST-0213</t>
  </si>
  <si>
    <t>2023.07.15</t>
  </si>
  <si>
    <t>Vancouver, British Columbi</t>
  </si>
  <si>
    <t>CAD 13.05</t>
  </si>
  <si>
    <t>6,26</t>
  </si>
  <si>
    <t>TXN-2023-000615</t>
  </si>
  <si>
    <t xml:space="preserve"> 16.88 CAD </t>
  </si>
  <si>
    <t>TXN-2024-000021</t>
  </si>
  <si>
    <t>2024.05.30</t>
  </si>
  <si>
    <t>Burnaby  BC</t>
  </si>
  <si>
    <t>TXN-2023-000701</t>
  </si>
  <si>
    <t>CUST-0179</t>
  </si>
  <si>
    <t>02/17/2023</t>
  </si>
  <si>
    <t>TXN-2024-000072</t>
  </si>
  <si>
    <t xml:space="preserve">CUST-0033 </t>
  </si>
  <si>
    <t>6/4/2024</t>
  </si>
  <si>
    <t xml:space="preserve"> 8.26 CAD </t>
  </si>
  <si>
    <t>TXN-2024-000107</t>
  </si>
  <si>
    <t>Richmond-British Columbia</t>
  </si>
  <si>
    <t>TXN-2023-000271</t>
  </si>
  <si>
    <t xml:space="preserve"> Toronto / ONTARIO </t>
  </si>
  <si>
    <t>14,26</t>
  </si>
  <si>
    <t>TXN-2023-000861</t>
  </si>
  <si>
    <t>Cust-0171</t>
  </si>
  <si>
    <t>Calgary (ALBERTA)</t>
  </si>
  <si>
    <t>TXN-2023-000436</t>
  </si>
  <si>
    <t>Brandon  Manitob</t>
  </si>
  <si>
    <t>TXN-2023-000103</t>
  </si>
  <si>
    <t>03/28/2023</t>
  </si>
  <si>
    <t xml:space="preserve"> Richmond BritishColumbia </t>
  </si>
  <si>
    <t>Age_GROUP</t>
  </si>
  <si>
    <t>Province_CLEAN</t>
  </si>
  <si>
    <t>AB</t>
  </si>
  <si>
    <t>ON</t>
  </si>
  <si>
    <t>QC</t>
  </si>
  <si>
    <t>SK</t>
  </si>
  <si>
    <t>BC</t>
  </si>
  <si>
    <t>MB</t>
  </si>
  <si>
    <t>NS</t>
  </si>
  <si>
    <t>NL</t>
  </si>
  <si>
    <t>Quebe - Longueuil</t>
  </si>
  <si>
    <t>Lethbridge / ALBERTA</t>
  </si>
  <si>
    <t>Regina (SASKATCHEWAN)</t>
  </si>
  <si>
    <t>Vancouver British Columbia</t>
  </si>
  <si>
    <t>Kelowna, British Columbia</t>
  </si>
  <si>
    <t>Brampton, Ontario</t>
  </si>
  <si>
    <t>NB</t>
  </si>
  <si>
    <t>Edmonton  Alberta</t>
  </si>
  <si>
    <t>Victoria BC</t>
  </si>
  <si>
    <t>Markham  on</t>
  </si>
  <si>
    <t>Kelowna  British Columbi</t>
  </si>
  <si>
    <t>QC - Longueuil</t>
  </si>
  <si>
    <t>Edmonton (Alberta)</t>
  </si>
  <si>
    <t>British Columbi - Victoria</t>
  </si>
  <si>
    <t>Gatineau qc</t>
  </si>
  <si>
    <t>nl - St. John's</t>
  </si>
  <si>
    <t>St. John's / NL</t>
  </si>
  <si>
    <t>St. John's-NewfoundlandandLabrador</t>
  </si>
  <si>
    <t>Saint John (NB)</t>
  </si>
  <si>
    <t>Gatineau (Quebec)</t>
  </si>
  <si>
    <t>Kitchener-ONTARIO</t>
  </si>
  <si>
    <t>Victoria,British Columbia</t>
  </si>
  <si>
    <t>BRITISH COLUMBIA - Burnaby</t>
  </si>
  <si>
    <t>London  on</t>
  </si>
  <si>
    <t>Fredericton / NewBrunswick</t>
  </si>
  <si>
    <t>ON - Mississauga</t>
  </si>
  <si>
    <t>Burnaby,BC</t>
  </si>
  <si>
    <t>Montreal (Quebec)</t>
  </si>
  <si>
    <t>Vaughan-on</t>
  </si>
  <si>
    <t>Kitchener, Ontario</t>
  </si>
  <si>
    <t>Mississauga,Ontari</t>
  </si>
  <si>
    <t>PE</t>
  </si>
  <si>
    <t>London, ONTARIO</t>
  </si>
  <si>
    <t>Brandon (Manitoba)</t>
  </si>
  <si>
    <t>Corner Brook,NEWFOUNDLAND AND LABRADOR</t>
  </si>
  <si>
    <t>Toronto  Ontari</t>
  </si>
  <si>
    <t>Gatineau / Quebe</t>
  </si>
  <si>
    <t>Mississauga ON</t>
  </si>
  <si>
    <t>Victoria (BRITISH COLUMBIA)</t>
  </si>
  <si>
    <t>Brandon  mb</t>
  </si>
  <si>
    <t>Vancouver-British C0lumbi</t>
  </si>
  <si>
    <t>New Brunswick - Moncton</t>
  </si>
  <si>
    <t>Sydney NS</t>
  </si>
  <si>
    <t>ab - Lethbridge</t>
  </si>
  <si>
    <t>Corner Brook,Newfoundland and Labrador</t>
  </si>
  <si>
    <t>Quebec - Gatineau</t>
  </si>
  <si>
    <t>Lethbridge,ab</t>
  </si>
  <si>
    <t>Kitchener ON</t>
  </si>
  <si>
    <t>Richmond,BRITISH COLUMBIA</t>
  </si>
  <si>
    <t>Longueuil  Quebe</t>
  </si>
  <si>
    <t>Richmond BritishColumbia</t>
  </si>
  <si>
    <t>Sales_CLEAN</t>
  </si>
  <si>
    <t>Profit_CLEAN</t>
  </si>
  <si>
    <t>Row Labels</t>
  </si>
  <si>
    <t>Grand Total</t>
  </si>
  <si>
    <t>2023</t>
  </si>
  <si>
    <t>2024</t>
  </si>
  <si>
    <t>Column Labels</t>
  </si>
  <si>
    <t>(blank)</t>
  </si>
  <si>
    <t>Sum of Sales_CLEAN</t>
  </si>
  <si>
    <t>Sum of Profit_CLEAN</t>
  </si>
  <si>
    <t>Jan</t>
  </si>
  <si>
    <t>Feb</t>
  </si>
  <si>
    <t>Mar</t>
  </si>
  <si>
    <t>Apr</t>
  </si>
  <si>
    <t>May</t>
  </si>
  <si>
    <t>Jun</t>
  </si>
  <si>
    <t>Jul</t>
  </si>
  <si>
    <t>Aug</t>
  </si>
  <si>
    <t>Sep</t>
  </si>
  <si>
    <t>Oct</t>
  </si>
  <si>
    <t>Nov</t>
  </si>
  <si>
    <t>Dec</t>
  </si>
  <si>
    <r>
      <t xml:space="preserve">3. </t>
    </r>
    <r>
      <rPr>
        <b/>
        <sz val="11"/>
        <color theme="1"/>
        <rFont val="Aptos Narrow"/>
        <family val="2"/>
        <scheme val="minor"/>
      </rPr>
      <t>Category</t>
    </r>
    <r>
      <rPr>
        <sz val="11"/>
        <color theme="1"/>
        <rFont val="Aptos Narrow"/>
        <family val="2"/>
        <scheme val="minor"/>
      </rPr>
      <t xml:space="preserve"> that contributes the most Sales and Profit in each year</t>
    </r>
  </si>
  <si>
    <r>
      <t xml:space="preserve">2. </t>
    </r>
    <r>
      <rPr>
        <b/>
        <sz val="11"/>
        <color theme="1"/>
        <rFont val="Aptos Narrow"/>
        <family val="2"/>
        <scheme val="minor"/>
      </rPr>
      <t>Province</t>
    </r>
    <r>
      <rPr>
        <sz val="11"/>
        <color theme="1"/>
        <rFont val="Aptos Narrow"/>
        <family val="2"/>
        <scheme val="minor"/>
      </rPr>
      <t xml:space="preserve"> having the highest total Sales and Profit (2023–2024 combined)</t>
    </r>
  </si>
  <si>
    <t>Average of Sales_CLEAN</t>
  </si>
  <si>
    <t>Adult (25-34)</t>
  </si>
  <si>
    <t>Mid-Age (35-54)</t>
  </si>
  <si>
    <t>Older Adult (55-75)</t>
  </si>
  <si>
    <t>Young Adult (18-24)</t>
  </si>
  <si>
    <t>Teen (13-17)</t>
  </si>
  <si>
    <r>
      <t xml:space="preserve">1. Total </t>
    </r>
    <r>
      <rPr>
        <b/>
        <sz val="11"/>
        <color theme="1"/>
        <rFont val="Aptos Narrow"/>
        <family val="2"/>
        <scheme val="minor"/>
      </rPr>
      <t>Sales</t>
    </r>
    <r>
      <rPr>
        <sz val="11"/>
        <color theme="1"/>
        <rFont val="Aptos Narrow"/>
        <family val="2"/>
        <scheme val="minor"/>
      </rPr>
      <t xml:space="preserve"> and </t>
    </r>
    <r>
      <rPr>
        <b/>
        <sz val="11"/>
        <color theme="1"/>
        <rFont val="Aptos Narrow"/>
        <family val="2"/>
        <scheme val="minor"/>
      </rPr>
      <t>Profit</t>
    </r>
    <r>
      <rPr>
        <sz val="11"/>
        <color theme="1"/>
        <rFont val="Aptos Narrow"/>
        <family val="2"/>
        <scheme val="minor"/>
      </rPr>
      <t xml:space="preserve"> for 2023 vs 2024</t>
    </r>
  </si>
  <si>
    <r>
      <t xml:space="preserve">4. </t>
    </r>
    <r>
      <rPr>
        <b/>
        <sz val="11"/>
        <color theme="1"/>
        <rFont val="Aptos Narrow"/>
        <family val="2"/>
        <scheme val="minor"/>
      </rPr>
      <t>Gender</t>
    </r>
    <r>
      <rPr>
        <sz val="11"/>
        <color theme="1"/>
        <rFont val="Aptos Narrow"/>
        <family val="2"/>
        <scheme val="minor"/>
      </rPr>
      <t xml:space="preserve"> based difference in average Sales per transaction</t>
    </r>
  </si>
  <si>
    <r>
      <t xml:space="preserve">5. top 3 </t>
    </r>
    <r>
      <rPr>
        <b/>
        <sz val="11"/>
        <color theme="1"/>
        <rFont val="Aptos Narrow"/>
        <family val="2"/>
        <scheme val="minor"/>
      </rPr>
      <t>age values</t>
    </r>
    <r>
      <rPr>
        <sz val="11"/>
        <color theme="1"/>
        <rFont val="Aptos Narrow"/>
        <family val="2"/>
        <scheme val="minor"/>
      </rPr>
      <t xml:space="preserve"> by total </t>
    </r>
    <r>
      <rPr>
        <b/>
        <sz val="11"/>
        <color theme="1"/>
        <rFont val="Aptos Narrow"/>
        <family val="2"/>
        <scheme val="minor"/>
      </rPr>
      <t>Sales</t>
    </r>
    <r>
      <rPr>
        <sz val="11"/>
        <color theme="1"/>
        <rFont val="Aptos Narrow"/>
        <family val="2"/>
        <scheme val="minor"/>
      </rPr>
      <t xml:space="preserve"> with most purchased </t>
    </r>
    <r>
      <rPr>
        <b/>
        <sz val="11"/>
        <color theme="1"/>
        <rFont val="Aptos Narrow"/>
        <family val="2"/>
        <scheme val="minor"/>
      </rPr>
      <t>Category</t>
    </r>
    <r>
      <rPr>
        <sz val="11"/>
        <color theme="1"/>
        <rFont val="Aptos Narrow"/>
        <family val="2"/>
        <scheme val="minor"/>
      </rPr>
      <t>.</t>
    </r>
  </si>
  <si>
    <r>
      <t xml:space="preserve">6. Sales trend </t>
    </r>
    <r>
      <rPr>
        <b/>
        <sz val="11"/>
        <color theme="1"/>
        <rFont val="Aptos Narrow"/>
        <family val="2"/>
        <scheme val="minor"/>
      </rPr>
      <t>month-over-month</t>
    </r>
    <r>
      <rPr>
        <sz val="11"/>
        <color theme="1"/>
        <rFont val="Aptos Narrow"/>
        <family val="2"/>
        <scheme val="minor"/>
      </rPr>
      <t xml:space="preserve"> in 2023 vs 2024, and the peaks</t>
    </r>
  </si>
  <si>
    <r>
      <t xml:space="preserve">8. Channel generating higher Sales and Profit by year and category (Category </t>
    </r>
    <r>
      <rPr>
        <b/>
        <sz val="11"/>
        <color theme="1"/>
        <rFont val="Aptos Narrow"/>
        <family val="2"/>
        <scheme val="minor"/>
      </rPr>
      <t>Slicer</t>
    </r>
    <r>
      <rPr>
        <sz val="11"/>
        <color theme="1"/>
        <rFont val="Aptos Narrow"/>
        <family val="2"/>
        <scheme val="minor"/>
      </rPr>
      <t xml:space="preserve">??) &gt;&gt; </t>
    </r>
    <r>
      <rPr>
        <b/>
        <sz val="11"/>
        <color theme="1"/>
        <rFont val="Aptos Narrow"/>
        <family val="2"/>
        <scheme val="minor"/>
      </rPr>
      <t>Kenji</t>
    </r>
  </si>
  <si>
    <t>Sum of Quantity</t>
  </si>
  <si>
    <t>Age Group</t>
  </si>
  <si>
    <t>Sum of Sales</t>
  </si>
  <si>
    <t>Sum of Profit</t>
  </si>
  <si>
    <t>8. Sales by Channel</t>
  </si>
  <si>
    <t>7. Sales by Age Group</t>
  </si>
  <si>
    <t>Sales by Age Group</t>
  </si>
  <si>
    <t>Selling Channel</t>
  </si>
  <si>
    <t>Yearly Sales by Channel</t>
  </si>
  <si>
    <t>Yearly Sales and Profit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</si>
</sst>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5699"/>
        <bgColor indexed="64"/>
      </patternFill>
    </fill>
    <fill>
      <patternFill patternType="solid">
        <fgColor rgb="FFB3CCE0"/>
        <bgColor indexed="64"/>
      </patternFill>
    </fill>
    <fill>
      <patternFill patternType="solid">
        <fgColor rgb="FF7FAFD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5" fontId="0" fillId="0" borderId="0" xfId="0" applyNumberFormat="1"/>
    <xf numFmtId="8" fontId="0" fillId="0" borderId="0" xfId="0" applyNumberFormat="1"/>
    <xf numFmtId="14" fontId="0" fillId="0" borderId="0" xfId="0" applyNumberFormat="1"/>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0" fillId="33" borderId="0" xfId="0" applyFill="1" applyAlignment="1">
      <alignment horizontal="left"/>
    </xf>
    <xf numFmtId="0" fontId="0" fillId="34" borderId="0" xfId="0" applyFill="1"/>
    <xf numFmtId="4" fontId="0" fillId="0" borderId="0" xfId="0" applyNumberFormat="1"/>
    <xf numFmtId="0" fontId="18" fillId="35" borderId="0" xfId="0" applyFont="1" applyFill="1"/>
    <xf numFmtId="4" fontId="18" fillId="35" borderId="0" xfId="0" applyNumberFormat="1" applyFont="1" applyFill="1"/>
    <xf numFmtId="0" fontId="16" fillId="36" borderId="0" xfId="0" applyFont="1" applyFill="1"/>
    <xf numFmtId="0" fontId="16" fillId="35" borderId="0" xfId="0" applyFont="1" applyFill="1"/>
    <xf numFmtId="0" fontId="13" fillId="34" borderId="0" xfId="0" applyFont="1" applyFill="1" applyAlignment="1">
      <alignment horizontal="center"/>
    </xf>
    <xf numFmtId="0" fontId="16" fillId="34" borderId="0" xfId="0" applyFont="1" applyFill="1" applyAlignment="1">
      <alignment horizontal="center"/>
    </xf>
    <xf numFmtId="0" fontId="0" fillId="0" borderId="0" xfId="0" applyNumberFormat="1"/>
    <xf numFmtId="0" fontId="0" fillId="33" borderId="0" xfId="0" applyNumberFormat="1" applyFill="1"/>
    <xf numFmtId="0" fontId="0" fillId="0" borderId="0" xfId="0" applyFill="1" applyAlignment="1"/>
    <xf numFmtId="0" fontId="0" fillId="0" borderId="0" xfId="0" applyNumberFormat="1" applyFill="1"/>
    <xf numFmtId="4" fontId="0" fillId="0" borderId="0" xfId="0" applyNumberFormat="1" applyFill="1"/>
    <xf numFmtId="4" fontId="0" fillId="0" borderId="0" xfId="0" applyNumberFormat="1" applyFill="1" applyAlignment="1"/>
    <xf numFmtId="2" fontId="0" fillId="0"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numFmt numFmtId="4" formatCode="#,##0.0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numFmt numFmtId="2" formatCode="0.00"/>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numFmt numFmtId="4" formatCode="#,##0.0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none">
          <bgColor auto="1"/>
        </patternFill>
      </fill>
    </dxf>
    <dxf>
      <fill>
        <patternFill patternType="solid">
          <bgColor rgb="FFFFFF00"/>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fill>
        <patternFill patternType="solid">
          <bgColor rgb="FFFFFF00"/>
        </patternFill>
      </fill>
    </dxf>
    <dxf>
      <numFmt numFmtId="4" formatCode="#,##0.00"/>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fill>
        <patternFill patternType="solid">
          <bgColor rgb="FFFFFF00"/>
        </patternFill>
      </fill>
    </dxf>
    <dxf>
      <numFmt numFmtId="2" formatCode="0.00"/>
    </dxf>
    <dxf>
      <numFmt numFmtId="2" formatCode="0.00"/>
    </dxf>
    <dxf>
      <numFmt numFmtId="0" formatCode="General"/>
    </dxf>
    <dxf>
      <numFmt numFmtId="0" formatCode="General"/>
    </dxf>
    <dxf>
      <numFmt numFmtId="1" formatCode="0"/>
    </dxf>
    <dxf>
      <numFmt numFmtId="19" formatCode="yyyy/mm/dd"/>
    </dxf>
  </dxfs>
  <tableStyles count="0" defaultTableStyle="TableStyleMedium2" defaultPivotStyle="PivotStyleLight16"/>
  <colors>
    <mruColors>
      <color rgb="FFFF69B4"/>
      <color rgb="FF005699"/>
      <color rgb="FFB3CCE0"/>
      <color rgb="FF7FAFD1"/>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[bbw_canada_sales_SOLUTION.xlsx]bbw_Pivot 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Top 3 Age</a:t>
            </a:r>
            <a:r>
              <a:rPr lang="en-CA" baseline="0"/>
              <a:t> values by total Sales and most purchased Category</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'bbw_Pivot Table'!$B$53:$B$54</c:f>
              <c:strCache>
                <c:ptCount val="1"/>
                <c:pt idx="0">
                  <c:v>Body Care</c:v>
                </c:pt>
              </c:strCache>
            </c:strRef>
          </c:tx>
          <c:spPr>
            <a:solidFill>
              <a:schemeClr val="accent1"/>
            </a:solidFill>
            <a:ln>
              <a:noFill/>
            </a:ln>
            <a:effectLst/>
          </c:spPr>
          <c:invertIfNegative val="0"/>
          <c:cat>
            <c:strRef>
              <c:f>'bbw_Pivot Table'!$A$55:$A$58</c:f>
              <c:strCache>
                <c:ptCount val="3"/>
                <c:pt idx="0">
                  <c:v>66</c:v>
                </c:pt>
                <c:pt idx="1">
                  <c:v>(blank)</c:v>
                </c:pt>
                <c:pt idx="2">
                  <c:v>38</c:v>
                </c:pt>
              </c:strCache>
            </c:strRef>
          </c:cat>
          <c:val>
            <c:numRef>
              <c:f>'bbw_Pivot Table'!$B$55:$B$58</c:f>
              <c:numCache>
                <c:formatCode>General</c:formatCode>
                <c:ptCount val="3"/>
                <c:pt idx="0">
                  <c:v>144.35000000000002</c:v>
                </c:pt>
                <c:pt idx="1">
                  <c:v>112.95</c:v>
                </c:pt>
                <c:pt idx="2">
                  <c:v>210.58999999999997</c:v>
                </c:pt>
              </c:numCache>
            </c:numRef>
          </c:val>
          <c:extLst>
            <c:ext xmlns:c16="http://schemas.microsoft.com/office/drawing/2014/chart" uri="{C3380CC4-5D6E-409C-BE32-E72D297353CC}">
              <c16:uniqueId val="{00000000-2781-4053-BF0B-92A35291CF1C}"/>
            </c:ext>
          </c:extLst>
        </c:ser>
        <c:ser>
          <c:idx val="1"/>
          <c:order val="1"/>
          <c:tx>
            <c:strRef>
              <c:f>'bbw_Pivot Table'!$C$53:$C$54</c:f>
              <c:strCache>
                <c:ptCount val="1"/>
                <c:pt idx="0">
                  <c:v>Candles</c:v>
                </c:pt>
              </c:strCache>
            </c:strRef>
          </c:tx>
          <c:spPr>
            <a:solidFill>
              <a:schemeClr val="accent2"/>
            </a:solidFill>
            <a:ln>
              <a:noFill/>
            </a:ln>
            <a:effectLst/>
          </c:spPr>
          <c:invertIfNegative val="0"/>
          <c:cat>
            <c:strRef>
              <c:f>'bbw_Pivot Table'!$A$55:$A$58</c:f>
              <c:strCache>
                <c:ptCount val="3"/>
                <c:pt idx="0">
                  <c:v>66</c:v>
                </c:pt>
                <c:pt idx="1">
                  <c:v>(blank)</c:v>
                </c:pt>
                <c:pt idx="2">
                  <c:v>38</c:v>
                </c:pt>
              </c:strCache>
            </c:strRef>
          </c:cat>
          <c:val>
            <c:numRef>
              <c:f>'bbw_Pivot Table'!$C$55:$C$58</c:f>
              <c:numCache>
                <c:formatCode>General</c:formatCode>
                <c:ptCount val="3"/>
                <c:pt idx="0">
                  <c:v>802.7399999999999</c:v>
                </c:pt>
                <c:pt idx="1">
                  <c:v>533.16000000000008</c:v>
                </c:pt>
                <c:pt idx="2">
                  <c:v>578.59</c:v>
                </c:pt>
              </c:numCache>
            </c:numRef>
          </c:val>
          <c:extLst>
            <c:ext xmlns:c16="http://schemas.microsoft.com/office/drawing/2014/chart" uri="{C3380CC4-5D6E-409C-BE32-E72D297353CC}">
              <c16:uniqueId val="{00000001-2781-4053-BF0B-92A35291CF1C}"/>
            </c:ext>
          </c:extLst>
        </c:ser>
        <c:ser>
          <c:idx val="2"/>
          <c:order val="2"/>
          <c:tx>
            <c:strRef>
              <c:f>'bbw_Pivot Table'!$D$53:$D$54</c:f>
              <c:strCache>
                <c:ptCount val="1"/>
                <c:pt idx="0">
                  <c:v>Hand Soap &amp; Sanitizer</c:v>
                </c:pt>
              </c:strCache>
            </c:strRef>
          </c:tx>
          <c:spPr>
            <a:solidFill>
              <a:schemeClr val="accent3"/>
            </a:solidFill>
            <a:ln>
              <a:noFill/>
            </a:ln>
            <a:effectLst/>
          </c:spPr>
          <c:invertIfNegative val="0"/>
          <c:cat>
            <c:strRef>
              <c:f>'bbw_Pivot Table'!$A$55:$A$58</c:f>
              <c:strCache>
                <c:ptCount val="3"/>
                <c:pt idx="0">
                  <c:v>66</c:v>
                </c:pt>
                <c:pt idx="1">
                  <c:v>(blank)</c:v>
                </c:pt>
                <c:pt idx="2">
                  <c:v>38</c:v>
                </c:pt>
              </c:strCache>
            </c:strRef>
          </c:cat>
          <c:val>
            <c:numRef>
              <c:f>'bbw_Pivot Table'!$D$55:$D$58</c:f>
              <c:numCache>
                <c:formatCode>General</c:formatCode>
                <c:ptCount val="3"/>
                <c:pt idx="0">
                  <c:v>25.67</c:v>
                </c:pt>
                <c:pt idx="1">
                  <c:v>46.96</c:v>
                </c:pt>
                <c:pt idx="2">
                  <c:v>22.83</c:v>
                </c:pt>
              </c:numCache>
            </c:numRef>
          </c:val>
          <c:extLst>
            <c:ext xmlns:c16="http://schemas.microsoft.com/office/drawing/2014/chart" uri="{C3380CC4-5D6E-409C-BE32-E72D297353CC}">
              <c16:uniqueId val="{00000002-2781-4053-BF0B-92A35291CF1C}"/>
            </c:ext>
          </c:extLst>
        </c:ser>
        <c:ser>
          <c:idx val="3"/>
          <c:order val="3"/>
          <c:tx>
            <c:strRef>
              <c:f>'bbw_Pivot Table'!$E$53:$E$54</c:f>
              <c:strCache>
                <c:ptCount val="1"/>
                <c:pt idx="0">
                  <c:v>Men's</c:v>
                </c:pt>
              </c:strCache>
            </c:strRef>
          </c:tx>
          <c:spPr>
            <a:solidFill>
              <a:schemeClr val="accent4"/>
            </a:solidFill>
            <a:ln>
              <a:noFill/>
            </a:ln>
            <a:effectLst/>
          </c:spPr>
          <c:invertIfNegative val="0"/>
          <c:cat>
            <c:strRef>
              <c:f>'bbw_Pivot Table'!$A$55:$A$58</c:f>
              <c:strCache>
                <c:ptCount val="3"/>
                <c:pt idx="0">
                  <c:v>66</c:v>
                </c:pt>
                <c:pt idx="1">
                  <c:v>(blank)</c:v>
                </c:pt>
                <c:pt idx="2">
                  <c:v>38</c:v>
                </c:pt>
              </c:strCache>
            </c:strRef>
          </c:cat>
          <c:val>
            <c:numRef>
              <c:f>'bbw_Pivot Table'!$E$55:$E$58</c:f>
              <c:numCache>
                <c:formatCode>General</c:formatCode>
                <c:ptCount val="3"/>
                <c:pt idx="0">
                  <c:v>187.3</c:v>
                </c:pt>
                <c:pt idx="1">
                  <c:v>93.28</c:v>
                </c:pt>
                <c:pt idx="2">
                  <c:v>65.19</c:v>
                </c:pt>
              </c:numCache>
            </c:numRef>
          </c:val>
          <c:extLst>
            <c:ext xmlns:c16="http://schemas.microsoft.com/office/drawing/2014/chart" uri="{C3380CC4-5D6E-409C-BE32-E72D297353CC}">
              <c16:uniqueId val="{00000006-F3C1-4CFD-8711-16E05F8D69FD}"/>
            </c:ext>
          </c:extLst>
        </c:ser>
        <c:ser>
          <c:idx val="4"/>
          <c:order val="4"/>
          <c:tx>
            <c:strRef>
              <c:f>'bbw_Pivot Table'!$F$53:$F$54</c:f>
              <c:strCache>
                <c:ptCount val="1"/>
                <c:pt idx="0">
                  <c:v>Wallflower &amp; Air Freshener</c:v>
                </c:pt>
              </c:strCache>
            </c:strRef>
          </c:tx>
          <c:spPr>
            <a:solidFill>
              <a:schemeClr val="accent5"/>
            </a:solidFill>
            <a:ln>
              <a:noFill/>
            </a:ln>
            <a:effectLst/>
          </c:spPr>
          <c:invertIfNegative val="0"/>
          <c:cat>
            <c:strRef>
              <c:f>'bbw_Pivot Table'!$A$55:$A$58</c:f>
              <c:strCache>
                <c:ptCount val="3"/>
                <c:pt idx="0">
                  <c:v>66</c:v>
                </c:pt>
                <c:pt idx="1">
                  <c:v>(blank)</c:v>
                </c:pt>
                <c:pt idx="2">
                  <c:v>38</c:v>
                </c:pt>
              </c:strCache>
            </c:strRef>
          </c:cat>
          <c:val>
            <c:numRef>
              <c:f>'bbw_Pivot Table'!$F$55:$F$58</c:f>
              <c:numCache>
                <c:formatCode>General</c:formatCode>
                <c:ptCount val="3"/>
                <c:pt idx="0">
                  <c:v>102.16</c:v>
                </c:pt>
                <c:pt idx="1">
                  <c:v>273.78999999999996</c:v>
                </c:pt>
                <c:pt idx="2">
                  <c:v>109.35000000000001</c:v>
                </c:pt>
              </c:numCache>
            </c:numRef>
          </c:val>
          <c:extLst>
            <c:ext xmlns:c16="http://schemas.microsoft.com/office/drawing/2014/chart" uri="{C3380CC4-5D6E-409C-BE32-E72D297353CC}">
              <c16:uniqueId val="{00000007-F3C1-4CFD-8711-16E05F8D69FD}"/>
            </c:ext>
          </c:extLst>
        </c:ser>
        <c:dLbls>
          <c:showLegendKey val="0"/>
          <c:showVal val="0"/>
          <c:showCatName val="0"/>
          <c:showSerName val="0"/>
          <c:showPercent val="0"/>
          <c:showBubbleSize val="0"/>
        </c:dLbls>
        <c:gapWidth val="219"/>
        <c:overlap val="-27"/>
        <c:axId val="667821312"/>
        <c:axId val="667819392"/>
      </c:barChart>
      <c:catAx>
        <c:axId val="667821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19392"/>
        <c:crosses val="autoZero"/>
        <c:auto val="1"/>
        <c:lblAlgn val="ctr"/>
        <c:lblOffset val="100"/>
        <c:noMultiLvlLbl val="0"/>
      </c:catAx>
      <c:valAx>
        <c:axId val="6678193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2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[bbw_canada_sales_SOLUTION.xlsx]bbw_Pivot Table!PivotTable10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Sales trend month-over-month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'bbw_Pivot Table'!$B$79:$B$80</c:f>
              <c:strCache>
                <c:ptCount val="1"/>
                <c:pt idx="0">
                  <c:v>2023</c:v>
                </c:pt>
              </c:strCache>
            </c:strRef>
          </c:tx>
          <c:spPr>
            <a:ln w="28575" cap="rnd">
              <a:solidFill>
                <a:schemeClr val="accent1"/>
              </a:solidFill>
              <a:round/>
            </a:ln>
            <a:effectLst/>
          </c:spPr>
          <c:marker>
            <c:symbol val="circle"/>
            <c:size val="5"/>
            <c:spPr>
              <a:solidFill>
                <a:schemeClr val="bg1"/>
              </a:solidFill>
              <a:ln w="9525">
                <a:solidFill>
                  <a:schemeClr val="accent1"/>
                </a:solidFill>
              </a:ln>
              <a:effectLst/>
            </c:spPr>
          </c:marker>
          <c:cat>
            <c:strRef>
              <c:f>'bbw_Pivot Table'!$A$81:$A$93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'bbw_Pivot Table'!$B$81:$B$93</c:f>
              <c:numCache>
                <c:formatCode>General</c:formatCode>
                <c:ptCount val="12"/>
                <c:pt idx="0">
                  <c:v>1915.2799999999997</c:v>
                </c:pt>
                <c:pt idx="1">
                  <c:v>2083.6399999999994</c:v>
                </c:pt>
                <c:pt idx="2">
                  <c:v>1908.6599999999999</c:v>
                </c:pt>
                <c:pt idx="3">
                  <c:v>1683.4500000000003</c:v>
                </c:pt>
                <c:pt idx="4">
                  <c:v>1401.88</c:v>
                </c:pt>
                <c:pt idx="5">
                  <c:v>1901.4400000000003</c:v>
                </c:pt>
                <c:pt idx="6">
                  <c:v>1332.0699999999997</c:v>
                </c:pt>
                <c:pt idx="7">
                  <c:v>1179.94</c:v>
                </c:pt>
                <c:pt idx="8">
                  <c:v>1018.4899999999997</c:v>
                </c:pt>
                <c:pt idx="9">
                  <c:v>1221.46</c:v>
                </c:pt>
                <c:pt idx="10">
                  <c:v>1645.0700000000002</c:v>
                </c:pt>
                <c:pt idx="11">
                  <c:v>1641</c:v>
                </c:pt>
              </c:numCache>
            </c:numRef>
          </c:val>
          <c:smooth val="0"/>
          <c:extLst>
            <c:ext xmlns:c16="http://schemas.microsoft.com/office/drawing/2014/chart" uri="{C3380CC4-5D6E-409C-BE32-E72D297353CC}">
              <c16:uniqueId val="{00000000-EDBC-4648-9348-15A54E0548DD}"/>
            </c:ext>
          </c:extLst>
        </c:ser>
        <c:ser>
          <c:idx val="1"/>
          <c:order val="1"/>
          <c:tx>
            <c:strRef>
              <c:f>'bbw_Pivot Table'!$C$79:$C$80</c:f>
              <c:strCache>
                <c:ptCount val="1"/>
                <c:pt idx="0">
                  <c:v>2024</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cat>
            <c:strRef>
              <c:f>'bbw_Pivot Table'!$A$81:$A$93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'bbw_Pivot Table'!$C$81:$C$93</c:f>
              <c:numCache>
                <c:formatCode>General</c:formatCode>
                <c:ptCount val="12"/>
                <c:pt idx="0">
                  <c:v>1560.24</c:v>
                </c:pt>
                <c:pt idx="1">
                  <c:v>853.29</c:v>
                </c:pt>
                <c:pt idx="2">
                  <c:v>929.12000000000023</c:v>
                </c:pt>
                <c:pt idx="3">
                  <c:v>1456.7099999999998</c:v>
                </c:pt>
                <c:pt idx="4">
                  <c:v>1772.3600000000001</c:v>
                </c:pt>
                <c:pt idx="5">
                  <c:v>1614.5100000000002</c:v>
                </c:pt>
                <c:pt idx="6">
                  <c:v>1272.3499999999999</c:v>
                </c:pt>
                <c:pt idx="7">
                  <c:v>1214.4900000000002</c:v>
                </c:pt>
                <c:pt idx="8">
                  <c:v>962.22000000000014</c:v>
                </c:pt>
                <c:pt idx="9">
                  <c:v>948.40000000000009</c:v>
                </c:pt>
                <c:pt idx="10">
                  <c:v>1336.3</c:v>
                </c:pt>
                <c:pt idx="11">
                  <c:v>2492.1599999999994</c:v>
                </c:pt>
              </c:numCache>
            </c:numRef>
          </c:val>
          <c:smooth val="0"/>
          <c:extLst>
            <c:ext xmlns:c16="http://schemas.microsoft.com/office/drawing/2014/chart" uri="{C3380CC4-5D6E-409C-BE32-E72D297353CC}">
              <c16:uniqueId val="{00000001-EDBC-4648-9348-15A54E0548DD}"/>
            </c:ext>
          </c:extLst>
        </c:ser>
        <c:dLbls>
          <c:showLegendKey val="0"/>
          <c:showVal val="0"/>
          <c:showCatName val="0"/>
          <c:showSerName val="0"/>
          <c:showPercent val="0"/>
          <c:showBubbleSize val="0"/>
        </c:dLbls>
        <c:marker val="1"/>
        <c:smooth val="0"/>
        <c:axId val="667865952"/>
        <c:axId val="667873152"/>
      </c:lineChart>
      <c:catAx>
        <c:axId val="667865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73152"/>
        <c:crosses val="autoZero"/>
        <c:auto val="1"/>
        <c:lblAlgn val="ctr"/>
        <c:lblOffset val="100"/>
        <c:noMultiLvlLbl val="0"/>
      </c:catAx>
      <c:valAx>
        <c:axId val="6678731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6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[bbw_canada_sales_SOLUTION.xlsx]bbw_Pivot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Sales and Profit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774397617956025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027882991949743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774397617956020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5209122439623031E-2"/>
              <c:y val="-8.161652490952366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'bbw_Pivot Table'!$B$164</c:f>
              <c:strCache>
                <c:ptCount val="1"/>
                <c:pt idx="0">
                  <c:v>Sum of Sales_CLEAN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'bbw_Pivot Table'!$A$165:$A$171</c:f>
              <c:multiLvlStrCache>
                <c:ptCount val="4"/>
                <c:lvl>
                  <c:pt idx="0">
                    <c:v>Online</c:v>
                  </c:pt>
                  <c:pt idx="1">
                    <c:v>Store</c:v>
                  </c:pt>
                  <c:pt idx="2">
                    <c:v>Online</c:v>
                  </c:pt>
                  <c:pt idx="3">
                    <c:v>Store</c:v>
                  </c:pt>
                </c:lvl>
                <c:lvl>
                  <c:pt idx="0">
                    <c:v>2023</c:v>
                  </c:pt>
                  <c:pt idx="2">
                    <c:v>2024</c:v>
                  </c:pt>
                </c:lvl>
              </c:multiLvlStrCache>
            </c:multiLvlStrRef>
          </c:cat>
          <c:val>
            <c:numRef>
              <c:f>'bbw_Pivot Table'!$B$165:$B$171</c:f>
              <c:numCache>
                <c:formatCode>General</c:formatCode>
                <c:ptCount val="4"/>
                <c:pt idx="0">
                  <c:v>9755.8300000000017</c:v>
                </c:pt>
                <c:pt idx="1">
                  <c:v>9176.5499999999956</c:v>
                </c:pt>
                <c:pt idx="2">
                  <c:v>8461.8799999999992</c:v>
                </c:pt>
                <c:pt idx="3">
                  <c:v>7950.2699999999977</c:v>
                </c:pt>
              </c:numCache>
            </c:numRef>
          </c:val>
          <c:extLst>
            <c:ext xmlns:c16="http://schemas.microsoft.com/office/drawing/2014/chart" uri="{C3380CC4-5D6E-409C-BE32-E72D297353CC}">
              <c16:uniqueId val="{00000000-E3C6-4BE9-9880-A96390A68876}"/>
            </c:ext>
          </c:extLst>
        </c:ser>
        <c:ser>
          <c:idx val="1"/>
          <c:order val="1"/>
          <c:tx>
            <c:strRef>
              <c:f>'bbw_Pivot Table'!$C$164</c:f>
              <c:strCache>
                <c:ptCount val="1"/>
                <c:pt idx="0">
                  <c:v>Sum of Profit_CLEAN</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6-E3C6-4BE9-9880-A96390A68876}"/>
              </c:ext>
            </c:extLst>
          </c:dPt>
          <c:dPt>
            <c:idx val="1"/>
            <c:invertIfNegative val="0"/>
            <c:bubble3D val="0"/>
            <c:extLst>
              <c:ext xmlns:c16="http://schemas.microsoft.com/office/drawing/2014/chart" uri="{C3380CC4-5D6E-409C-BE32-E72D297353CC}">
                <c16:uniqueId val="{00000005-E3C6-4BE9-9880-A96390A68876}"/>
              </c:ext>
            </c:extLst>
          </c:dPt>
          <c:dPt>
            <c:idx val="2"/>
            <c:invertIfNegative val="0"/>
            <c:bubble3D val="0"/>
            <c:extLst>
              <c:ext xmlns:c16="http://schemas.microsoft.com/office/drawing/2014/chart" uri="{C3380CC4-5D6E-409C-BE32-E72D297353CC}">
                <c16:uniqueId val="{00000004-E3C6-4BE9-9880-A96390A68876}"/>
              </c:ext>
            </c:extLst>
          </c:dPt>
          <c:dPt>
            <c:idx val="3"/>
            <c:invertIfNegative val="0"/>
            <c:bubble3D val="0"/>
            <c:extLst>
              <c:ext xmlns:c16="http://schemas.microsoft.com/office/drawing/2014/chart" uri="{C3380CC4-5D6E-409C-BE32-E72D297353CC}">
                <c16:uniqueId val="{00000003-E3C6-4BE9-9880-A96390A68876}"/>
              </c:ext>
            </c:extLst>
          </c:dPt>
          <c:dLbls>
            <c:dLbl>
              <c:idx val="0"/>
              <c:layout>
                <c:manualLayout>
                  <c:x val="1.5209122439623031E-2"/>
                  <c:y val="-8.161652490952366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C6-4BE9-9880-A96390A68876}"/>
                </c:ext>
              </c:extLst>
            </c:dLbl>
            <c:dLbl>
              <c:idx val="1"/>
              <c:layout>
                <c:manualLayout>
                  <c:x val="1.774397617956020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C6-4BE9-9880-A96390A68876}"/>
                </c:ext>
              </c:extLst>
            </c:dLbl>
            <c:dLbl>
              <c:idx val="2"/>
              <c:layout>
                <c:manualLayout>
                  <c:x val="2.027882991949743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C6-4BE9-9880-A96390A68876}"/>
                </c:ext>
              </c:extLst>
            </c:dLbl>
            <c:dLbl>
              <c:idx val="3"/>
              <c:layout>
                <c:manualLayout>
                  <c:x val="1.774397617956025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C6-4BE9-9880-A96390A6887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'bbw_Pivot Table'!$A$165:$A$171</c:f>
              <c:multiLvlStrCache>
                <c:ptCount val="4"/>
                <c:lvl>
                  <c:pt idx="0">
                    <c:v>Online</c:v>
                  </c:pt>
                  <c:pt idx="1">
                    <c:v>Store</c:v>
                  </c:pt>
                  <c:pt idx="2">
                    <c:v>Online</c:v>
                  </c:pt>
                  <c:pt idx="3">
                    <c:v>Store</c:v>
                  </c:pt>
                </c:lvl>
                <c:lvl>
                  <c:pt idx="0">
                    <c:v>2023</c:v>
                  </c:pt>
                  <c:pt idx="2">
                    <c:v>2024</c:v>
                  </c:pt>
                </c:lvl>
              </c:multiLvlStrCache>
            </c:multiLvlStrRef>
          </c:cat>
          <c:val>
            <c:numRef>
              <c:f>'bbw_Pivot Table'!$C$165:$C$171</c:f>
              <c:numCache>
                <c:formatCode>General</c:formatCode>
                <c:ptCount val="4"/>
                <c:pt idx="0">
                  <c:v>4233.16</c:v>
                </c:pt>
                <c:pt idx="1">
                  <c:v>3710.7300000000005</c:v>
                </c:pt>
                <c:pt idx="2">
                  <c:v>3378.4200000000005</c:v>
                </c:pt>
                <c:pt idx="3">
                  <c:v>3302.86</c:v>
                </c:pt>
              </c:numCache>
            </c:numRef>
          </c:val>
          <c:extLst>
            <c:ext xmlns:c16="http://schemas.microsoft.com/office/drawing/2014/chart" uri="{C3380CC4-5D6E-409C-BE32-E72D297353CC}">
              <c16:uniqueId val="{00000001-E3C6-4BE9-9880-A96390A68876}"/>
            </c:ext>
          </c:extLst>
        </c:ser>
        <c:dLbls>
          <c:showLegendKey val="0"/>
          <c:showVal val="0"/>
          <c:showCatName val="0"/>
          <c:showSerName val="0"/>
          <c:showPercent val="0"/>
          <c:showBubbleSize val="0"/>
        </c:dLbls>
        <c:gapWidth val="219"/>
        <c:overlap val="-27"/>
        <c:axId val="627868192"/>
        <c:axId val="627856192"/>
      </c:barChart>
      <c:catAx>
        <c:axId val="62786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Sales</a:t>
                </a:r>
                <a:r>
                  <a:rPr lang="en-CA" baseline="0"/>
                  <a:t> Channel</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56192"/>
        <c:crosses val="autoZero"/>
        <c:auto val="1"/>
        <c:lblAlgn val="ctr"/>
        <c:lblOffset val="100"/>
        <c:noMultiLvlLbl val="0"/>
      </c:catAx>
      <c:valAx>
        <c:axId val="6278561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Sales and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6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[bbw_canada_sales_SOLUTION.xlsx]bbw_Pivot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Sales and Profit by Province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46038683462418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4603868346241743E-2"/>
              <c:y val="-9.4378965848824484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7623210077451101E-3"/>
              <c:y val="-9.4378965848824484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752464201549022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'bbw_Pivot Table'!$B$12</c:f>
              <c:strCache>
                <c:ptCount val="1"/>
                <c:pt idx="0">
                  <c:v>Sum of Sales_CLEAN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'bbw_Pivot Table'!$A$13:$A$17</c:f>
              <c:strCache>
                <c:ptCount val="4"/>
                <c:pt idx="0">
                  <c:v>ON</c:v>
                </c:pt>
                <c:pt idx="1">
                  <c:v>QC</c:v>
                </c:pt>
                <c:pt idx="2">
                  <c:v>BC</c:v>
                </c:pt>
                <c:pt idx="3">
                  <c:v>AB</c:v>
                </c:pt>
              </c:strCache>
            </c:strRef>
          </c:cat>
          <c:val>
            <c:numRef>
              <c:f>'bbw_Pivot Table'!$B$13:$B$17</c:f>
              <c:numCache>
                <c:formatCode>General</c:formatCode>
                <c:ptCount val="4"/>
                <c:pt idx="0">
                  <c:v>13260.100000000002</c:v>
                </c:pt>
                <c:pt idx="1">
                  <c:v>8563.5700000000015</c:v>
                </c:pt>
                <c:pt idx="2">
                  <c:v>4566.5499999999975</c:v>
                </c:pt>
                <c:pt idx="3">
                  <c:v>4253.2199999999993</c:v>
                </c:pt>
              </c:numCache>
            </c:numRef>
          </c:val>
          <c:extLst>
            <c:ext xmlns:c16="http://schemas.microsoft.com/office/drawing/2014/chart" uri="{C3380CC4-5D6E-409C-BE32-E72D297353CC}">
              <c16:uniqueId val="{00000000-5DEC-40EE-A76E-7B574952A628}"/>
            </c:ext>
          </c:extLst>
        </c:ser>
        <c:ser>
          <c:idx val="1"/>
          <c:order val="1"/>
          <c:tx>
            <c:strRef>
              <c:f>'bbw_Pivot Table'!$C$12</c:f>
              <c:strCache>
                <c:ptCount val="1"/>
                <c:pt idx="0">
                  <c:v>Sum of Profit_CLEAN</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6-5DEC-40EE-A76E-7B574952A628}"/>
              </c:ext>
            </c:extLst>
          </c:dPt>
          <c:dPt>
            <c:idx val="1"/>
            <c:invertIfNegative val="0"/>
            <c:bubble3D val="0"/>
            <c:extLst>
              <c:ext xmlns:c16="http://schemas.microsoft.com/office/drawing/2014/chart" uri="{C3380CC4-5D6E-409C-BE32-E72D297353CC}">
                <c16:uniqueId val="{00000005-5DEC-40EE-A76E-7B574952A628}"/>
              </c:ext>
            </c:extLst>
          </c:dPt>
          <c:dPt>
            <c:idx val="2"/>
            <c:invertIfNegative val="0"/>
            <c:bubble3D val="0"/>
            <c:extLst>
              <c:ext xmlns:c16="http://schemas.microsoft.com/office/drawing/2014/chart" uri="{C3380CC4-5D6E-409C-BE32-E72D297353CC}">
                <c16:uniqueId val="{00000003-5DEC-40EE-A76E-7B574952A628}"/>
              </c:ext>
            </c:extLst>
          </c:dPt>
          <c:dPt>
            <c:idx val="3"/>
            <c:invertIfNegative val="0"/>
            <c:bubble3D val="0"/>
            <c:extLst>
              <c:ext xmlns:c16="http://schemas.microsoft.com/office/drawing/2014/chart" uri="{C3380CC4-5D6E-409C-BE32-E72D297353CC}">
                <c16:uniqueId val="{00000004-5DEC-40EE-A76E-7B574952A628}"/>
              </c:ext>
            </c:extLst>
          </c:dPt>
          <c:dLbls>
            <c:dLbl>
              <c:idx val="0"/>
              <c:layout>
                <c:manualLayout>
                  <c:x val="1.75246420154902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DEC-40EE-A76E-7B574952A628}"/>
                </c:ext>
              </c:extLst>
            </c:dLbl>
            <c:dLbl>
              <c:idx val="1"/>
              <c:layout>
                <c:manualLayout>
                  <c:x val="8.7623210077451101E-3"/>
                  <c:y val="-9.437896584882448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EC-40EE-A76E-7B574952A628}"/>
                </c:ext>
              </c:extLst>
            </c:dLbl>
            <c:dLbl>
              <c:idx val="2"/>
              <c:layout>
                <c:manualLayout>
                  <c:x val="1.46038683462418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EC-40EE-A76E-7B574952A628}"/>
                </c:ext>
              </c:extLst>
            </c:dLbl>
            <c:dLbl>
              <c:idx val="3"/>
              <c:layout>
                <c:manualLayout>
                  <c:x val="1.4603868346241743E-2"/>
                  <c:y val="-9.437896584882448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DEC-40EE-A76E-7B574952A62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'bbw_Pivot Table'!$A$13:$A$17</c:f>
              <c:strCache>
                <c:ptCount val="4"/>
                <c:pt idx="0">
                  <c:v>ON</c:v>
                </c:pt>
                <c:pt idx="1">
                  <c:v>QC</c:v>
                </c:pt>
                <c:pt idx="2">
                  <c:v>BC</c:v>
                </c:pt>
                <c:pt idx="3">
                  <c:v>AB</c:v>
                </c:pt>
              </c:strCache>
            </c:strRef>
          </c:cat>
          <c:val>
            <c:numRef>
              <c:f>'bbw_Pivot Table'!$C$13:$C$17</c:f>
              <c:numCache>
                <c:formatCode>General</c:formatCode>
                <c:ptCount val="4"/>
                <c:pt idx="0">
                  <c:v>5370.25</c:v>
                </c:pt>
                <c:pt idx="1">
                  <c:v>3627.4999999999991</c:v>
                </c:pt>
                <c:pt idx="2">
                  <c:v>1966.8799999999994</c:v>
                </c:pt>
                <c:pt idx="3">
                  <c:v>1708.5200000000004</c:v>
                </c:pt>
              </c:numCache>
            </c:numRef>
          </c:val>
          <c:extLst>
            <c:ext xmlns:c16="http://schemas.microsoft.com/office/drawing/2014/chart" uri="{C3380CC4-5D6E-409C-BE32-E72D297353CC}">
              <c16:uniqueId val="{00000001-5DEC-40EE-A76E-7B574952A628}"/>
            </c:ext>
          </c:extLst>
        </c:ser>
        <c:dLbls>
          <c:showLegendKey val="0"/>
          <c:showVal val="0"/>
          <c:showCatName val="0"/>
          <c:showSerName val="0"/>
          <c:showPercent val="0"/>
          <c:showBubbleSize val="0"/>
        </c:dLbls>
        <c:gapWidth val="219"/>
        <c:overlap val="-27"/>
        <c:axId val="627850432"/>
        <c:axId val="627867712"/>
      </c:barChart>
      <c:catAx>
        <c:axId val="62785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67712"/>
        <c:crosses val="autoZero"/>
        <c:auto val="1"/>
        <c:lblAlgn val="ctr"/>
        <c:lblOffset val="100"/>
        <c:noMultiLvlLbl val="0"/>
      </c:catAx>
      <c:valAx>
        <c:axId val="627867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50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[bbw_canada_sales_SOLUTION.xlsx]bbw_Pivot Table!PivotTable5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bg1"/>
            </a:solidFill>
            <a:ln w="9525">
              <a:solidFill>
                <a:schemeClr val="accent2"/>
              </a:solidFill>
            </a:ln>
            <a:effectLst/>
          </c:spPr>
        </c:marker>
      </c:pivotFmt>
      <c:pivotFmt>
        <c:idx val="3"/>
        <c:spPr>
          <a:ln w="28575" cap="rnd">
            <a:solidFill>
              <a:schemeClr val="accent2"/>
            </a:solidFill>
            <a:round/>
          </a:ln>
          <a:effectLst/>
        </c:spPr>
        <c:marker>
          <c:symbol val="circle"/>
          <c:size val="5"/>
          <c:spPr>
            <a:solidFill>
              <a:schemeClr val="bg1"/>
            </a:solidFill>
            <a:ln w="9525">
              <a:solidFill>
                <a:schemeClr val="accent2"/>
              </a:solidFill>
            </a:ln>
            <a:effectLst/>
          </c:spPr>
        </c:marker>
      </c:pivotFmt>
      <c:pivotFmt>
        <c:idx val="4"/>
        <c:spPr>
          <a:ln w="28575" cap="rnd">
            <a:solidFill>
              <a:schemeClr val="accent2"/>
            </a:solidFill>
            <a:round/>
          </a:ln>
          <a:effectLst/>
        </c:spPr>
        <c:marker>
          <c:symbol val="circle"/>
          <c:size val="5"/>
          <c:spPr>
            <a:solidFill>
              <a:schemeClr val="bg1"/>
            </a:solidFill>
            <a:ln w="9525">
              <a:solidFill>
                <a:schemeClr val="accent2"/>
              </a:solidFill>
            </a:ln>
            <a:effectLst/>
          </c:spPr>
        </c:marker>
      </c:pivotFmt>
      <c:pivotFmt>
        <c:idx val="5"/>
        <c:spPr>
          <a:ln w="28575" cap="rnd">
            <a:solidFill>
              <a:schemeClr val="accent2"/>
            </a:solidFill>
            <a:round/>
          </a:ln>
          <a:effectLst/>
        </c:spPr>
        <c:marker>
          <c:symbol val="circle"/>
          <c:size val="5"/>
          <c:spPr>
            <a:solidFill>
              <a:schemeClr val="bg1"/>
            </a:solidFill>
            <a:ln w="9525">
              <a:solidFill>
                <a:schemeClr val="accent2"/>
              </a:solidFill>
            </a:ln>
            <a:effectLst/>
          </c:spPr>
        </c:marker>
      </c:pivotFmt>
      <c:pivotFmt>
        <c:idx val="6"/>
        <c:spPr>
          <a:ln w="28575" cap="rnd">
            <a:solidFill>
              <a:schemeClr val="accent2"/>
            </a:solidFill>
            <a:round/>
          </a:ln>
          <a:effectLst/>
        </c:spPr>
        <c:marker>
          <c:symbol val="circle"/>
          <c:size val="5"/>
          <c:spPr>
            <a:solidFill>
              <a:schemeClr val="bg1"/>
            </a:solidFill>
            <a:ln w="9525">
              <a:solidFill>
                <a:schemeClr val="accent2"/>
              </a:solidFill>
            </a:ln>
            <a:effectLst/>
          </c:spPr>
        </c:marker>
      </c:pivotFmt>
      <c:pivotFmt>
        <c:idx val="7"/>
        <c:spPr>
          <a:ln w="28575" cap="rnd">
            <a:solidFill>
              <a:schemeClr val="accent2"/>
            </a:solidFill>
            <a:round/>
          </a:ln>
          <a:effectLst/>
        </c:spPr>
        <c:marker>
          <c:symbol val="circle"/>
          <c:size val="5"/>
          <c:spPr>
            <a:solidFill>
              <a:schemeClr val="bg1"/>
            </a:solidFill>
            <a:ln w="9525">
              <a:solidFill>
                <a:schemeClr val="accent2"/>
              </a:solidFill>
            </a:ln>
            <a:effectLst/>
          </c:spPr>
        </c:marker>
      </c:pivotFmt>
      <c:pivotFmt>
        <c:idx val="8"/>
        <c:spPr>
          <a:ln w="28575" cap="rnd">
            <a:solidFill>
              <a:schemeClr val="accent2"/>
            </a:solidFill>
            <a:round/>
          </a:ln>
          <a:effectLst/>
        </c:spPr>
        <c:marker>
          <c:symbol val="circle"/>
          <c:size val="5"/>
          <c:spPr>
            <a:solidFill>
              <a:schemeClr val="bg1"/>
            </a:solidFill>
            <a:ln w="9525">
              <a:solidFill>
                <a:schemeClr val="accent2"/>
              </a:solidFill>
            </a:ln>
            <a:effectLst/>
          </c:spPr>
        </c:marker>
      </c:pivotFmt>
      <c:pivotFmt>
        <c:idx val="9"/>
        <c:spPr>
          <a:ln w="28575" cap="rnd">
            <a:solidFill>
              <a:schemeClr val="accent2"/>
            </a:solidFill>
            <a:round/>
          </a:ln>
          <a:effectLst/>
        </c:spPr>
        <c:marker>
          <c:symbol val="circle"/>
          <c:size val="5"/>
          <c:spPr>
            <a:solidFill>
              <a:schemeClr val="bg1"/>
            </a:solidFill>
            <a:ln w="9525">
              <a:solidFill>
                <a:schemeClr val="accent2"/>
              </a:solidFill>
            </a:ln>
            <a:effectLst/>
          </c:spPr>
        </c:marker>
      </c:pivotFmt>
      <c:pivotFmt>
        <c:idx val="10"/>
        <c:spPr>
          <a:ln w="28575" cap="rnd">
            <a:solidFill>
              <a:schemeClr val="accent2"/>
            </a:solidFill>
            <a:round/>
          </a:ln>
          <a:effectLst/>
        </c:spPr>
        <c:marker>
          <c:symbol val="circle"/>
          <c:size val="5"/>
          <c:spPr>
            <a:solidFill>
              <a:schemeClr val="bg1"/>
            </a:solidFill>
            <a:ln w="9525">
              <a:solidFill>
                <a:schemeClr val="accent2"/>
              </a:solidFill>
            </a:ln>
            <a:effectLst/>
          </c:spPr>
        </c:marker>
      </c:pivotFmt>
      <c:pivotFmt>
        <c:idx val="11"/>
        <c:spPr>
          <a:ln w="28575" cap="rnd">
            <a:solidFill>
              <a:schemeClr val="accent2"/>
            </a:solidFill>
            <a:round/>
          </a:ln>
          <a:effectLst/>
        </c:spPr>
        <c:marker>
          <c:symbol val="circle"/>
          <c:size val="5"/>
          <c:spPr>
            <a:solidFill>
              <a:schemeClr val="bg1"/>
            </a:solidFill>
            <a:ln w="9525">
              <a:solidFill>
                <a:schemeClr val="accent2"/>
              </a:solidFill>
            </a:ln>
            <a:effectLst/>
          </c:spPr>
        </c:marker>
      </c:pivotFmt>
    </c:pivotFmts>
    <c:plotArea>
      <c:layout/>
      <c:barChart>
        <c:barDir val="col"/>
        <c:grouping val="clustered"/>
        <c:varyColors val="0"/>
        <c:ser>
          <c:idx val="0"/>
          <c:order val="0"/>
          <c:tx>
            <c:strRef>
              <c:f>'bbw_Pivot Table'!$B$26</c:f>
              <c:strCache>
                <c:ptCount val="1"/>
                <c:pt idx="0">
                  <c:v>Sum of Sales_CLEAN</c:v>
                </c:pt>
              </c:strCache>
            </c:strRef>
          </c:tx>
          <c:spPr>
            <a:solidFill>
              <a:schemeClr val="accent1"/>
            </a:solidFill>
            <a:ln>
              <a:noFill/>
            </a:ln>
            <a:effectLst/>
          </c:spPr>
          <c:invertIfNegative val="0"/>
          <c:cat>
            <c:multiLvlStrRef>
              <c:f>'bbw_Pivot Table'!$A$27:$A$42</c:f>
              <c:multiLvlStrCache>
                <c:ptCount val="10"/>
                <c:lvl>
                  <c:pt idx="0">
                    <c:v>2023</c:v>
                  </c:pt>
                  <c:pt idx="1">
                    <c:v>2024</c:v>
                  </c:pt>
                  <c:pt idx="2">
                    <c:v>2023</c:v>
                  </c:pt>
                  <c:pt idx="3">
                    <c:v>2024</c:v>
                  </c:pt>
                  <c:pt idx="4">
                    <c:v>2023</c:v>
                  </c:pt>
                  <c:pt idx="5">
                    <c:v>2024</c:v>
                  </c:pt>
                  <c:pt idx="6">
                    <c:v>2023</c:v>
                  </c:pt>
                  <c:pt idx="7">
                    <c:v>2024</c:v>
                  </c:pt>
                  <c:pt idx="8">
                    <c:v>2023</c:v>
                  </c:pt>
                  <c:pt idx="9">
                    <c:v>2024</c:v>
                  </c:pt>
                </c:lvl>
                <c:lvl>
                  <c:pt idx="0">
                    <c:v>Candles</c:v>
                  </c:pt>
                  <c:pt idx="2">
                    <c:v>Men's</c:v>
                  </c:pt>
                  <c:pt idx="4">
                    <c:v>Wallflower &amp; Air Freshener</c:v>
                  </c:pt>
                  <c:pt idx="6">
                    <c:v>Body Care</c:v>
                  </c:pt>
                  <c:pt idx="8">
                    <c:v>Hand Soap &amp; Sanitizer</c:v>
                  </c:pt>
                </c:lvl>
              </c:multiLvlStrCache>
            </c:multiLvlStrRef>
          </c:cat>
          <c:val>
            <c:numRef>
              <c:f>'bbw_Pivot Table'!$B$27:$B$42</c:f>
              <c:numCache>
                <c:formatCode>General</c:formatCode>
                <c:ptCount val="10"/>
                <c:pt idx="0">
                  <c:v>6777.9599999999973</c:v>
                </c:pt>
                <c:pt idx="1">
                  <c:v>4853.8100000000013</c:v>
                </c:pt>
                <c:pt idx="2">
                  <c:v>4332.199999999998</c:v>
                </c:pt>
                <c:pt idx="3">
                  <c:v>3893.7799999999997</c:v>
                </c:pt>
                <c:pt idx="4">
                  <c:v>3160.5300000000011</c:v>
                </c:pt>
                <c:pt idx="5">
                  <c:v>3354.4300000000003</c:v>
                </c:pt>
                <c:pt idx="6">
                  <c:v>2987.2500000000005</c:v>
                </c:pt>
                <c:pt idx="7">
                  <c:v>2401.2199999999998</c:v>
                </c:pt>
                <c:pt idx="8">
                  <c:v>1674.44</c:v>
                </c:pt>
                <c:pt idx="9">
                  <c:v>1908.9100000000003</c:v>
                </c:pt>
              </c:numCache>
            </c:numRef>
          </c:val>
          <c:extLst>
            <c:ext xmlns:c16="http://schemas.microsoft.com/office/drawing/2014/chart" uri="{C3380CC4-5D6E-409C-BE32-E72D297353CC}">
              <c16:uniqueId val="{00000000-F9A4-4399-9A39-502E78D5807B}"/>
            </c:ext>
          </c:extLst>
        </c:ser>
        <c:dLbls>
          <c:showLegendKey val="0"/>
          <c:showVal val="0"/>
          <c:showCatName val="0"/>
          <c:showSerName val="0"/>
          <c:showPercent val="0"/>
          <c:showBubbleSize val="0"/>
        </c:dLbls>
        <c:gapWidth val="219"/>
        <c:axId val="627799552"/>
        <c:axId val="627808192"/>
      </c:barChart>
      <c:lineChart>
        <c:grouping val="standard"/>
        <c:varyColors val="0"/>
        <c:ser>
          <c:idx val="1"/>
          <c:order val="1"/>
          <c:tx>
            <c:strRef>
              <c:f>'bbw_Pivot Table'!$C$26</c:f>
              <c:strCache>
                <c:ptCount val="1"/>
                <c:pt idx="0">
                  <c:v>Sum of Profit_CLEAN</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cat>
            <c:multiLvlStrRef>
              <c:f>'bbw_Pivot Table'!$A$27:$A$42</c:f>
              <c:multiLvlStrCache>
                <c:ptCount val="10"/>
                <c:lvl>
                  <c:pt idx="0">
                    <c:v>2023</c:v>
                  </c:pt>
                  <c:pt idx="1">
                    <c:v>2024</c:v>
                  </c:pt>
                  <c:pt idx="2">
                    <c:v>2023</c:v>
                  </c:pt>
                  <c:pt idx="3">
                    <c:v>2024</c:v>
                  </c:pt>
                  <c:pt idx="4">
                    <c:v>2023</c:v>
                  </c:pt>
                  <c:pt idx="5">
                    <c:v>2024</c:v>
                  </c:pt>
                  <c:pt idx="6">
                    <c:v>2023</c:v>
                  </c:pt>
                  <c:pt idx="7">
                    <c:v>2024</c:v>
                  </c:pt>
                  <c:pt idx="8">
                    <c:v>2023</c:v>
                  </c:pt>
                  <c:pt idx="9">
                    <c:v>2024</c:v>
                  </c:pt>
                </c:lvl>
                <c:lvl>
                  <c:pt idx="0">
                    <c:v>Candles</c:v>
                  </c:pt>
                  <c:pt idx="2">
                    <c:v>Men's</c:v>
                  </c:pt>
                  <c:pt idx="4">
                    <c:v>Wallflower &amp; Air Freshener</c:v>
                  </c:pt>
                  <c:pt idx="6">
                    <c:v>Body Care</c:v>
                  </c:pt>
                  <c:pt idx="8">
                    <c:v>Hand Soap &amp; Sanitizer</c:v>
                  </c:pt>
                </c:lvl>
              </c:multiLvlStrCache>
            </c:multiLvlStrRef>
          </c:cat>
          <c:val>
            <c:numRef>
              <c:f>'bbw_Pivot Table'!$C$27:$C$42</c:f>
              <c:numCache>
                <c:formatCode>General</c:formatCode>
                <c:ptCount val="10"/>
                <c:pt idx="0">
                  <c:v>2924.5499999999997</c:v>
                </c:pt>
                <c:pt idx="1">
                  <c:v>1965.84</c:v>
                </c:pt>
                <c:pt idx="2">
                  <c:v>1718.3499999999997</c:v>
                </c:pt>
                <c:pt idx="3">
                  <c:v>1666.7800000000004</c:v>
                </c:pt>
                <c:pt idx="4">
                  <c:v>1334.3300000000002</c:v>
                </c:pt>
                <c:pt idx="5">
                  <c:v>1234.3299999999995</c:v>
                </c:pt>
                <c:pt idx="6">
                  <c:v>1309.9700000000005</c:v>
                </c:pt>
                <c:pt idx="7">
                  <c:v>1032.4600000000005</c:v>
                </c:pt>
                <c:pt idx="8">
                  <c:v>656.69</c:v>
                </c:pt>
                <c:pt idx="9">
                  <c:v>781.87000000000023</c:v>
                </c:pt>
              </c:numCache>
            </c:numRef>
          </c:val>
          <c:smooth val="0"/>
          <c:extLst>
            <c:ext xmlns:c16="http://schemas.microsoft.com/office/drawing/2014/chart" uri="{C3380CC4-5D6E-409C-BE32-E72D297353CC}">
              <c16:uniqueId val="{00000001-F9A4-4399-9A39-502E78D5807B}"/>
            </c:ext>
          </c:extLst>
        </c:ser>
        <c:dLbls>
          <c:showLegendKey val="0"/>
          <c:showVal val="0"/>
          <c:showCatName val="0"/>
          <c:showSerName val="0"/>
          <c:showPercent val="0"/>
          <c:showBubbleSize val="0"/>
        </c:dLbls>
        <c:marker val="1"/>
        <c:smooth val="0"/>
        <c:axId val="627862432"/>
        <c:axId val="627849952"/>
      </c:lineChart>
      <c:catAx>
        <c:axId val="62779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08192"/>
        <c:crosses val="autoZero"/>
        <c:auto val="1"/>
        <c:lblAlgn val="ctr"/>
        <c:lblOffset val="100"/>
        <c:noMultiLvlLbl val="0"/>
      </c:catAx>
      <c:valAx>
        <c:axId val="627808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99552"/>
        <c:crosses val="autoZero"/>
        <c:crossBetween val="between"/>
      </c:valAx>
      <c:valAx>
        <c:axId val="6278499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62432"/>
        <c:crosses val="max"/>
        <c:crossBetween val="between"/>
      </c:valAx>
      <c:catAx>
        <c:axId val="627862432"/>
        <c:scaling>
          <c:orientation val="minMax"/>
        </c:scaling>
        <c:delete val="1"/>
        <c:axPos val="b"/>
        <c:numFmt formatCode="General" sourceLinked="1"/>
        <c:majorTickMark val="out"/>
        <c:minorTickMark val="none"/>
        <c:tickLblPos val="nextTo"/>
        <c:crossAx val="6278499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[bbw_canada_sales_SOLUTION.xlsx]bbw_Pivot Table!PivotTable5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pivotFmt>
      <c:pivotFmt>
        <c:idx val="3"/>
        <c:spPr>
          <a:solidFill>
            <a:schemeClr val="accent1"/>
          </a:solidFill>
          <a:ln w="28575" cap="rnd">
            <a:solidFill>
              <a:schemeClr val="accent2"/>
            </a:solidFill>
            <a:round/>
          </a:ln>
          <a:effectLst/>
        </c:spPr>
        <c:marker>
          <c:symbol val="none"/>
        </c:marker>
      </c:pivotFmt>
      <c:pivotFmt>
        <c:idx val="4"/>
        <c:spPr>
          <a:solidFill>
            <a:schemeClr val="accent1"/>
          </a:solidFill>
          <a:ln w="28575" cap="rnd">
            <a:solidFill>
              <a:schemeClr val="accent2"/>
            </a:solidFill>
            <a:round/>
          </a:ln>
          <a:effectLst/>
        </c:spPr>
        <c:marker>
          <c:symbol val="none"/>
        </c:marker>
      </c:pivotFmt>
      <c:pivotFmt>
        <c:idx val="5"/>
        <c:spPr>
          <a:solidFill>
            <a:schemeClr val="accent1"/>
          </a:solidFill>
          <a:ln w="28575" cap="rnd">
            <a:solidFill>
              <a:schemeClr val="accent2"/>
            </a:solidFill>
            <a:round/>
          </a:ln>
          <a:effectLst/>
        </c:spPr>
        <c:marker>
          <c:symbol val="none"/>
        </c:marker>
      </c:pivotFmt>
      <c:pivotFmt>
        <c:idx val="6"/>
        <c:spPr>
          <a:solidFill>
            <a:schemeClr val="accent1"/>
          </a:solidFill>
          <a:ln w="28575" cap="rnd">
            <a:solidFill>
              <a:schemeClr val="accent2"/>
            </a:solidFill>
            <a:round/>
          </a:ln>
          <a:effectLst/>
        </c:spPr>
        <c:marker>
          <c:symbol val="none"/>
        </c:marker>
      </c:pivotFmt>
      <c:pivotFmt>
        <c:idx val="7"/>
        <c:spPr>
          <a:solidFill>
            <a:schemeClr val="accent1"/>
          </a:solidFill>
          <a:ln w="28575" cap="rnd">
            <a:solidFill>
              <a:schemeClr val="accent2"/>
            </a:solidFill>
            <a:round/>
          </a:ln>
          <a:effectLst/>
        </c:spPr>
        <c:marker>
          <c:symbol val="none"/>
        </c:marker>
      </c:pivotFmt>
      <c:pivotFmt>
        <c:idx val="8"/>
        <c:spPr>
          <a:solidFill>
            <a:schemeClr val="accent1"/>
          </a:solidFill>
          <a:ln w="28575" cap="rnd">
            <a:solidFill>
              <a:schemeClr val="accent2"/>
            </a:solidFill>
            <a:round/>
          </a:ln>
          <a:effectLst/>
        </c:spPr>
        <c:marker>
          <c:symbol val="none"/>
        </c:marker>
      </c:pivotFmt>
      <c:pivotFmt>
        <c:idx val="9"/>
        <c:spPr>
          <a:solidFill>
            <a:schemeClr val="accent1"/>
          </a:solidFill>
          <a:ln w="28575" cap="rnd">
            <a:solidFill>
              <a:schemeClr val="accent2"/>
            </a:solidFill>
            <a:round/>
          </a:ln>
          <a:effectLst/>
        </c:spPr>
        <c:marker>
          <c:symbol val="none"/>
        </c:marker>
      </c:pivotFmt>
      <c:pivotFmt>
        <c:idx val="10"/>
        <c:spPr>
          <a:solidFill>
            <a:schemeClr val="accent1"/>
          </a:solidFill>
          <a:ln w="28575" cap="rnd">
            <a:solidFill>
              <a:schemeClr val="accent2"/>
            </a:solidFill>
            <a:round/>
          </a:ln>
          <a:effectLst/>
        </c:spPr>
        <c:marker>
          <c:symbol val="none"/>
        </c:marker>
      </c:pivotFmt>
      <c:pivotFmt>
        <c:idx val="11"/>
        <c:spPr>
          <a:solidFill>
            <a:schemeClr val="accent1"/>
          </a:solidFill>
          <a:ln w="28575" cap="rnd">
            <a:solidFill>
              <a:schemeClr val="accent2"/>
            </a:solidFill>
            <a:round/>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5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69B4"/>
            </a:solidFill>
            <a:round/>
          </a:ln>
          <a:effectLst/>
        </c:spPr>
        <c:marker>
          <c:symbol val="circle"/>
          <c:size val="5"/>
          <c:spPr>
            <a:solidFill>
              <a:sysClr val="window" lastClr="FFFFFF"/>
            </a:solidFill>
            <a:ln w="9525">
              <a:solidFill>
                <a:srgbClr val="FF69B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'bbw_Pivot Table'!$B$26</c:f>
              <c:strCache>
                <c:ptCount val="1"/>
                <c:pt idx="0">
                  <c:v>Sum of Sales_CLEAN</c:v>
                </c:pt>
              </c:strCache>
            </c:strRef>
          </c:tx>
          <c:spPr>
            <a:solidFill>
              <a:srgbClr val="005699"/>
            </a:solidFill>
            <a:ln>
              <a:noFill/>
            </a:ln>
            <a:effectLst/>
          </c:spPr>
          <c:invertIfNegative val="0"/>
          <c:cat>
            <c:multiLvlStrRef>
              <c:f>'bbw_Pivot Table'!$A$27:$A$42</c:f>
              <c:multiLvlStrCache>
                <c:ptCount val="10"/>
                <c:lvl>
                  <c:pt idx="0">
                    <c:v>2023</c:v>
                  </c:pt>
                  <c:pt idx="1">
                    <c:v>2024</c:v>
                  </c:pt>
                  <c:pt idx="2">
                    <c:v>2023</c:v>
                  </c:pt>
                  <c:pt idx="3">
                    <c:v>2024</c:v>
                  </c:pt>
                  <c:pt idx="4">
                    <c:v>2023</c:v>
                  </c:pt>
                  <c:pt idx="5">
                    <c:v>2024</c:v>
                  </c:pt>
                  <c:pt idx="6">
                    <c:v>2023</c:v>
                  </c:pt>
                  <c:pt idx="7">
                    <c:v>2024</c:v>
                  </c:pt>
                  <c:pt idx="8">
                    <c:v>2023</c:v>
                  </c:pt>
                  <c:pt idx="9">
                    <c:v>2024</c:v>
                  </c:pt>
                </c:lvl>
                <c:lvl>
                  <c:pt idx="0">
                    <c:v>Candles</c:v>
                  </c:pt>
                  <c:pt idx="2">
                    <c:v>Men's</c:v>
                  </c:pt>
                  <c:pt idx="4">
                    <c:v>Wallflower &amp; Air Freshener</c:v>
                  </c:pt>
                  <c:pt idx="6">
                    <c:v>Body Care</c:v>
                  </c:pt>
                  <c:pt idx="8">
                    <c:v>Hand Soap &amp; Sanitizer</c:v>
                  </c:pt>
                </c:lvl>
              </c:multiLvlStrCache>
            </c:multiLvlStrRef>
          </c:cat>
          <c:val>
            <c:numRef>
              <c:f>'bbw_Pivot Table'!$B$27:$B$42</c:f>
              <c:numCache>
                <c:formatCode>General</c:formatCode>
                <c:ptCount val="10"/>
                <c:pt idx="0">
                  <c:v>6777.9599999999973</c:v>
                </c:pt>
                <c:pt idx="1">
                  <c:v>4853.8100000000013</c:v>
                </c:pt>
                <c:pt idx="2">
                  <c:v>4332.199999999998</c:v>
                </c:pt>
                <c:pt idx="3">
                  <c:v>3893.7799999999997</c:v>
                </c:pt>
                <c:pt idx="4">
                  <c:v>3160.5300000000011</c:v>
                </c:pt>
                <c:pt idx="5">
                  <c:v>3354.4300000000003</c:v>
                </c:pt>
                <c:pt idx="6">
                  <c:v>2987.2500000000005</c:v>
                </c:pt>
                <c:pt idx="7">
                  <c:v>2401.2199999999998</c:v>
                </c:pt>
                <c:pt idx="8">
                  <c:v>1674.44</c:v>
                </c:pt>
                <c:pt idx="9">
                  <c:v>1908.9100000000003</c:v>
                </c:pt>
              </c:numCache>
            </c:numRef>
          </c:val>
          <c:extLst>
            <c:ext xmlns:c16="http://schemas.microsoft.com/office/drawing/2014/chart" uri="{C3380CC4-5D6E-409C-BE32-E72D297353CC}">
              <c16:uniqueId val="{00000000-6D37-4432-8F4E-5185713C1F97}"/>
            </c:ext>
          </c:extLst>
        </c:ser>
        <c:dLbls>
          <c:showLegendKey val="0"/>
          <c:showVal val="0"/>
          <c:showCatName val="0"/>
          <c:showSerName val="0"/>
          <c:showPercent val="0"/>
          <c:showBubbleSize val="0"/>
        </c:dLbls>
        <c:gapWidth val="219"/>
        <c:axId val="627799552"/>
        <c:axId val="627808192"/>
      </c:barChart>
      <c:lineChart>
        <c:grouping val="standard"/>
        <c:varyColors val="0"/>
        <c:ser>
          <c:idx val="1"/>
          <c:order val="1"/>
          <c:tx>
            <c:strRef>
              <c:f>'bbw_Pivot Table'!$C$26</c:f>
              <c:strCache>
                <c:ptCount val="1"/>
                <c:pt idx="0">
                  <c:v>Sum of Profit_CLEAN</c:v>
                </c:pt>
              </c:strCache>
            </c:strRef>
          </c:tx>
          <c:spPr>
            <a:ln w="28575" cap="rnd">
              <a:solidFill>
                <a:srgbClr val="FF69B4"/>
              </a:solidFill>
              <a:round/>
            </a:ln>
            <a:effectLst/>
          </c:spPr>
          <c:marker>
            <c:symbol val="circle"/>
            <c:size val="5"/>
            <c:spPr>
              <a:solidFill>
                <a:sysClr val="window" lastClr="FFFFFF"/>
              </a:solidFill>
              <a:ln w="9525">
                <a:solidFill>
                  <a:srgbClr val="FF69B4"/>
                </a:solidFill>
              </a:ln>
              <a:effectLst/>
            </c:spPr>
          </c:marker>
          <c:cat>
            <c:multiLvlStrRef>
              <c:f>'bbw_Pivot Table'!$A$27:$A$42</c:f>
              <c:multiLvlStrCache>
                <c:ptCount val="10"/>
                <c:lvl>
                  <c:pt idx="0">
                    <c:v>2023</c:v>
                  </c:pt>
                  <c:pt idx="1">
                    <c:v>2024</c:v>
                  </c:pt>
                  <c:pt idx="2">
                    <c:v>2023</c:v>
                  </c:pt>
                  <c:pt idx="3">
                    <c:v>2024</c:v>
                  </c:pt>
                  <c:pt idx="4">
                    <c:v>2023</c:v>
                  </c:pt>
                  <c:pt idx="5">
                    <c:v>2024</c:v>
                  </c:pt>
                  <c:pt idx="6">
                    <c:v>2023</c:v>
                  </c:pt>
                  <c:pt idx="7">
                    <c:v>2024</c:v>
                  </c:pt>
                  <c:pt idx="8">
                    <c:v>2023</c:v>
                  </c:pt>
                  <c:pt idx="9">
                    <c:v>2024</c:v>
                  </c:pt>
                </c:lvl>
                <c:lvl>
                  <c:pt idx="0">
                    <c:v>Candles</c:v>
                  </c:pt>
                  <c:pt idx="2">
                    <c:v>Men's</c:v>
                  </c:pt>
                  <c:pt idx="4">
                    <c:v>Wallflower &amp; Air Freshener</c:v>
                  </c:pt>
                  <c:pt idx="6">
                    <c:v>Body Care</c:v>
                  </c:pt>
                  <c:pt idx="8">
                    <c:v>Hand Soap &amp; Sanitizer</c:v>
                  </c:pt>
                </c:lvl>
              </c:multiLvlStrCache>
            </c:multiLvlStrRef>
          </c:cat>
          <c:val>
            <c:numRef>
              <c:f>'bbw_Pivot Table'!$C$27:$C$42</c:f>
              <c:numCache>
                <c:formatCode>General</c:formatCode>
                <c:ptCount val="10"/>
                <c:pt idx="0">
                  <c:v>2924.5499999999997</c:v>
                </c:pt>
                <c:pt idx="1">
                  <c:v>1965.84</c:v>
                </c:pt>
                <c:pt idx="2">
                  <c:v>1718.3499999999997</c:v>
                </c:pt>
                <c:pt idx="3">
                  <c:v>1666.7800000000004</c:v>
                </c:pt>
                <c:pt idx="4">
                  <c:v>1334.3300000000002</c:v>
                </c:pt>
                <c:pt idx="5">
                  <c:v>1234.3299999999995</c:v>
                </c:pt>
                <c:pt idx="6">
                  <c:v>1309.9700000000005</c:v>
                </c:pt>
                <c:pt idx="7">
                  <c:v>1032.4600000000005</c:v>
                </c:pt>
                <c:pt idx="8">
                  <c:v>656.69</c:v>
                </c:pt>
                <c:pt idx="9">
                  <c:v>781.87000000000023</c:v>
                </c:pt>
              </c:numCache>
            </c:numRef>
          </c:val>
          <c:smooth val="0"/>
          <c:extLst>
            <c:ext xmlns:c16="http://schemas.microsoft.com/office/drawing/2014/chart" uri="{C3380CC4-5D6E-409C-BE32-E72D297353CC}">
              <c16:uniqueId val="{00000001-6D37-4432-8F4E-5185713C1F97}"/>
            </c:ext>
          </c:extLst>
        </c:ser>
        <c:dLbls>
          <c:showLegendKey val="0"/>
          <c:showVal val="0"/>
          <c:showCatName val="0"/>
          <c:showSerName val="0"/>
          <c:showPercent val="0"/>
          <c:showBubbleSize val="0"/>
        </c:dLbls>
        <c:marker val="1"/>
        <c:smooth val="0"/>
        <c:axId val="627862432"/>
        <c:axId val="627849952"/>
      </c:lineChart>
      <c:catAx>
        <c:axId val="62779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08192"/>
        <c:crosses val="autoZero"/>
        <c:auto val="1"/>
        <c:lblAlgn val="ctr"/>
        <c:lblOffset val="100"/>
        <c:noMultiLvlLbl val="0"/>
      </c:catAx>
      <c:valAx>
        <c:axId val="627808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99552"/>
        <c:crosses val="autoZero"/>
        <c:crossBetween val="between"/>
      </c:valAx>
      <c:valAx>
        <c:axId val="6278499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862432"/>
        <c:crosses val="max"/>
        <c:crossBetween val="between"/>
      </c:valAx>
      <c:catAx>
        <c:axId val="627862432"/>
        <c:scaling>
          <c:orientation val="minMax"/>
        </c:scaling>
        <c:delete val="1"/>
        <c:axPos val="b"/>
        <c:numFmt formatCode="General" sourceLinked="1"/>
        <c:majorTickMark val="out"/>
        <c:minorTickMark val="none"/>
        <c:tickLblPos val="nextTo"/>
        <c:crossAx val="6278499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500</xdr:colOff>
      <xdr:row>58</xdr:row>
      <xdr:rowOff>189999</xdr:rowOff>
    </xdr:from>
    <xdr:to>
      <xdr:col>10</xdr:col>
      <xdr:colOff>0</xdr:colOff>
      <xdr:row>74</xdr:row>
      <xdr:rowOff>189999</xdr:rowOff>
    </xdr:to>
    <xdr:graphicFrame macro="">
      <xdr:nvGraphicFramePr>
        <xdr:cNvPr id="5" name="Chart 4">
          <a:extLst>
            <a:ext uri="{FF2B5EF4-FFF2-40B4-BE49-F238E27FC236}">
              <a16:creationId xmlns:a16="http://schemas.microsoft.com/office/drawing/2014/main" id="{FD74A7E2-3E72-4DBB-2A0E-BC8D82565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78</xdr:row>
      <xdr:rowOff>4762</xdr:rowOff>
    </xdr:from>
    <xdr:to>
      <xdr:col>10</xdr:col>
      <xdr:colOff>0</xdr:colOff>
      <xdr:row>93</xdr:row>
      <xdr:rowOff>0</xdr:rowOff>
    </xdr:to>
    <xdr:graphicFrame macro="">
      <xdr:nvGraphicFramePr>
        <xdr:cNvPr id="7" name="Chart 6">
          <a:extLst>
            <a:ext uri="{FF2B5EF4-FFF2-40B4-BE49-F238E27FC236}">
              <a16:creationId xmlns:a16="http://schemas.microsoft.com/office/drawing/2014/main" id="{2AC53789-1F7F-CDAC-E09E-C64517DFB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1333499</xdr:colOff>
      <xdr:row>162</xdr:row>
      <xdr:rowOff>4761</xdr:rowOff>
    </xdr:from>
    <xdr:to>
      <xdr:col>8</xdr:col>
      <xdr:colOff>962025</xdr:colOff>
      <xdr:row>177</xdr:row>
      <xdr:rowOff>0</xdr:rowOff>
    </xdr:to>
    <xdr:graphicFrame macro="">
      <xdr:nvGraphicFramePr>
        <xdr:cNvPr id="8" name="Chart 7">
          <a:extLst>
            <a:ext uri="{FF2B5EF4-FFF2-40B4-BE49-F238E27FC236}">
              <a16:creationId xmlns:a16="http://schemas.microsoft.com/office/drawing/2014/main" id="{F1FAD70C-181D-E9E7-AC4C-58108420D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4762</xdr:colOff>
      <xdr:row>8</xdr:row>
      <xdr:rowOff>190497</xdr:rowOff>
    </xdr:from>
    <xdr:to>
      <xdr:col>9</xdr:col>
      <xdr:colOff>200527</xdr:colOff>
      <xdr:row>22</xdr:row>
      <xdr:rowOff>180474</xdr:rowOff>
    </xdr:to>
    <xdr:graphicFrame macro="">
      <xdr:nvGraphicFramePr>
        <xdr:cNvPr id="9" name="Chart 8">
          <a:extLst>
            <a:ext uri="{FF2B5EF4-FFF2-40B4-BE49-F238E27FC236}">
              <a16:creationId xmlns:a16="http://schemas.microsoft.com/office/drawing/2014/main" id="{3F116771-67B5-5224-0614-385ADD521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1390649</xdr:colOff>
      <xdr:row>25</xdr:row>
      <xdr:rowOff>4760</xdr:rowOff>
    </xdr:from>
    <xdr:to>
      <xdr:col>9</xdr:col>
      <xdr:colOff>1666875</xdr:colOff>
      <xdr:row>42</xdr:row>
      <xdr:rowOff>19049</xdr:rowOff>
    </xdr:to>
    <xdr:graphicFrame macro="">
      <xdr:nvGraphicFramePr>
        <xdr:cNvPr id="10" name="Chart 9">
          <a:extLst>
            <a:ext uri="{FF2B5EF4-FFF2-40B4-BE49-F238E27FC236}">
              <a16:creationId xmlns:a16="http://schemas.microsoft.com/office/drawing/2014/main" id="{440C8D30-18DA-D221-3820-77F61F8E7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340393</xdr:colOff>
      <xdr:row>5</xdr:row>
      <xdr:rowOff>130341</xdr:rowOff>
    </xdr:from>
    <xdr:to>
      <xdr:col>10</xdr:col>
      <xdr:colOff>8523</xdr:colOff>
      <xdr:row>23</xdr:row>
      <xdr:rowOff>0</xdr:rowOff>
    </xdr:to>
    <mc:AlternateContent xmlns:mc="http://schemas.openxmlformats.org/markup-compatibility/2006" xmlns:a14="http://schemas.microsoft.com/office/drawing/2010/main">
      <mc:Choice Requires="a14">
        <xdr:graphicFrame macro="">
          <xdr:nvGraphicFramePr>
            <xdr:cNvPr id="12" name="Province_CLEAN">
              <a:extLst>
                <a:ext uri="{FF2B5EF4-FFF2-40B4-BE49-F238E27FC236}">
                  <a16:creationId xmlns:a16="http://schemas.microsoft.com/office/drawing/2014/main" id="{EC3332C2-2C5B-F3EE-85A1-9740F9D4FCB2}"/>
                </a:ext>
              </a:extLst>
            </xdr:cNvPr>
            <xdr:cNvGraphicFramePr/>
          </xdr:nvGraphicFramePr>
          <xdr:xfrm>
            <a:off x="0" y="0"/>
            <a:ext cx="0" cy="0"/>
          </xdr:xfrm>
          <a:graphic>
            <a:graphicData uri="http://schemas.microsoft.com/office/drawing/2010/slicer">
              <sle:slicer xmlns:sle="http://schemas.microsoft.com/office/drawing/2010/slicer" name="Province_CLEAN"/>
            </a:graphicData>
          </a:graphic>
        </xdr:graphicFrame>
      </mc:Choice>
      <mc:Fallback xmlns="">
        <xdr:sp macro="" textlink="">
          <xdr:nvSpPr>
            <xdr:cNvPr id="0" name=""/>
            <xdr:cNvSpPr>
              <a:spLocks noTextEdit="1"/>
            </xdr:cNvSpPr>
          </xdr:nvSpPr>
          <xdr:spPr>
            <a:xfrm>
              <a:off x="9023182" y="1082841"/>
              <a:ext cx="1352551" cy="329865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12212</xdr:colOff>
      <xdr:row>95</xdr:row>
      <xdr:rowOff>12212</xdr:rowOff>
    </xdr:from>
    <xdr:to>
      <xdr:col>5</xdr:col>
      <xdr:colOff>1364763</xdr:colOff>
      <xdr:row>112</xdr:row>
      <xdr:rowOff>21736</xdr:rowOff>
    </xdr:to>
    <mc:AlternateContent xmlns:mc="http://schemas.openxmlformats.org/markup-compatibility/2006" xmlns:a14="http://schemas.microsoft.com/office/drawing/2010/main">
      <mc:Choice Requires="a14">
        <xdr:graphicFrame macro="">
          <xdr:nvGraphicFramePr>
            <xdr:cNvPr id="14" name="Province_CLEAN 2">
              <a:extLst>
                <a:ext uri="{FF2B5EF4-FFF2-40B4-BE49-F238E27FC236}">
                  <a16:creationId xmlns:a16="http://schemas.microsoft.com/office/drawing/2014/main" id="{8FA8B79F-3693-431A-B605-59A82C11EE98}"/>
                </a:ext>
              </a:extLst>
            </xdr:cNvPr>
            <xdr:cNvGraphicFramePr/>
          </xdr:nvGraphicFramePr>
          <xdr:xfrm>
            <a:off x="0" y="0"/>
            <a:ext cx="0" cy="0"/>
          </xdr:xfrm>
          <a:graphic>
            <a:graphicData uri="http://schemas.microsoft.com/office/drawing/2010/slicer">
              <sle:slicer xmlns:sle="http://schemas.microsoft.com/office/drawing/2010/slicer" name="Province_CLEAN 2"/>
            </a:graphicData>
          </a:graphic>
        </xdr:graphicFrame>
      </mc:Choice>
      <mc:Fallback xmlns="">
        <xdr:sp macro="" textlink="">
          <xdr:nvSpPr>
            <xdr:cNvPr id="0" name=""/>
            <xdr:cNvSpPr>
              <a:spLocks noTextEdit="1"/>
            </xdr:cNvSpPr>
          </xdr:nvSpPr>
          <xdr:spPr>
            <a:xfrm>
              <a:off x="4403738" y="18109712"/>
              <a:ext cx="1352551" cy="324802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200024</xdr:colOff>
      <xdr:row>0</xdr:row>
      <xdr:rowOff>85724</xdr:rowOff>
    </xdr:from>
    <xdr:to>
      <xdr:col>9</xdr:col>
      <xdr:colOff>19049</xdr:colOff>
      <xdr:row>4</xdr:row>
      <xdr:rowOff>57149</xdr:rowOff>
    </xdr:to>
    <xdr:sp macro="" textlink="">
      <xdr:nvSpPr>
        <xdr:cNvPr id="2" name="Rectangle 1">
          <a:extLst>
            <a:ext uri="{FF2B5EF4-FFF2-40B4-BE49-F238E27FC236}">
              <a16:creationId xmlns:a16="http://schemas.microsoft.com/office/drawing/2014/main" id="{F36B06E8-E639-9D3F-0889-56570C2F225A}"/>
            </a:ext>
          </a:extLst>
        </xdr:cNvPr>
        <xdr:cNvSpPr/>
      </xdr:nvSpPr>
      <xdr:spPr>
        <a:xfrm>
          <a:off x="1857374" y="85724"/>
          <a:ext cx="5934075" cy="733425"/>
        </a:xfrm>
        <a:prstGeom prst="rect">
          <a:avLst/>
        </a:prstGeom>
        <a:solidFill>
          <a:srgbClr val="00569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2400" b="1">
              <a:latin typeface="Calibri" panose="020F0502020204030204" pitchFamily="34" charset="0"/>
              <a:cs typeface="Calibri" panose="020F0502020204030204" pitchFamily="34" charset="0"/>
            </a:rPr>
            <a:t>Bath &amp;</a:t>
          </a:r>
          <a:r>
            <a:rPr lang="en-CA" sz="2400" b="1" baseline="0">
              <a:latin typeface="Calibri" panose="020F0502020204030204" pitchFamily="34" charset="0"/>
              <a:cs typeface="Calibri" panose="020F0502020204030204" pitchFamily="34" charset="0"/>
            </a:rPr>
            <a:t> Body Works Sales Dashboard</a:t>
          </a:r>
        </a:p>
        <a:p>
          <a:pPr algn="l"/>
          <a:r>
            <a:rPr lang="en-CA" sz="1050" b="1" i="1" baseline="0">
              <a:solidFill>
                <a:schemeClr val="bg2">
                  <a:lumMod val="50000"/>
                </a:schemeClr>
              </a:solidFill>
              <a:latin typeface="Calibri" panose="020F0502020204030204" pitchFamily="34" charset="0"/>
              <a:cs typeface="Calibri" panose="020F0502020204030204" pitchFamily="34" charset="0"/>
            </a:rPr>
            <a:t>Figures in CAD</a:t>
          </a:r>
          <a:endParaRPr lang="en-CA" sz="1050" b="1" i="1">
            <a:solidFill>
              <a:schemeClr val="bg2">
                <a:lumMod val="50000"/>
              </a:schemeClr>
            </a:solidFill>
            <a:latin typeface="Calibri" panose="020F0502020204030204" pitchFamily="34" charset="0"/>
            <a:cs typeface="Calibri" panose="020F0502020204030204" pitchFamily="34" charset="0"/>
          </a:endParaRPr>
        </a:p>
      </xdr:txBody>
    </xdr:sp>
    <xdr:clientData/>
  </xdr:twoCellAnchor>
  <xdr:twoCellAnchor>
    <xdr:from>
      <xdr:col>2</xdr:col>
      <xdr:colOff>0</xdr:colOff>
      <xdr:row>4</xdr:row>
      <xdr:rowOff>180974</xdr:rowOff>
    </xdr:from>
    <xdr:to>
      <xdr:col>5</xdr:col>
      <xdr:colOff>0</xdr:colOff>
      <xdr:row>8</xdr:row>
      <xdr:rowOff>38099</xdr:rowOff>
    </xdr:to>
    <xdr:sp macro="" textlink="">
      <xdr:nvSpPr>
        <xdr:cNvPr id="3" name="Rectangle 2">
          <a:extLst>
            <a:ext uri="{FF2B5EF4-FFF2-40B4-BE49-F238E27FC236}">
              <a16:creationId xmlns:a16="http://schemas.microsoft.com/office/drawing/2014/main" id="{48A94DFA-B2EC-F98B-EEBF-C3E6357A079D}"/>
            </a:ext>
          </a:extLst>
        </xdr:cNvPr>
        <xdr:cNvSpPr/>
      </xdr:nvSpPr>
      <xdr:spPr>
        <a:xfrm>
          <a:off x="1857375" y="942974"/>
          <a:ext cx="2857500" cy="619125"/>
        </a:xfrm>
        <a:prstGeom prst="rect">
          <a:avLst/>
        </a:prstGeom>
        <a:solidFill>
          <a:srgbClr val="FF69B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lt1"/>
              </a:solidFill>
              <a:latin typeface="+mn-lt"/>
              <a:ea typeface="+mn-ea"/>
              <a:cs typeface="+mn-cs"/>
            </a:rPr>
            <a:t>Total Sales </a:t>
          </a:r>
        </a:p>
      </xdr:txBody>
    </xdr:sp>
    <xdr:clientData/>
  </xdr:twoCellAnchor>
  <xdr:twoCellAnchor editAs="oneCell">
    <xdr:from>
      <xdr:col>7</xdr:col>
      <xdr:colOff>590550</xdr:colOff>
      <xdr:row>1</xdr:row>
      <xdr:rowOff>0</xdr:rowOff>
    </xdr:from>
    <xdr:to>
      <xdr:col>8</xdr:col>
      <xdr:colOff>752475</xdr:colOff>
      <xdr:row>3</xdr:row>
      <xdr:rowOff>123825</xdr:rowOff>
    </xdr:to>
    <xdr:pic>
      <xdr:nvPicPr>
        <xdr:cNvPr id="19" name="Picture 18" descr="Flag of Canada - Wikipedia">
          <a:extLst>
            <a:ext uri="{FF2B5EF4-FFF2-40B4-BE49-F238E27FC236}">
              <a16:creationId xmlns:a16="http://schemas.microsoft.com/office/drawing/2014/main" id="{31CE7D1D-0AB7-D373-63C4-EDCF6EB95C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0" y="190500"/>
          <a:ext cx="10096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147082</xdr:colOff>
      <xdr:row>0</xdr:row>
      <xdr:rowOff>142875</xdr:rowOff>
    </xdr:from>
    <xdr:to>
      <xdr:col>0</xdr:col>
      <xdr:colOff>1536082</xdr:colOff>
      <xdr:row>6</xdr:row>
      <xdr:rowOff>85725</xdr:rowOff>
    </xdr:to>
    <xdr:pic>
      <xdr:nvPicPr>
        <xdr:cNvPr id="22" name="Picture 21" descr="Bath &amp; Body Works Logo, symbol, meaning ...">
          <a:extLst>
            <a:ext uri="{FF2B5EF4-FFF2-40B4-BE49-F238E27FC236}">
              <a16:creationId xmlns:a16="http://schemas.microsoft.com/office/drawing/2014/main" id="{11B3165F-2EDE-8F98-B473-4EA9ACEDC1FD}"/>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4700" r="13667"/>
        <a:stretch>
          <a:fillRect/>
        </a:stretch>
      </xdr:blipFill>
      <xdr:spPr bwMode="auto">
        <a:xfrm>
          <a:off x="147082" y="142875"/>
          <a:ext cx="1389000" cy="108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66675</xdr:colOff>
      <xdr:row>4</xdr:row>
      <xdr:rowOff>180975</xdr:rowOff>
    </xdr:from>
    <xdr:to>
      <xdr:col>9</xdr:col>
      <xdr:colOff>0</xdr:colOff>
      <xdr:row>8</xdr:row>
      <xdr:rowOff>38100</xdr:rowOff>
    </xdr:to>
    <xdr:sp macro="" textlink="">
      <xdr:nvSpPr>
        <xdr:cNvPr id="24" name="Rectangle 23">
          <a:extLst>
            <a:ext uri="{FF2B5EF4-FFF2-40B4-BE49-F238E27FC236}">
              <a16:creationId xmlns:a16="http://schemas.microsoft.com/office/drawing/2014/main" id="{5188B2C7-4854-4ACF-8A4E-0F4F4CF4EA89}"/>
            </a:ext>
          </a:extLst>
        </xdr:cNvPr>
        <xdr:cNvSpPr/>
      </xdr:nvSpPr>
      <xdr:spPr>
        <a:xfrm>
          <a:off x="5029200" y="942975"/>
          <a:ext cx="2743200" cy="619125"/>
        </a:xfrm>
        <a:prstGeom prst="rect">
          <a:avLst/>
        </a:prstGeom>
        <a:solidFill>
          <a:srgbClr val="FF69B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200" b="1"/>
            <a:t>Total Profit</a:t>
          </a:r>
        </a:p>
      </xdr:txBody>
    </xdr:sp>
    <xdr:clientData/>
  </xdr:twoCellAnchor>
  <xdr:twoCellAnchor>
    <xdr:from>
      <xdr:col>2</xdr:col>
      <xdr:colOff>85725</xdr:colOff>
      <xdr:row>6</xdr:row>
      <xdr:rowOff>19050</xdr:rowOff>
    </xdr:from>
    <xdr:to>
      <xdr:col>5</xdr:col>
      <xdr:colOff>0</xdr:colOff>
      <xdr:row>8</xdr:row>
      <xdr:rowOff>0</xdr:rowOff>
    </xdr:to>
    <xdr:sp macro="" textlink="'bbw_Pivot Table'!A3">
      <xdr:nvSpPr>
        <xdr:cNvPr id="25" name="TextBox 24">
          <a:extLst>
            <a:ext uri="{FF2B5EF4-FFF2-40B4-BE49-F238E27FC236}">
              <a16:creationId xmlns:a16="http://schemas.microsoft.com/office/drawing/2014/main" id="{00D044A3-DB0E-FC8B-12CA-C622B8750D41}"/>
            </a:ext>
          </a:extLst>
        </xdr:cNvPr>
        <xdr:cNvSpPr txBox="1"/>
      </xdr:nvSpPr>
      <xdr:spPr>
        <a:xfrm>
          <a:off x="1943100" y="1162050"/>
          <a:ext cx="2771775" cy="361950"/>
        </a:xfrm>
        <a:prstGeom prst="rect">
          <a:avLst/>
        </a:prstGeom>
        <a:solidFill>
          <a:srgbClr val="FF69B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35AD33-D6E9-4A9F-A67F-524A931487A7}" type="TxLink">
            <a:rPr lang="en-US" sz="2000" b="1" i="0" u="none" strike="noStrike">
              <a:solidFill>
                <a:schemeClr val="bg1"/>
              </a:solidFill>
              <a:latin typeface="Aptos Narrow"/>
            </a:rPr>
            <a:pPr algn="ctr"/>
            <a:t>35,344.53</a:t>
          </a:fld>
          <a:endParaRPr lang="en-US" sz="2000" b="1">
            <a:solidFill>
              <a:schemeClr val="bg1"/>
            </a:solidFill>
          </a:endParaRPr>
        </a:p>
      </xdr:txBody>
    </xdr:sp>
    <xdr:clientData/>
  </xdr:twoCellAnchor>
  <xdr:twoCellAnchor>
    <xdr:from>
      <xdr:col>6</xdr:col>
      <xdr:colOff>152400</xdr:colOff>
      <xdr:row>6</xdr:row>
      <xdr:rowOff>19050</xdr:rowOff>
    </xdr:from>
    <xdr:to>
      <xdr:col>9</xdr:col>
      <xdr:colOff>0</xdr:colOff>
      <xdr:row>8</xdr:row>
      <xdr:rowOff>0</xdr:rowOff>
    </xdr:to>
    <xdr:sp macro="" textlink="'bbw_Pivot Table'!B3">
      <xdr:nvSpPr>
        <xdr:cNvPr id="26" name="TextBox 25">
          <a:extLst>
            <a:ext uri="{FF2B5EF4-FFF2-40B4-BE49-F238E27FC236}">
              <a16:creationId xmlns:a16="http://schemas.microsoft.com/office/drawing/2014/main" id="{5D28CCD6-2D13-4981-B344-F9C28E84C6CF}"/>
            </a:ext>
          </a:extLst>
        </xdr:cNvPr>
        <xdr:cNvSpPr txBox="1"/>
      </xdr:nvSpPr>
      <xdr:spPr>
        <a:xfrm>
          <a:off x="5114925" y="1162050"/>
          <a:ext cx="2657475" cy="361950"/>
        </a:xfrm>
        <a:prstGeom prst="rect">
          <a:avLst/>
        </a:prstGeom>
        <a:solidFill>
          <a:srgbClr val="FF69B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1E84D4-A15F-489F-9CCD-51F302C9B3BE}" type="TxLink">
            <a:rPr lang="en-US" sz="2000" b="1" i="0" u="none" strike="noStrike">
              <a:solidFill>
                <a:schemeClr val="bg1"/>
              </a:solidFill>
              <a:latin typeface="Aptos Narrow"/>
            </a:rPr>
            <a:pPr algn="ctr"/>
            <a:t>14,625.17</a:t>
          </a:fld>
          <a:endParaRPr lang="en-US" sz="2000" b="1">
            <a:solidFill>
              <a:schemeClr val="bg1"/>
            </a:solidFill>
          </a:endParaRPr>
        </a:p>
      </xdr:txBody>
    </xdr:sp>
    <xdr:clientData/>
  </xdr:twoCellAnchor>
  <xdr:twoCellAnchor>
    <xdr:from>
      <xdr:col>9</xdr:col>
      <xdr:colOff>200025</xdr:colOff>
      <xdr:row>2</xdr:row>
      <xdr:rowOff>66675</xdr:rowOff>
    </xdr:from>
    <xdr:to>
      <xdr:col>16</xdr:col>
      <xdr:colOff>600075</xdr:colOff>
      <xdr:row>18</xdr:row>
      <xdr:rowOff>9525</xdr:rowOff>
    </xdr:to>
    <xdr:graphicFrame macro="">
      <xdr:nvGraphicFramePr>
        <xdr:cNvPr id="32" name="Chart 31">
          <a:extLst>
            <a:ext uri="{FF2B5EF4-FFF2-40B4-BE49-F238E27FC236}">
              <a16:creationId xmlns:a16="http://schemas.microsoft.com/office/drawing/2014/main" id="{5B7D6E2C-9410-418D-A233-1BABC354C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152400</xdr:colOff>
      <xdr:row>7</xdr:row>
      <xdr:rowOff>38099</xdr:rowOff>
    </xdr:from>
    <xdr:to>
      <xdr:col>0</xdr:col>
      <xdr:colOff>1504951</xdr:colOff>
      <xdr:row>16</xdr:row>
      <xdr:rowOff>133350</xdr:rowOff>
    </xdr:to>
    <mc:AlternateContent xmlns:mc="http://schemas.openxmlformats.org/markup-compatibility/2006" xmlns:a14="http://schemas.microsoft.com/office/drawing/2010/main">
      <mc:Choice Requires="a14">
        <xdr:graphicFrame macro="">
          <xdr:nvGraphicFramePr>
            <xdr:cNvPr id="43" name="Province_CLEAN 1">
              <a:extLst>
                <a:ext uri="{FF2B5EF4-FFF2-40B4-BE49-F238E27FC236}">
                  <a16:creationId xmlns:a16="http://schemas.microsoft.com/office/drawing/2014/main" id="{18E8F24E-2E60-4174-8F76-7A10E3481B76}"/>
                </a:ext>
              </a:extLst>
            </xdr:cNvPr>
            <xdr:cNvGraphicFramePr/>
          </xdr:nvGraphicFramePr>
          <xdr:xfrm>
            <a:off x="0" y="0"/>
            <a:ext cx="0" cy="0"/>
          </xdr:xfrm>
          <a:graphic>
            <a:graphicData uri="http://schemas.microsoft.com/office/drawing/2010/slicer">
              <sle:slicer xmlns:sle="http://schemas.microsoft.com/office/drawing/2010/slicer" name="Province_CLEAN 1"/>
            </a:graphicData>
          </a:graphic>
        </xdr:graphicFrame>
      </mc:Choice>
      <mc:Fallback xmlns="">
        <xdr:sp macro="" textlink="">
          <xdr:nvSpPr>
            <xdr:cNvPr id="0" name=""/>
            <xdr:cNvSpPr>
              <a:spLocks noTextEdit="1"/>
            </xdr:cNvSpPr>
          </xdr:nvSpPr>
          <xdr:spPr>
            <a:xfrm>
              <a:off x="152400" y="1371599"/>
              <a:ext cx="1352551" cy="180975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opa" refreshedDate="46012.95323564815" createdVersion="8" refreshedVersion="8" minRefreshableVersion="3" recordCount="1000" xr:uid="{8EBCDBC7-6BB8-4BE6-95A0-BFB6CB02261C}">
  <cacheSource type="worksheet">
    <worksheetSource ref="A1:S1001" sheet="bbw_canada_sales_SOLUTION"/>
  </cacheSource>
  <cacheFields count="22">
    <cacheField name="TransactionID" numFmtId="0">
      <sharedItems/>
    </cacheField>
    <cacheField name="CustomerID" numFmtId="0">
      <sharedItems/>
    </cacheField>
    <cacheField name="Date" numFmtId="0">
      <sharedItems containsDate="1" containsMixedTypes="1" minDate="2023-01-02T00:00:00" maxDate="2025-01-01T00:00:00" count="772">
        <d v="2024-11-22T00:00:00"/>
        <s v="10/07/2023"/>
        <s v=" 05/20/2024  "/>
        <s v="04/10/2024"/>
        <s v="14/06/2023"/>
        <d v="2024-12-05T00:00:00"/>
        <d v="2023-08-06T00:00:00"/>
        <d v="2023-03-22T00:00:00"/>
        <d v="2024-06-10T00:00:00"/>
        <s v="21/07/2024"/>
        <s v="2023.01.11"/>
        <s v="25/12/2024"/>
        <s v="02/07/2023"/>
        <s v="2023.04.21"/>
        <s v="11/18/2023"/>
        <s v="01/16/2023"/>
        <s v="2024.03.08"/>
        <s v="2024.05.29"/>
        <s v="27/04/2023"/>
        <d v="2023-11-07T00:00:00"/>
        <d v="2024-05-09T00:00:00"/>
        <d v="2023-03-14T00:00:00"/>
        <s v="09/06/2024"/>
        <d v="2024-04-28T00:00:00"/>
        <d v="2024-07-03T00:00:00"/>
        <d v="2024-11-11T00:00:00"/>
        <s v="4/7/2023"/>
        <s v="25/11/2024"/>
        <d v="2024-05-12T00:00:00"/>
        <d v="2023-03-04T00:00:00"/>
        <d v="2023-09-16T00:00:00"/>
        <d v="2024-07-16T00:00:00"/>
        <s v="03/07/2023"/>
        <d v="2023-02-03T00:00:00"/>
        <s v="2023.12.25"/>
        <d v="2024-12-21T00:00:00"/>
        <s v="05/11/2023"/>
        <s v=" 2024.08.12  "/>
        <s v="02/07/2024"/>
        <d v="2023-02-28T00:00:00"/>
        <d v="2023-01-29T00:00:00"/>
        <s v="01/25/2023"/>
        <d v="2024-06-08T00:00:00"/>
        <s v=" 01/20/2024  "/>
        <s v="25/03/2023"/>
        <s v="7/6/2023"/>
        <d v="2024-07-24T00:00:00"/>
        <s v="2024.12.09"/>
        <s v="2023.01.24"/>
        <s v=" 31-May-2024  "/>
        <s v="01/06/2024"/>
        <d v="2024-01-21T00:00:00"/>
        <d v="2024-05-06T00:00:00"/>
        <d v="2023-08-10T00:00:00"/>
        <d v="2023-12-08T00:00:00"/>
        <d v="2023-04-09T00:00:00"/>
        <d v="2024-10-01T00:00:00"/>
        <s v="09/25/2024"/>
        <s v="2023.05.15"/>
        <d v="2024-05-24T00:00:00"/>
        <s v="2024.03.30"/>
        <d v="2024-10-23T00:00:00"/>
        <d v="2024-02-11T00:00:00"/>
        <d v="2023-10-05T00:00:00"/>
        <s v="11/26/2023"/>
        <d v="2023-08-26T00:00:00"/>
        <s v="06/08/2024"/>
        <s v="01/13/2024"/>
        <s v="2023.12.28"/>
        <d v="2023-04-12T00:00:00"/>
        <s v="2023.06.02"/>
        <s v="2023.05.20"/>
        <s v="05/31/2023"/>
        <d v="2023-01-25T00:00:00"/>
        <d v="2024-05-18T00:00:00"/>
        <d v="2023-01-26T00:00:00"/>
        <s v="05/02/2023"/>
        <d v="2024-12-13T00:00:00"/>
        <s v="2023.10.21"/>
        <d v="2023-03-23T00:00:00"/>
        <s v="10/05/2023"/>
        <d v="2023-02-06T00:00:00"/>
        <d v="2023-02-18T00:00:00"/>
        <s v="2023.12.03"/>
        <s v="2024.06.20"/>
        <d v="2023-11-04T00:00:00"/>
        <d v="2023-05-02T00:00:00"/>
        <d v="2023-10-24T00:00:00"/>
        <d v="2024-06-15T00:00:00"/>
        <s v="09/12/2023"/>
        <d v="2024-04-04T00:00:00"/>
        <s v="26/05/2023"/>
        <d v="2023-02-11T00:00:00"/>
        <d v="2024-06-25T00:00:00"/>
        <s v="21/04/2023"/>
        <d v="2024-12-26T00:00:00"/>
        <d v="2023-03-30T00:00:00"/>
        <d v="2024-01-24T00:00:00"/>
        <d v="2024-10-28T00:00:00"/>
        <s v="04/24/2024"/>
        <d v="2023-08-25T00:00:00"/>
        <s v="04/03/2024"/>
        <s v="10/24/2024"/>
        <s v="05/04/2023"/>
        <d v="2024-10-10T00:00:00"/>
        <d v="2023-09-02T00:00:00"/>
        <s v="05/07/2024"/>
        <d v="2023-12-03T00:00:00"/>
        <d v="2024-01-10T00:00:00"/>
        <d v="2023-04-17T00:00:00"/>
        <s v="2024.02.23"/>
        <d v="2024-12-15T00:00:00"/>
        <d v="2024-08-10T00:00:00"/>
        <s v=" 2023.06.24  "/>
        <d v="2024-11-02T00:00:00"/>
        <d v="2023-12-19T00:00:00"/>
        <d v="2024-08-31T00:00:00"/>
        <d v="2024-08-30T00:00:00"/>
        <s v="2023.08.11"/>
        <s v="2024.05.07"/>
        <d v="2023-06-07T00:00:00"/>
        <d v="2024-08-12T00:00:00"/>
        <s v="26/01/2024"/>
        <s v="14/01/2024"/>
        <d v="2023-10-03T00:00:00"/>
        <s v="2023.10.13"/>
        <s v="08/07/2024"/>
        <d v="2024-12-18T00:00:00"/>
        <d v="2023-09-17T00:00:00"/>
        <s v="04/07/2023"/>
        <d v="2023-04-08T00:00:00"/>
        <d v="2024-09-10T00:00:00"/>
        <d v="2024-11-30T00:00:00"/>
        <s v="06/14/2023"/>
        <d v="2024-02-29T00:00:00"/>
        <d v="2024-10-09T00:00:00"/>
        <s v="03/04/2024"/>
        <s v="2024.04.21"/>
        <d v="2023-05-09T00:00:00"/>
        <d v="2024-08-01T00:00:00"/>
        <s v="05/17/2024"/>
        <d v="2023-02-08T00:00:00"/>
        <d v="2023-05-07T00:00:00"/>
        <s v="03/14/2023"/>
        <d v="2023-09-29T00:00:00"/>
        <d v="2024-01-08T00:00:00"/>
        <d v="2023-01-31T00:00:00"/>
        <s v="05/08/2024"/>
        <s v="22/11/2024"/>
        <d v="2023-06-10T00:00:00"/>
        <s v="09/23/2023"/>
        <s v=" 2023-01-28  "/>
        <s v="12/07/2023"/>
        <d v="2024-08-05T00:00:00"/>
        <d v="2024-11-13T00:00:00"/>
        <d v="2024-08-19T00:00:00"/>
        <s v="21/03/2023"/>
        <s v="10/09/2024"/>
        <d v="2023-10-16T00:00:00"/>
        <s v="12/23/2024"/>
        <s v="2023.11.29"/>
        <s v="25/02/2023"/>
        <d v="2023-06-08T00:00:00"/>
        <s v="26/08/2023"/>
        <d v="2024-04-10T00:00:00"/>
        <d v="2024-10-14T00:00:00"/>
        <d v="2024-12-07T00:00:00"/>
        <s v=" 2023-09-03  "/>
        <d v="2023-10-19T00:00:00"/>
        <s v="03/11/2023"/>
        <s v="2024.02.19"/>
        <d v="2023-12-15T00:00:00"/>
        <s v="21/07/2023"/>
        <d v="2024-01-11T00:00:00"/>
        <d v="2023-03-27T00:00:00"/>
        <s v="2023.09.27"/>
        <s v="2023.09.23"/>
        <s v="9/16/2023"/>
        <s v="7/12/2023"/>
        <d v="2023-05-23T00:00:00"/>
        <d v="2023-09-21T00:00:00"/>
        <s v="26/12/2024"/>
        <s v="09/04/2023"/>
        <s v="09/07/2024"/>
        <s v="08/04/2023"/>
        <d v="2024-08-14T00:00:00"/>
        <d v="2023-01-14T00:00:00"/>
        <s v="2023.09.13"/>
        <s v="2023.10.06"/>
        <s v="9/9/2024"/>
        <d v="2024-03-25T00:00:00"/>
        <s v="05/13/2024"/>
        <s v="31/07/2023"/>
        <s v="18/08/2023"/>
        <s v="2023.02.12"/>
        <s v="5/14/2024"/>
        <d v="2023-04-02T00:00:00"/>
        <s v="2024.06.07"/>
        <s v="2024.08.20"/>
        <s v="24/03/2023"/>
        <s v="25/06/2024"/>
        <s v="2024.12.23"/>
        <s v="12/12/2024"/>
        <d v="2024-06-05T00:00:00"/>
        <d v="2023-01-20T00:00:00"/>
        <d v="2024-12-23T00:00:00"/>
        <s v="08/02/2024"/>
        <d v="2024-07-07T00:00:00"/>
        <d v="2023-07-13T00:00:00"/>
        <s v="15/11/2023"/>
        <s v="2023.11.12"/>
        <s v="2024.09.10"/>
        <s v="2023.09.17"/>
        <d v="2024-01-09T00:00:00"/>
        <d v="2024-04-18T00:00:00"/>
        <s v="12/25/2023"/>
        <s v=" 2024-08-09  "/>
        <s v="13/10/2024"/>
        <d v="2024-02-05T00:00:00"/>
        <s v="02/05/2024"/>
        <d v="2023-11-12T00:00:00"/>
        <s v="3/13/2023"/>
        <s v="06/12/2023"/>
        <s v="03/24/2023"/>
        <d v="2024-12-30T00:00:00"/>
        <s v="2024.07.04"/>
        <s v="11/07/2024"/>
        <s v="10/20/2023"/>
        <d v="2024-01-14T00:00:00"/>
        <s v="2024.04.13"/>
        <s v="01/09/2023"/>
        <d v="2023-07-05T00:00:00"/>
        <d v="2024-10-02T00:00:00"/>
        <d v="2023-05-01T00:00:00"/>
        <s v=" 09-May-2024  "/>
        <d v="2023-01-02T00:00:00"/>
        <d v="2023-04-10T00:00:00"/>
        <d v="2023-10-14T00:00:00"/>
        <d v="2023-02-15T00:00:00"/>
        <d v="2023-08-05T00:00:00"/>
        <s v="11/04/2023"/>
        <d v="2024-01-05T00:00:00"/>
        <s v=" 2024-06-16  "/>
        <d v="2024-12-24T00:00:00"/>
        <d v="2024-04-11T00:00:00"/>
        <s v="11/30/2023"/>
        <s v="09/12/2024"/>
        <s v="30/07/2023"/>
        <s v="20/02/2024"/>
        <d v="2024-11-06T00:00:00"/>
        <s v="04/15/2023"/>
        <s v="24/04/2023"/>
        <d v="2024-01-31T00:00:00"/>
        <s v="21/10/2023"/>
        <s v=" 10/06/2024  "/>
        <d v="2023-04-28T00:00:00"/>
        <s v="05/08/2023"/>
        <s v="09/22/2023"/>
        <s v="01/31/2024"/>
        <s v="2024.09.01"/>
        <s v="10/27/2024"/>
        <d v="2023-12-09T00:00:00"/>
        <d v="2023-02-12T00:00:00"/>
        <s v="2023.03.06"/>
        <d v="2023-08-12T00:00:00"/>
        <s v="15/07/2023"/>
        <d v="2023-05-30T00:00:00"/>
        <d v="2024-06-20T00:00:00"/>
        <d v="2024-04-08T00:00:00"/>
        <s v="2023.03.26"/>
        <d v="2023-06-16T00:00:00"/>
        <d v="2023-02-26T00:00:00"/>
        <d v="2024-01-20T00:00:00"/>
        <d v="2024-08-24T00:00:00"/>
        <d v="2024-03-01T00:00:00"/>
        <d v="2023-12-11T00:00:00"/>
        <d v="2024-02-10T00:00:00"/>
        <d v="2024-01-23T00:00:00"/>
        <d v="2023-09-09T00:00:00"/>
        <s v="09/02/2024"/>
        <s v="09/10/2024"/>
        <s v="2024.11.10"/>
        <d v="2024-01-30T00:00:00"/>
        <d v="2023-01-21T00:00:00"/>
        <s v="23/04/2023"/>
        <d v="2024-07-06T00:00:00"/>
        <s v=" 05/07/2023  "/>
        <s v="14/04/2024"/>
        <d v="2023-10-15T00:00:00"/>
        <d v="2023-12-29T00:00:00"/>
        <s v="10/06/2024"/>
        <d v="2024-08-27T00:00:00"/>
        <s v="2024.12.26"/>
        <s v="1/7/2024"/>
        <s v="01/05/2024"/>
        <s v="2023.07.31"/>
        <s v="2023.05.21"/>
        <s v="05/12/2024"/>
        <d v="2024-04-30T00:00:00"/>
        <s v="16/10/2024"/>
        <d v="2023-09-19T00:00:00"/>
        <s v="6/1/2024"/>
        <s v="02/09/2023"/>
        <s v="13/04/2023"/>
        <d v="2023-05-27T00:00:00"/>
        <s v="09/06/2023"/>
        <d v="2024-05-11T00:00:00"/>
        <d v="2024-01-13T00:00:00"/>
        <d v="2024-10-15T00:00:00"/>
        <s v="11/13/2023"/>
        <s v="12/04/2023"/>
        <d v="2023-10-08T00:00:00"/>
        <s v="30/10/2023"/>
        <s v="13/06/2023"/>
        <d v="2024-03-26T00:00:00"/>
        <s v=" 05/14/2024  "/>
        <d v="2023-06-02T00:00:00"/>
        <s v="05/30/2023"/>
        <s v=" 10-Dec-2024  "/>
        <d v="2024-01-17T00:00:00"/>
        <s v="04/22/2023"/>
        <s v="07/06/2024"/>
        <s v="24/02/2023"/>
        <d v="2024-12-17T00:00:00"/>
        <s v="2024.06.17"/>
        <s v="2024.10.09"/>
        <s v="02/03/2023"/>
        <d v="2023-06-04T00:00:00"/>
        <d v="2024-09-25T00:00:00"/>
        <d v="2024-03-20T00:00:00"/>
        <d v="2023-08-02T00:00:00"/>
        <d v="2023-07-01T00:00:00"/>
        <d v="2023-05-19T00:00:00"/>
        <d v="2023-08-01T00:00:00"/>
        <s v="2024.12.28"/>
        <s v="2023.10.03"/>
        <d v="2023-06-14T00:00:00"/>
        <s v="27/07/2023"/>
        <d v="2024-04-29T00:00:00"/>
        <d v="2023-08-14T00:00:00"/>
        <d v="2024-04-19T00:00:00"/>
        <d v="2023-06-15T00:00:00"/>
        <s v="09/26/2023"/>
        <d v="2023-05-15T00:00:00"/>
        <s v="07/07/2023"/>
        <s v="2023.03.24"/>
        <s v="2023.09.11"/>
        <s v=" 2023.06.13  "/>
        <s v="06/20/2023"/>
        <s v=" Feb 15, 2023  "/>
        <d v="2023-07-22T00:00:00"/>
        <s v="28/10/2023"/>
        <s v="14/03/2024"/>
        <s v="2024.12.25"/>
        <s v="12/03/2023"/>
        <d v="2023-11-16T00:00:00"/>
        <s v="2024.08.24"/>
        <s v=" 01-Jun-2023  "/>
        <s v="9/26/2023"/>
        <d v="2024-01-16T00:00:00"/>
        <s v="5/19/2024"/>
        <d v="2023-02-22T00:00:00"/>
        <s v="2023.02.11"/>
        <s v="2023.02.24"/>
        <s v="05/23/2024"/>
        <s v="1/27/2023"/>
        <s v="06/15/2023"/>
        <s v="01/07/2023"/>
        <d v="2023-11-27T00:00:00"/>
        <d v="2024-11-20T00:00:00"/>
        <d v="2023-04-20T00:00:00"/>
        <s v="2023.04.06"/>
        <d v="2024-03-10T00:00:00"/>
        <d v="2023-07-21T00:00:00"/>
        <d v="2023-07-26T00:00:00"/>
        <s v="28/01/2024"/>
        <d v="2024-11-04T00:00:00"/>
        <s v="08/01/2023"/>
        <s v="03/08/2024"/>
        <d v="2023-07-16T00:00:00"/>
        <d v="2023-04-18T00:00:00"/>
        <s v="2023.12.27"/>
        <d v="2024-08-07T00:00:00"/>
        <d v="2023-10-29T00:00:00"/>
        <s v=" 30-Sep-2023  "/>
        <s v="2024.09.09"/>
        <d v="2023-06-29T00:00:00"/>
        <s v="01/02/2024"/>
        <s v="12/28/2024"/>
        <s v="12/06/2023"/>
        <d v="2024-04-15T00:00:00"/>
        <s v="2024.05.13"/>
        <d v="2023-09-13T00:00:00"/>
        <s v="01/23/2023"/>
        <s v="13/05/2023"/>
        <s v="2023.03.05"/>
        <d v="2024-10-31T00:00:00"/>
        <d v="2024-01-02T00:00:00"/>
        <d v="2023-06-20T00:00:00"/>
        <d v="2023-03-16T00:00:00"/>
        <s v="2024.08.28"/>
        <d v="2024-02-14T00:00:00"/>
        <d v="2023-03-25T00:00:00"/>
        <s v="2024.06.03"/>
        <d v="2023-12-04T00:00:00"/>
        <s v=" Feb 23, 2023  "/>
        <s v="2024.02.20"/>
        <s v="2024.03.29"/>
        <d v="2023-04-21T00:00:00"/>
        <s v="2023.02.15"/>
        <d v="2024-11-10T00:00:00"/>
        <d v="2024-11-23T00:00:00"/>
        <s v="11/26/2024"/>
        <s v="2023.12.02"/>
        <s v="21/01/2023"/>
        <d v="2023-07-18T00:00:00"/>
        <d v="2024-03-28T00:00:00"/>
        <d v="2023-10-06T00:00:00"/>
        <s v="08/30/2023"/>
        <d v="2024-07-20T00:00:00"/>
        <d v="2024-01-15T00:00:00"/>
        <s v="01/01/2024"/>
        <s v="13/11/2024"/>
        <s v="10/8/2023"/>
        <s v="09/01/2023"/>
        <d v="2023-08-18T00:00:00"/>
        <s v="2024.04.22"/>
        <d v="2024-11-21T00:00:00"/>
        <d v="2023-11-09T00:00:00"/>
        <d v="2023-07-10T00:00:00"/>
        <d v="2024-12-04T00:00:00"/>
        <s v="2024.12.14"/>
        <s v="2023.01.27"/>
        <s v="2024.03.01"/>
        <s v="04/11/2023"/>
        <s v="15/11/2024"/>
        <s v="25/08/2024"/>
        <d v="2023-04-24T00:00:00"/>
        <s v="2023.08.25"/>
        <s v="05/24/2023"/>
        <d v="2023-01-12T00:00:00"/>
        <s v="26/10/2023"/>
        <s v="2023.06.11"/>
        <s v="2023.03.01"/>
        <s v="12/24/2024"/>
        <s v="30/11/2024"/>
        <s v="08/11/2023"/>
        <d v="2024-03-21T00:00:00"/>
        <s v="2023.06.04"/>
        <d v="2024-04-27T00:00:00"/>
        <s v="07/03/2023"/>
        <d v="2024-02-20T00:00:00"/>
        <s v="9/17/2024"/>
        <s v="29/01/2024"/>
        <s v="2023.08.09"/>
        <d v="2023-08-16T00:00:00"/>
        <s v="2023.08.08"/>
        <d v="2024-11-25T00:00:00"/>
        <s v="2023.10.02"/>
        <d v="2024-05-28T00:00:00"/>
        <s v="03/03/2024"/>
        <s v="30/01/2023"/>
        <s v=" Nov 17, 2023  "/>
        <d v="2024-05-19T00:00:00"/>
        <s v="07/01/2023"/>
        <d v="2024-02-07T00:00:00"/>
        <s v="13/07/2024"/>
        <s v=" Jun 27, 2023  "/>
        <s v="17/11/2024"/>
        <s v="2024.11.15"/>
        <s v=" 30-Dec-2023  "/>
        <s v=" 2023.05.02  "/>
        <s v="06/03/2023"/>
        <s v="07/20/2023"/>
        <d v="2023-03-06T00:00:00"/>
        <d v="2023-10-21T00:00:00"/>
        <s v=" Apr 25, 2023  "/>
        <d v="2024-03-12T00:00:00"/>
        <s v="20/12/2023"/>
        <s v="08/08/2024"/>
        <d v="2024-01-25T00:00:00"/>
        <d v="2024-10-22T00:00:00"/>
        <s v="09/04/2024"/>
        <s v="2024.10.28"/>
        <d v="2023-04-04T00:00:00"/>
        <d v="2024-09-03T00:00:00"/>
        <s v="12/12/2023"/>
        <s v="03/14/2024"/>
        <s v="2024.09.13"/>
        <s v="2023.03.16"/>
        <d v="2023-05-26T00:00:00"/>
        <d v="2023-09-22T00:00:00"/>
        <d v="2023-11-24T00:00:00"/>
        <s v="02/06/2024"/>
        <d v="2024-04-14T00:00:00"/>
        <s v="27/07/2024"/>
        <s v="01/13/2023"/>
        <s v="09/08/2024"/>
        <s v="2024.05.27"/>
        <d v="2024-03-18T00:00:00"/>
        <d v="2023-12-20T00:00:00"/>
        <s v="1/24/2023"/>
        <d v="2024-08-26T00:00:00"/>
        <s v="2023.07.09"/>
        <s v="2024.02.06"/>
        <d v="2024-11-27T00:00:00"/>
        <d v="2023-12-01T00:00:00"/>
        <s v="2024.10.22"/>
        <s v="2024.09.24"/>
        <d v="2024-12-31T00:00:00"/>
        <d v="2023-06-01T00:00:00"/>
        <s v="23/06/2024"/>
        <s v="16/12/2023"/>
        <s v="03/24/2024"/>
        <s v="02/02/2023"/>
        <s v="28/07/2024"/>
        <s v="24/07/2024"/>
        <s v="2024.04.04"/>
        <s v="16/06/2023"/>
        <s v=" 2023.01.05  "/>
        <d v="2023-09-12T00:00:00"/>
        <s v="2024.10.26"/>
        <s v="6/20/2024"/>
        <d v="2023-08-04T00:00:00"/>
        <d v="2023-09-26T00:00:00"/>
        <s v=" Nov 10, 2023  "/>
        <s v="05/26/2024"/>
        <d v="2023-01-10T00:00:00"/>
        <s v="09/05/2024"/>
        <s v="4/1/2024"/>
        <s v="10/07/2024"/>
        <s v="2024.09.07"/>
        <d v="2023-11-14T00:00:00"/>
        <d v="2024-07-26T00:00:00"/>
        <s v="30/06/2024"/>
        <d v="2023-03-10T00:00:00"/>
        <s v="04/27/2024"/>
        <s v="2023.05.28"/>
        <d v="2024-06-16T00:00:00"/>
        <s v="01/12/2023"/>
        <s v="08/18/2024"/>
        <s v="06/05/2024"/>
        <s v="2023.01.17"/>
        <s v="10/10/2023"/>
        <d v="2023-08-08T00:00:00"/>
        <s v="07/16/2023"/>
        <s v="2024.08.12"/>
        <d v="2023-12-05T00:00:00"/>
        <s v="5/17/2024"/>
        <s v="2024.01.19"/>
        <s v="24/05/2024"/>
        <s v="11/24/2024"/>
        <s v="16/03/2023"/>
        <s v="2024.04.06"/>
        <s v="2023.12.12"/>
        <d v="2024-06-28T00:00:00"/>
        <d v="2023-11-30T00:00:00"/>
        <s v="2024.04.29"/>
        <d v="2023-05-28T00:00:00"/>
        <s v="2024.07.18"/>
        <s v="2023.04.24"/>
        <s v="03/17/2024"/>
        <s v="10/30/2023"/>
        <s v="24/10/2024"/>
        <s v="5/24/2024"/>
        <s v="03/01/2024"/>
        <s v="2024.09.19"/>
        <s v="03/21/2023"/>
        <s v="12/31/2023"/>
        <s v="18/10/2023"/>
        <s v="11/11/2024"/>
        <d v="2023-06-13T00:00:00"/>
        <d v="2023-04-19T00:00:00"/>
        <d v="2024-05-21T00:00:00"/>
        <s v="09/05/2023"/>
        <d v="2024-02-28T00:00:00"/>
        <s v="08/23/2024"/>
        <s v="22/01/2024"/>
        <s v="05/02/2024"/>
        <d v="2024-05-22T00:00:00"/>
        <d v="2024-07-11T00:00:00"/>
        <d v="2024-11-14T00:00:00"/>
        <s v="06/01/2023"/>
        <d v="2023-07-27T00:00:00"/>
        <d v="2024-09-14T00:00:00"/>
        <d v="2024-10-18T00:00:00"/>
        <s v="01/07/2024"/>
        <s v="16/04/2023"/>
        <s v=" 31/03/2023  "/>
        <d v="2024-02-17T00:00:00"/>
        <s v="2024.05.16"/>
        <d v="2023-01-11T00:00:00"/>
        <d v="2023-11-03T00:00:00"/>
        <d v="2023-08-19T00:00:00"/>
        <s v="12/10/2023"/>
        <d v="2023-07-08T00:00:00"/>
        <s v="2023.12.26"/>
        <d v="2023-12-02T00:00:00"/>
        <d v="2023-03-07T00:00:00"/>
        <d v="2023-10-04T00:00:00"/>
        <d v="2024-07-10T00:00:00"/>
        <s v="06/10/2023"/>
        <s v="04/10/2023"/>
        <d v="2023-06-30T00:00:00"/>
        <d v="2024-09-28T00:00:00"/>
        <s v="2024.07.24"/>
        <d v="2023-03-02T00:00:00"/>
        <d v="2023-07-25T00:00:00"/>
        <s v="17/03/2023"/>
        <d v="2023-02-05T00:00:00"/>
        <s v="06/07/2023"/>
        <s v="08/24/2024"/>
        <s v="10/19/2024"/>
        <d v="2023-07-20T00:00:00"/>
        <s v=" 12/29/2023  "/>
        <s v="04/06/2023"/>
        <d v="2023-02-14T00:00:00"/>
        <s v="26/05/2024"/>
        <s v="27/08/2024"/>
        <s v="10/21/2024"/>
        <s v="12/10/2024"/>
        <s v="02/11/2023"/>
        <s v="2023.06.30"/>
        <d v="2023-02-23T00:00:00"/>
        <s v="09/11/2023"/>
        <d v="2024-06-12T00:00:00"/>
        <s v="2024.04.18"/>
        <s v="2023.02.19"/>
        <d v="2023-12-06T00:00:00"/>
        <s v="03/18/2024"/>
        <s v="2024.04.12"/>
        <d v="2023-06-05T00:00:00"/>
        <d v="2024-02-22T00:00:00"/>
        <d v="2024-09-02T00:00:00"/>
        <s v="6/16/2023"/>
        <s v=" 2024.11.21  "/>
        <s v="10/16/2024"/>
        <d v="2024-07-14T00:00:00"/>
        <s v=" Mar 10, 2023  "/>
        <s v="12/16/2024"/>
        <d v="2023-09-24T00:00:00"/>
        <s v="12/11/2023"/>
        <s v="06/18/2023"/>
        <s v="19/04/2023"/>
        <s v="2024.10.01"/>
        <s v="12/27/2023"/>
        <s v="05/16/2023"/>
        <d v="2024-06-26T00:00:00"/>
        <d v="2024-04-23T00:00:00"/>
        <d v="2023-11-25T00:00:00"/>
        <s v="2023.01.10"/>
        <d v="2024-09-23T00:00:00"/>
        <d v="2023-01-03T00:00:00"/>
        <d v="2023-03-28T00:00:00"/>
        <d v="2024-12-12T00:00:00"/>
        <d v="2024-10-19T00:00:00"/>
        <s v="06/01/2024"/>
        <d v="2023-10-10T00:00:00"/>
        <s v=" 2023.05.19  "/>
        <d v="2023-05-13T00:00:00"/>
        <d v="2024-06-09T00:00:00"/>
        <s v="2024.10.13"/>
        <s v="4/26/2024"/>
        <s v="08/12/2024"/>
        <s v="2023.12.11"/>
        <d v="2024-02-13T00:00:00"/>
        <s v="2024.09.20"/>
        <s v="13/08/2024"/>
        <d v="2023-02-27T00:00:00"/>
        <s v="19/05/2023"/>
        <s v="2024.07.30"/>
        <d v="2024-09-16T00:00:00"/>
        <s v="03/06/2023"/>
        <d v="2023-09-10T00:00:00"/>
        <d v="2023-03-20T00:00:00"/>
        <d v="2023-01-28T00:00:00"/>
        <s v="2024.07.03"/>
        <s v="14/07/2023"/>
        <d v="2023-01-30T00:00:00"/>
        <s v="2023.08.22"/>
        <s v="2024.09.06"/>
        <d v="2024-05-02T00:00:00"/>
        <s v="01/17/2024"/>
        <s v="04/19/2024"/>
        <s v="2023.12.18"/>
        <s v="17/07/2024"/>
        <s v="03/22/2023"/>
        <s v="06/22/2023"/>
        <d v="2023-08-13T00:00:00"/>
        <s v="2023.08.30"/>
        <s v="02/12/2024"/>
        <s v="2023.11.06"/>
        <s v="11/06/2024"/>
        <d v="2023-11-26T00:00:00"/>
        <d v="2024-07-28T00:00:00"/>
        <d v="2023-07-28T00:00:00"/>
        <d v="2024-04-24T00:00:00"/>
        <s v="2023.01.20"/>
        <s v="2024.06.23"/>
        <d v="2023-06-25T00:00:00"/>
        <d v="2023-09-15T00:00:00"/>
        <d v="2024-02-16T00:00:00"/>
        <s v="09/18/2023"/>
        <s v="2023.10.28"/>
        <s v="05/14/2024"/>
        <s v="13/01/2023"/>
        <s v="2023.10.24"/>
        <d v="2024-01-27T00:00:00"/>
        <s v=" Sep 20, 2023  "/>
        <s v="2023.11.03"/>
        <s v="06/11/2023"/>
        <d v="2024-08-04T00:00:00"/>
        <d v="2023-11-23T00:00:00"/>
        <d v="2024-10-08T00:00:00"/>
        <s v="2023.01.14"/>
        <d v="2024-06-03T00:00:00"/>
        <d v="2024-06-27T00:00:00"/>
        <d v="2023-01-22T00:00:00"/>
        <d v="2023-12-21T00:00:00"/>
        <d v="2023-03-19T00:00:00"/>
        <d v="2023-09-08T00:00:00"/>
        <d v="2023-06-26T00:00:00"/>
        <d v="2023-07-14T00:00:00"/>
        <s v="04/23/2024"/>
        <s v="05/17/2023"/>
        <d v="2024-12-11T00:00:00"/>
        <s v="04/14/2023"/>
        <d v="2024-05-31T00:00:00"/>
        <s v="09/10/2023"/>
        <s v="07/05/2024"/>
        <d v="2024-11-03T00:00:00"/>
        <s v="2024.01.02"/>
        <s v=" 10/10/2023  "/>
        <s v="08/04/2024"/>
        <d v="2024-01-22T00:00:00"/>
        <d v="2024-12-01T00:00:00"/>
        <d v="2023-01-08T00:00:00"/>
        <s v="19/07/2023"/>
        <d v="2024-04-22T00:00:00"/>
        <s v="2024.07.01"/>
        <d v="2023-11-19T00:00:00"/>
        <s v="5/8/2023"/>
        <d v="2023-05-11T00:00:00"/>
        <s v="12/21/2024"/>
        <d v="2023-04-14T00:00:00"/>
        <s v="05/01/2023"/>
        <s v="2024.08.26"/>
        <s v="2024.04.01"/>
        <s v="04/04/2024"/>
        <s v="12/05/2024"/>
        <s v="10/03/2024"/>
        <d v="2023-01-09T00:00:00"/>
        <d v="2024-03-14T00:00:00"/>
        <d v="2024-08-29T00:00:00"/>
        <s v="03/22/2024"/>
        <s v="12/09/2023"/>
        <s v="11/1/2023"/>
        <d v="2023-12-24T00:00:00"/>
        <d v="2024-04-20T00:00:00"/>
        <s v="2023.07.05"/>
        <s v="01/21/2024"/>
        <d v="2024-04-03T00:00:00"/>
        <s v="21/05/2024"/>
        <s v="05/29/2024"/>
        <s v="12/26/2024"/>
        <s v="2023.07.15"/>
        <s v="2024.05.30"/>
        <s v="02/17/2023"/>
        <s v="6/4/2024"/>
        <d v="2024-06-24T00:00:00"/>
        <d v="2023-09-05T00:00:00"/>
        <s v="03/28/2023"/>
      </sharedItems>
    </cacheField>
    <cacheField name="Category" numFmtId="0">
      <sharedItems count="5">
        <s v="Wallflower &amp; Air Freshener"/>
        <s v="Body Care"/>
        <s v="Men's"/>
        <s v="Candles"/>
        <s v="Hand Soap &amp; Sanitizer"/>
      </sharedItems>
    </cacheField>
    <cacheField name="Gender" numFmtId="0">
      <sharedItems containsBlank="1"/>
    </cacheField>
    <cacheField name="Age" numFmtId="0">
      <sharedItems containsBlank="1" containsMixedTypes="1" containsNumber="1" containsInteger="1" minValue="13" maxValue="75" count="69">
        <n v="61"/>
        <m/>
        <n v="29"/>
        <n v="38"/>
        <n v="59"/>
        <n v="55"/>
        <n v="65"/>
        <n v="56"/>
        <n v="39"/>
        <n v="50"/>
        <s v="twenty"/>
        <n v="14"/>
        <n v="69"/>
        <n v="60"/>
        <n v="54"/>
        <n v="40"/>
        <n v="21"/>
        <n v="19"/>
        <n v="66"/>
        <n v="71"/>
        <n v="18"/>
        <n v="44"/>
        <n v="47"/>
        <n v="74"/>
        <n v="46"/>
        <n v="43"/>
        <n v="48"/>
        <n v="73"/>
        <n v="31"/>
        <n v="34"/>
        <s v="Thirty"/>
        <n v="26"/>
        <n v="33"/>
        <n v="57"/>
        <n v="75"/>
        <n v="20"/>
        <n v="42"/>
        <n v="68"/>
        <n v="53"/>
        <n v="25"/>
        <n v="35"/>
        <n v="13"/>
        <n v="22"/>
        <n v="23"/>
        <n v="51"/>
        <n v="15"/>
        <n v="45"/>
        <n v="27"/>
        <s v="N/A"/>
        <n v="58"/>
        <n v="32"/>
        <n v="28"/>
        <n v="49"/>
        <n v="41"/>
        <n v="70"/>
        <n v="52"/>
        <n v="17"/>
        <s v="??"/>
        <n v="64"/>
        <n v="37"/>
        <n v="16"/>
        <n v="63"/>
        <n v="36"/>
        <n v="62"/>
        <n v="67"/>
        <n v="30"/>
        <n v="24"/>
        <n v="72"/>
        <s v="18 yrs"/>
      </sharedItems>
    </cacheField>
    <cacheField name="Location" numFmtId="0">
      <sharedItems count="615">
        <s v="Lethbridge (AB)"/>
        <s v="Vaughan  Ontario"/>
        <s v="Toronto ON"/>
        <s v="Kitchener Ontario"/>
        <s v="Vaughan (Ontario)"/>
        <s v="Calgary,Alberta"/>
        <s v="Gatineau, Quebec"/>
        <s v="Ottawa Ontari0"/>
        <s v="Mississauga, Ontario"/>
        <s v="Alberta - Edmonton"/>
        <s v="Saskatoon-SK"/>
        <s v="Vancouver,British Columbia"/>
        <s v=" Laval  Quebec "/>
        <s v="Mississauga (Ontario)"/>
        <s v="Laval  Quebe"/>
        <s v="Ontario - Ottawa"/>
        <s v="Laval,Quebe"/>
        <s v="Laval Quebec"/>
        <s v="London,ONTARIO"/>
        <s v="Longueuil (Quebec)"/>
        <s v="Red Deer-AB"/>
        <s v="Kelowna  BRITISH COLUMBIA"/>
        <s v="Winnipeg (MANITOBA)"/>
        <s v="Markham,ON"/>
        <s v="Halifax (ns)"/>
        <s v="Longueuil,Quebec"/>
        <s v="Calgary,Albert"/>
        <s v="Longueuil,Quebe"/>
        <s v="Edmonton AB"/>
        <s v="Richmond,British Columbi"/>
        <s v="Sherbrooke,Quebe"/>
        <s v="Windsor  Ontario"/>
        <s v="Brampton / Ontari"/>
        <s v="Mississauga,ONTARIO"/>
        <s v="St. John's  Newfoundland and Labrado"/>
        <s v="Laval-qc"/>
        <s v="on - Vaughan"/>
        <s v="Quebec - Longueuil"/>
        <s v="London-on"/>
        <s v="Sherbrooke, Quebec"/>
        <s v="Surrey-BRITISH COLUMBIA"/>
        <s v="Vancouver, British Columbia"/>
        <s v="Saskatoon-Saskatch3wan"/>
        <s v="Kelowna / British Columbi"/>
        <s v=" Windsor  ONTARIO "/>
        <s v="Red Deer  Alberta"/>
        <s v="Montreal,qc"/>
        <s v="Burnaby,British Columbia"/>
        <s v="Sherbrooke  Quebe"/>
        <s v=" Sherbrooke  Quebec "/>
        <s v="Windsor (ON)"/>
        <s v="Vancouver (BRITISH COLUMBIA)"/>
        <s v="Brandon  Manitoba"/>
        <s v="SASKATCHEWAN - Saskatoon"/>
        <s v="Kitchener on"/>
        <s v="Mississauga Ontari"/>
        <s v="Victoria / BRITISH COLUMBIA"/>
        <s v="Sherbrooke, Quebe"/>
        <s v="Kitchener  ONTARIO"/>
        <s v="Toronto,Ontario"/>
        <s v="Surrey, bc"/>
        <s v="Saskatoon / Saskatchewan"/>
        <s v="Sherbrooke / QC"/>
        <s v="Toronto (Ontario)"/>
        <s v=" Calgary (ALBERTA) "/>
        <s v="London,on"/>
        <s v="Hamilton / ON"/>
        <s v="Montreal QUEBEC"/>
        <s v=" Brampton (Ontario) "/>
        <s v="Vancouver, BritishColumbia"/>
        <s v="Ontario - Kitchener"/>
        <s v="Longueuil, Quebec"/>
        <s v="Vaughan  ON"/>
        <s v="Quebec City (Quebec)"/>
        <s v="Ottawa (Ontario)"/>
        <s v="Montreal-Quebec"/>
        <s v="Toronto / Ontari"/>
        <s v="Calgary  Albert"/>
        <s v="Calgary-Albert"/>
        <s v="Vaughan  Ontari"/>
        <s v="London, ON"/>
        <s v="Kitchener-on"/>
        <s v=" Hamilton  Ontari"/>
        <s v="London / Ontario"/>
        <s v="Sydney (Nova Scoti)"/>
        <s v="Calgary (AB)"/>
        <s v="London ON"/>
        <s v="Saskatoon  SK"/>
        <s v="London Ontario"/>
        <s v="Quebec City, Quebec"/>
        <s v="Red Deer / Alberta"/>
        <s v="Quebec - Sherbrooke"/>
        <s v=" Quebe - Longueuil "/>
        <s v="Quebec City QUEBEC"/>
        <s v="Vaughan, Ontario"/>
        <s v="Richmond / BritishColumbia"/>
        <s v="Kitchener / Ontario"/>
        <s v="Surrey,British Columbia"/>
        <s v="Laval, Quebec"/>
        <s v="St. John's, NL"/>
        <s v="Lethbridge Albert"/>
        <s v="Brampton  Ontario"/>
        <s v="Edmonton / Alberta"/>
        <s v="Markham,Ontario"/>
        <s v="Sydney / NovaScotia"/>
        <s v=" Sherbrooke,Quebec "/>
        <s v="Ottawa, ON"/>
        <s v="Mississauga on"/>
        <s v="Sherbrooke (Quebe)"/>
        <s v=" Lethbridge / ALBERTA "/>
        <s v="Albert - Edmonton"/>
        <s v="Gatineau  Qu3b3c"/>
        <s v="Markham (on)"/>
        <s v="Toronto-ON"/>
        <s v=" Calgary-ab "/>
        <s v="Burnaby, British Columbi"/>
        <s v="Sherbrooke (qc)"/>
        <s v="Vaughan Ontario"/>
        <s v=" Regina (SASKATCHEWAN) "/>
        <s v="Lethbridge AB"/>
        <s v="Victoria-British Columbia"/>
        <s v="Montreal / QUEBEC"/>
        <s v="Mississauga-Ontario"/>
        <s v="Vaughan-Ontario"/>
        <s v=" Halifax (Nova Scoti)"/>
        <s v="Markham  Ontario"/>
        <s v=" Gatineau, Quebec "/>
        <s v=" Vancouver British Columbia "/>
        <s v="Toronto / Ontario"/>
        <s v="Kitchener,Ontari"/>
        <s v="Ottawa-Ontari"/>
        <s v="Longueuil, qc"/>
        <s v="Vaughan-0n"/>
        <s v="Laval / QUEBEC"/>
        <s v="Mississauga ONTARIO"/>
        <s v="Sydney, NS"/>
        <s v="Sherbrooke  qc"/>
        <s v="St. John's (Newfoundland and Labrado)"/>
        <s v="Brampton,Ontari"/>
        <s v="Ottawa / Ontario"/>
        <s v="Kelowna  BC"/>
        <s v="Quebec City,QUEBEC"/>
        <s v=" Brandon Manitoba "/>
        <s v="QC - Laval"/>
        <s v=" Quebec - Sherbrooke "/>
        <s v="Brandon-Manitob"/>
        <s v="Hamilton  ONTARIO"/>
        <s v="Ontario - Vaughan"/>
        <s v="Longueuil-Quebec"/>
        <s v="Quebec - Laval"/>
        <s v="Red Deer, Alberta"/>
        <s v="Gatineau,qc"/>
        <s v=" Kelowna, British Columbia "/>
        <s v=" Red Deer-Alberta "/>
        <s v="Montreal QC"/>
        <s v="Laval (qc)"/>
        <s v="Quebec City  Quebec"/>
        <s v=" Quebec - Laval "/>
        <s v="British Columbia - Victoria"/>
        <s v=" BritishColumbia - Surrey "/>
        <s v=" Brampton, Ontario "/>
        <s v="Brandon (Manit0ba)"/>
        <s v="London (Ontari)"/>
        <s v="Victoria, BRITISH COLUMBIA"/>
        <s v="Victoria  British Columbia"/>
        <s v="Sherbrooke qc"/>
        <s v="Windsor Ontari"/>
        <s v="Brampton-Ontario"/>
        <s v="Gatineau  QC"/>
        <s v="Victoria bc"/>
        <s v="Fredericton, New Brunswick"/>
        <s v="ON - Markham"/>
        <s v="Richmond-bc"/>
        <s v="Windsor / ONTARIO"/>
        <s v="Sydney / NS"/>
        <s v="Burnaby / BRITISH COLUMBIA"/>
        <s v=" Gatineau-QC "/>
        <s v="Mississauga  ON"/>
        <s v="Sydney-Nova Scoti"/>
        <s v="Hamilton on"/>
        <s v="Brandon (MB)"/>
        <s v="London  Ontario"/>
        <s v="Laval qc"/>
        <s v="Fredericton-NewBrunswick"/>
        <s v=" Kitchener,Ontari "/>
        <s v="Kelowna British Columbi"/>
        <s v="Toronto  ONTARIO"/>
        <s v="Halifax,Nova Scotia"/>
        <s v=" Edmonton  Alberta "/>
        <s v="Brampton, ONTARIO"/>
        <s v="Edmonton  ab"/>
        <s v="Moncton-New Brunswic"/>
        <s v="Victoria British Columbi"/>
        <s v="Laval-Quebec"/>
        <s v="Markham-ONTARIO"/>
        <s v="Toronto ONTARIO"/>
        <s v="Kelowna,British Columbi"/>
        <s v="Richmond / BRITISH COLUMBIA"/>
        <s v="Toronto, on"/>
        <s v="Quebec City,Quebe"/>
        <s v="Ontari - London"/>
        <s v=" Victoria BC "/>
        <s v="Windsor Ontario"/>
        <s v=" Lethbridge Alberta"/>
        <s v="Mississauga / Ontario"/>
        <s v="Laval / qc"/>
        <s v="Vancouver  BRITISH COLUMBIA"/>
        <s v=" Markham  on "/>
        <s v="Burnaby, British Columbia"/>
        <s v="Ottawa-ONTARIO"/>
        <s v="Quebec City QC"/>
        <s v="Sydney Nova Scotia"/>
        <s v="Windsor ON"/>
        <s v="Saskatoon,Saskatchewa"/>
        <s v="London  Ontari"/>
        <s v="Saint John / New Brunswic"/>
        <s v=" Montreal (qc)"/>
        <s v=" Toronto  Ontario "/>
        <s v="Ottawa (ON)"/>
        <s v=" Kelowna  British Columbi "/>
        <s v="Hamilton,ON"/>
        <s v="Lethbridge  ab"/>
        <s v="Winnipeg Manitoba"/>
        <s v="Toronto / on"/>
        <s v="Sherbrooke (Quebec)"/>
        <s v="Markham, ONTARIO"/>
        <s v="Lethbridge Alberta"/>
        <s v="Winnipeg (Manitob)"/>
        <s v="Sherbrooke / Quebe"/>
        <s v="Ottawa-on"/>
        <s v=" Gatineau  Quebec "/>
        <s v="Longueuil  Quebec"/>
        <s v="Laval Quebe"/>
        <s v="St. John's (nl)"/>
        <s v="Kitchener, on"/>
        <s v=" Ontario - Kitchener "/>
        <s v="Burnaby-British C0lumbia"/>
        <s v="Windsor, Ontario"/>
        <s v="London (Ontario)"/>
        <s v="Calgary  Alberta"/>
        <s v="Halifax NS"/>
        <s v="Ontario - Brampton"/>
        <s v="Fredericton N3w Brunswick"/>
        <s v="Vancouver-BritishColumbia"/>
        <s v="Victoria (bc)"/>
        <s v="Hamilton (Ontario)"/>
        <s v=" on - Vaughan "/>
        <s v="Lethbridge,AB"/>
        <s v="Gatineau-Quebec"/>
        <s v="Laval,QC"/>
        <s v="QC - Sherbrooke"/>
        <s v=" Markham, ONTARIO "/>
        <s v="Ottawa Ontari"/>
        <s v="Corner Brook, Newfoundland and Labrador"/>
        <s v=" Toronto, ON "/>
        <s v="Brandon / mb"/>
        <s v="Saint John-NEW BRUNSWICK"/>
        <s v="Gatineau (qc)"/>
        <s v="Ottawa  ONTARIO"/>
        <s v="Sherbrooke / Qu3b3"/>
        <s v="London / on"/>
        <s v="Fredericton / nb"/>
        <s v="Ottawa  on"/>
        <s v="ON - London"/>
        <s v="Gatineau / QC"/>
        <s v="Brampton,ON"/>
        <s v="Regina Saskatchewan"/>
        <s v="ALBERTA - Lethbridge"/>
        <s v="Lethbridge-Alberta"/>
        <s v="Richmond BRITISH COLUMBIA"/>
        <s v="Laval  Quebec"/>
        <s v="BritishColumbia - Surrey"/>
        <s v="Markham / Ontario"/>
        <s v=" QC - Longueuil "/>
        <s v=" Edmonton (Alberta) "/>
        <s v="Brampton Ontario"/>
        <s v=" British Columbi - Victoria "/>
        <s v="Calgary,ab"/>
        <s v="Alberta - Red Deer"/>
        <s v="Calgary Alberta"/>
        <s v="Toronto (ON)"/>
        <s v="Kelowna-BritishC0lumbia"/>
        <s v=" Gatineau qc "/>
        <s v="Surrey / British Columbia"/>
        <s v="Nova Scotia - Sydney"/>
        <s v="Montreal  qc"/>
        <s v="Richmond, British Columbia"/>
        <s v="Brampton (on)"/>
        <s v="Kelowna / British C0lumbia"/>
        <s v="Red Deer / ab"/>
        <s v=" nl - St. John's "/>
        <s v="Red Deer-Alberta"/>
        <s v="on - Hamilton"/>
        <s v="Albert - Calgary"/>
        <s v="Windsor / Ontari0"/>
        <s v=" St. John's / NL "/>
        <s v="Laval (QUEBEC)"/>
        <s v=" London,ONTARIO "/>
        <s v="Burnaby British Columbi"/>
        <s v="Saint John  New Brunswick"/>
        <s v="Brampton (Ontario)"/>
        <s v=" Sherbrooke / Quebe "/>
        <s v=" St. John's-NewfoundlandandLabrador "/>
        <s v=" Victoria, British Columbi "/>
        <s v="ONTARIO - Windsor"/>
        <s v="Gatineau / Quebec"/>
        <s v="Mississauga / Ontari"/>
        <s v="Sydney-Nova Scotia"/>
        <s v="Calgary / Alb3rta"/>
        <s v="Ontari - Hamilton"/>
        <s v=" Halifax-Nova Scotia "/>
        <s v="QC - Montreal"/>
        <s v="Victoria,BC"/>
        <s v=" Ontario - London"/>
        <s v="Sydney NovaScotia"/>
        <s v="Hamilton Ontario"/>
        <s v="Edmonton,Alberta"/>
        <s v="Richmond / BC"/>
        <s v="Red Deer (ab)"/>
        <s v="Mississauga-on"/>
        <s v=" Calgary-ab"/>
        <s v="Saint John NB"/>
        <s v=" Alberta - Red Deer "/>
        <s v="Red Deer Alberta"/>
        <s v=" Laval-QC "/>
        <s v="Brampton (Ontari)"/>
        <s v="Lethbridge (ALBERTA)"/>
        <s v="Richmond / British Columbi"/>
        <s v="Calgary (Alberta)"/>
        <s v="Calgary / Alberta"/>
        <s v="St. John's / nl"/>
        <s v=" Markham (Ontario) "/>
        <s v="Surrey / BC"/>
        <s v="Sherbrooke,Quebec"/>
        <s v="Regina / Saskatchewa"/>
        <s v="Markham-ON"/>
        <s v="Quebec City-QUEBEC"/>
        <s v="Kelowna-British Columbi"/>
        <s v="Windsor  Ontari"/>
        <s v="Ottawa,Ontario"/>
        <s v="Markham Ontario"/>
        <s v="nb - Fredericton"/>
        <s v="Brampton ON"/>
        <s v="Kelowna-bc"/>
        <s v=" London  ON "/>
        <s v="Kelowna / British Columbia"/>
        <s v="Regina Saskatchewa"/>
        <s v="Richmond (British Columbia)"/>
        <s v=" Saint John (NB) "/>
        <s v="Saskatoon (Saskatchewan)"/>
        <s v="Sherbrooke, qc"/>
        <s v="Sydney-ns"/>
        <s v="Richmond (BC)"/>
        <s v="BC - Victoria"/>
        <s v=" Markham-Ontario "/>
        <s v=" Windsor, ONTARIO "/>
        <s v="Windsor  on"/>
        <s v="Hamilton, Ontario"/>
        <s v=" Gatineau (Quebec) "/>
        <s v="Calgary-ab"/>
        <s v="BRITISH COLUMBIA - Vancouver"/>
        <s v=" Richmond (BC) "/>
        <s v="Brandon,mb"/>
        <s v="Lethbridge / Alberta"/>
        <s v="Saskatoon, Saskatchewan"/>
        <s v="Vaughan Ontari0"/>
        <s v="Corner Brook,Newfoundl&amp; &amp; Labrador"/>
        <s v="Moncton, New Brunswick"/>
        <s v=" Ontario - Ottawa "/>
        <s v=" Kitchener-ONTARIO "/>
        <s v=" Victoria,British Columbia "/>
        <s v=" BRITISH COLUMBIA - Burnaby "/>
        <s v="Hamilton / Ontario"/>
        <s v="Brandon, mb"/>
        <s v="Kitchener,ON"/>
        <s v="Winnipeg, Manitoba"/>
        <s v="Surrey (British Columbia)"/>
        <s v="Ottawa on"/>
        <s v="Laval  qc"/>
        <s v="Halifax, Nova Scotia"/>
        <s v="Victoria (British Columbi)"/>
        <s v="Kitchener (Ontari)"/>
        <s v="Ottawa,Ontari"/>
        <s v="Red Deer  Albert"/>
        <s v="Ontario - Hamilton"/>
        <s v="Sherbrooke, Qu3b3c"/>
        <s v="Red Deer,Alberta"/>
        <s v="Ontario - Toronto"/>
        <s v="Saskatoon-Saskatchewan"/>
        <s v=" Fredericton / NewBrunswick "/>
        <s v="Sherbrooke Quebec"/>
        <s v="Lethbridge,Albert"/>
        <s v="British Columbia - Burnaby"/>
        <s v="Longueuil / qc"/>
        <s v=" ON - Mississauga "/>
        <s v="Ottawa, Ontario"/>
        <s v=" Burnaby,BC "/>
        <s v="Victoria, British Columbi"/>
        <s v="Winnipeg, Manitob"/>
        <s v="Calgary-Alberta"/>
        <s v="Richmond-British Columbi"/>
        <s v="Lethbridge  Alberta"/>
        <s v="Quebec City  QC"/>
        <s v="Mississauga  Ontari"/>
        <s v=" Montreal (Quebec) "/>
        <s v="Mississauga  Ontario"/>
        <s v="Windsor-Ontario"/>
        <s v="Kitchener, ONTARIO"/>
        <s v=" Vaughan-on "/>
        <s v="Hamilton, Ontari"/>
        <s v="Halifax / NovaScotia"/>
        <s v="Gatineau  QUEBEC"/>
        <s v=" Quebec City Quebec "/>
        <s v="Hamilton  Ontari"/>
        <s v="Red Deer,Alb3rta"/>
        <s v="Vaughan / ON"/>
        <s v="Windsor (Ontario)"/>
        <s v=" Richmond-BritishColumbia"/>
        <s v=" Kitchener, Ontario "/>
        <s v="Halifax  NOVA SCOTIA"/>
        <s v="Winnipeg / MANITOBA"/>
        <s v="Burnaby-British Columbia"/>
        <s v="Ontari - Mississauga"/>
        <s v="BritishC0lumbia - Victoria"/>
        <s v="Richmond  bc"/>
        <s v=" Mississauga,Ontari "/>
        <s v="Markham (Ontario)"/>
        <s v="Longueuil QUEBEC"/>
        <s v="Charlottetown PRINCE EDWARD ISLAND"/>
        <s v="Vancouver-BritishC0lumbia"/>
        <s v="Red Deer AB"/>
        <s v="Sydney  NovaScotia"/>
        <s v="Brandon-Manitoba"/>
        <s v="Brampton, on"/>
        <s v="ONTARIO - London"/>
        <s v="Kitchener (ON)"/>
        <s v="Albert - Red Deer"/>
        <s v="Quebec City, qc"/>
        <s v=" Gatineau (Quebe) "/>
        <s v=" Ontari - Markham "/>
        <s v=" Ottawa / Ontario "/>
        <s v="nb - Saint John"/>
        <s v="Kitchener  Ontari0"/>
        <s v="Kitchener,Ontario"/>
        <s v="Sydney (NOVA SCOTIA)"/>
        <s v="Kelowna (BritishColumbia)"/>
        <s v="Kelowna (BRITISH COLUMBIA)"/>
        <s v="Sydney, NovaScotia"/>
        <s v="Windsor / ON"/>
        <s v="Victoria  BC"/>
        <s v="Montreal-qc"/>
        <s v="Burnaby / British Columbi"/>
        <s v=" London, ONTARIO "/>
        <s v="Regina-Saskatchewa"/>
        <s v=" Brandon (Manitoba) "/>
        <s v=" Corner Brook,NEWFOUNDLAND AND LABRADOR "/>
        <s v="Longueuil / Qu3b3c"/>
        <s v=" Toronto  Ontari "/>
        <s v="Hamilton-ONTARIO"/>
        <s v="Regina (Saskatchewan)"/>
        <s v="Edmonton, Alb3rta"/>
        <s v="London,Ontari"/>
        <s v="Toronto Ontari"/>
        <s v=" London,on"/>
        <s v="Charlottetown,PrinceEdwardIsland"/>
        <s v="Moncton nb"/>
        <s v=" Gatineau / Quebe "/>
        <s v="NS - Sydney"/>
        <s v="mb - Winnipeg"/>
        <s v="Corner Brook, NewfoundlandandLabrador"/>
        <s v="QC - Gatineau"/>
        <s v="Burnaby, British C0lumbia"/>
        <s v="Mississauga, Ontari"/>
        <s v="Lethbridge, Alberta"/>
        <s v="Brandon  MB"/>
        <s v="Windsor,Ontario"/>
        <s v="ON - Brampton"/>
        <s v="Toronto-ONTARIO"/>
        <s v=" British Columbia - Victoria "/>
        <s v=" Mississauga ON "/>
        <s v="Fredericton (New Brunswic)"/>
        <s v="Halifax,NS"/>
        <s v=" Quebec City,Quebec "/>
        <s v="Hamilton, on"/>
        <s v=" Victoria (BRITISH COLUMBIA) "/>
        <s v=" Brandon  mb "/>
        <s v="Halifax-Nova Scotia"/>
        <s v="Sherbrooke-QC"/>
        <s v="Mississauga (Ontari)"/>
        <s v=" Ontario - Vaughan "/>
        <s v="Charlottetown-PE"/>
        <s v="Vaughan,Ontari"/>
        <s v="London / Ontari"/>
        <s v="Longueuil / Quebec"/>
        <s v=" QC - Quebec City "/>
        <s v="Edmonton / Albert"/>
        <s v=" Vancouver-British C0lumbi "/>
        <s v="qc - Longueuil"/>
        <s v="St. John's, NewfoundlandandLabrador"/>
        <s v="Moncton-NB"/>
        <s v="bc - Burnaby"/>
        <s v="Gatineau, QC"/>
        <s v="Montreal,Quebe"/>
        <s v="Regina,Saskatchewan"/>
        <s v="Ottawa (Ontari0)"/>
        <s v="Toronto,on"/>
        <s v="Hamilton  ON"/>
        <s v="Surrey BRITISH COLUMBIA"/>
        <s v="Fredericton / New Brunswic"/>
        <s v="Saskatoon SASKATCHEWAN"/>
        <s v="Kelowna-BRITISH COLUMBIA"/>
        <s v="Markham,Ontari"/>
        <s v="Vancouver  BritishColumbia"/>
        <s v="Kelowna BritishColumbia"/>
        <s v="Surrey (British Columbi)"/>
        <s v="ab - Edmonton"/>
        <s v="Red Deer (Alberta)"/>
        <s v="Alberta - Calgary"/>
        <s v="Mississauga-Ontari"/>
        <s v="Brampton,Ontario"/>
        <s v="Sherbrooke  Quebec"/>
        <s v="Kitchener-Ontario"/>
        <s v=" Vaughan Ontario "/>
        <s v="Toronto-Ontari"/>
        <s v="Brampton Ontari"/>
        <s v=" Windsor / Ontario "/>
        <s v="Qu3b3c - Laval"/>
        <s v="London, Ontario"/>
        <s v="New Brunswic - Saint John"/>
        <s v=" New Brunswick - Moncton "/>
        <s v="Montreal (QC)"/>
        <s v="Halifax (Nova Scoti)"/>
        <s v="Sherbrooke-Quebec"/>
        <s v="Richmond, BC"/>
        <s v="Brampton-on"/>
        <s v="Edmonton Albert"/>
        <s v="Red Deer / Albert"/>
        <s v="Laval, qc"/>
        <s v="St. John's,Newfoundland and Labrador"/>
        <s v="BRITISH COLUMBIA - Richmond"/>
        <s v=" Sydney NS "/>
        <s v="Victoria-British Columbi"/>
        <s v="Red Deer-Albert"/>
        <s v="ab - Red Deer"/>
        <s v=" Kitchener,ON "/>
        <s v="Winnipeg,MANITOBA"/>
        <s v="Longueuil, Quebe"/>
        <s v="Halifax NOVA SCOTIA"/>
        <s v="Brandon Manitoba"/>
        <s v=" ab - Lethbridge "/>
        <s v="Ottawa,ON"/>
        <s v="Saskatoon, Saskatch3wa"/>
        <s v="Edmonton, Alberta"/>
        <s v="QUEBEC - Quebec City"/>
        <s v="Quebec City (qc)"/>
        <s v="Quebec City / Quebe"/>
        <s v="Fredericton,NewBrunswick"/>
        <s v="Burnaby bc"/>
        <s v="Vancouver / British Columbia"/>
        <s v=" Markham,Ontario "/>
        <s v="Longueuil,QC"/>
        <s v="Longueuil (qc)"/>
        <s v="Montreal, QUEBEC"/>
        <s v="Quebe - Laval"/>
        <s v=" Quebec - Gatineau "/>
        <s v="on - Toronto"/>
        <s v="Gatineau,QUEBEC"/>
        <s v=" Lethbridge (Alberta) "/>
        <s v="Surrey  BRITISH COLUMBIA"/>
        <s v="London (ON)"/>
        <s v=" Ontario - London "/>
        <s v="Moncton New Brunswic"/>
        <s v=" Ottawa-Ontario "/>
        <s v=" Lethbridge,ab "/>
        <s v=" Victoria bc"/>
        <s v="Laval,Quebec"/>
        <s v="Hamilton-Ontari"/>
        <s v=" Kitchener ON "/>
        <s v="Richmond  BritishColumbia"/>
        <s v="Saskatoon, SK"/>
        <s v="Brampton / Ontario"/>
        <s v="Richmond-BritishColumbia"/>
        <s v="Ontari - Markham"/>
        <s v="Burnaby,British Columbi"/>
        <s v=" Richmond,BRITISH COLUMBIA "/>
        <s v="Markham, Ontari"/>
        <s v="Surrey British Columbi"/>
        <s v="Gatineau (Quebe)"/>
        <s v="QC - Quebec City"/>
        <s v="Longueuil  qc"/>
        <s v="Vancouver BRITISH COLUMBIA"/>
        <s v="Gatineau-QC"/>
        <s v=" Kelowna British Columbi"/>
        <s v="Surrey (BritishColumbia)"/>
        <s v="Regina,SK"/>
        <s v="Red Deer  ab"/>
        <s v=" Toronto / Ontario "/>
        <s v="Quebec City,QC"/>
        <s v="Burnaby (British Columbi)"/>
        <s v="Markham, on"/>
        <s v=" qc - Montreal "/>
        <s v="BritishColumbia - Burnaby"/>
        <s v="Vancouver, BC"/>
        <s v="London  ON"/>
        <s v="Markham on"/>
        <s v=" Sherbrooke, QC "/>
        <s v="Kitchener / ON"/>
        <s v="Burnaby (British Columbia)"/>
        <s v=" Longueuil  Quebe "/>
        <s v="Edmonton-ab"/>
        <s v="Vancouver, British Columbi"/>
        <s v="Burnaby  BC"/>
        <s v="Richmond-British Columbia"/>
        <s v="Brandon  Manitob"/>
        <s v=" Richmond BritishColumbia "/>
      </sharedItems>
    </cacheField>
    <cacheField name="Quantity" numFmtId="0">
      <sharedItems containsSemiMixedTypes="0" containsString="0" containsNumber="1" containsInteger="1" minValue="-5" maxValue="6"/>
    </cacheField>
    <cacheField name="Sales" numFmtId="0">
      <sharedItems containsBlank="1" containsMixedTypes="1" containsNumber="1" minValue="-59.71" maxValue="364.3" count="899">
        <n v="12.11"/>
        <s v="N/A"/>
        <s v="29,53"/>
        <n v="7.33"/>
        <s v="CAD 54.88"/>
        <s v="106,03"/>
        <n v="15.74"/>
        <s v="96,46"/>
        <n v="24.32"/>
        <n v="-50.65"/>
        <n v="23.1"/>
        <n v="46.39"/>
        <s v="CAD 16.21"/>
        <n v="8.39"/>
        <s v="8,28"/>
        <n v="18.440000000000001"/>
        <n v="16.02"/>
        <n v="54.5"/>
        <n v="-13.81"/>
        <n v="69.53"/>
        <n v="23.52"/>
        <n v="20.260000000000002"/>
        <n v="4.92"/>
        <n v="15.32"/>
        <s v="CAD 99.20"/>
        <s v=" 15.43 CAD "/>
        <n v="31.02"/>
        <n v="48.76"/>
        <n v="47.77"/>
        <s v=" 13.96 CAD "/>
        <n v="44.26"/>
        <n v="13.32"/>
        <s v="36,69"/>
        <n v="18.940000000000001"/>
        <n v="8"/>
        <n v="210.48"/>
        <n v="124.14"/>
        <s v="CAD 37.33"/>
        <n v="4.84"/>
        <n v="94.83"/>
        <n v="26.02"/>
        <n v="40.200000000000003"/>
        <n v="22.47"/>
        <s v="â€”"/>
        <n v="82.49"/>
        <n v="10.37"/>
        <n v="39.19"/>
        <m/>
        <n v="19.010000000000002"/>
        <n v="70.7"/>
        <n v="77.78"/>
        <n v="64.260000000000005"/>
        <s v="17,59"/>
        <n v="47.65"/>
        <s v="CAD 4.36"/>
        <n v="3.63"/>
        <s v="10,79"/>
        <s v="91,13"/>
        <s v=" 28.04 CAD "/>
        <n v="13.57"/>
        <s v="17,52"/>
        <n v="29.51"/>
        <n v="-4.59"/>
        <n v="12.04"/>
        <n v="30.48"/>
        <s v=" 35.83 CAD "/>
        <n v="28.11"/>
        <s v="CAD 12.10"/>
        <n v="4.2"/>
        <n v="19.670000000000002"/>
        <n v="95.21"/>
        <n v="11.52"/>
        <n v="272.41000000000003"/>
        <n v="40.869999999999997"/>
        <n v="26.84"/>
        <s v="6,28"/>
        <n v="41.58"/>
        <n v="22.25"/>
        <n v="14.01"/>
        <s v="CAD 147.91"/>
        <n v="50.66"/>
        <n v="60.83"/>
        <s v="CAD 29.34"/>
        <n v="107.08"/>
        <s v="90,98"/>
        <n v="25.04"/>
        <n v="26.81"/>
        <n v="29.9"/>
        <s v="79,79"/>
        <s v="114,80"/>
        <n v="57.77"/>
        <n v="78.27"/>
        <s v="CAD 15.61"/>
        <n v="32.159999999999997"/>
        <s v="CAD 11.22"/>
        <n v="75.47"/>
        <n v="26.89"/>
        <n v="21.78"/>
        <n v="24.11"/>
        <s v=" 21.22 CAD "/>
        <n v="35.729999999999997"/>
        <n v="19.72"/>
        <n v="25.82"/>
        <n v="13.13"/>
        <n v="16.55"/>
        <n v="24.02"/>
        <n v="39.89"/>
        <s v=" 25.44 CAD "/>
        <n v="13.88"/>
        <n v="52.53"/>
        <s v="31,64"/>
        <n v="34.19"/>
        <n v="30.43"/>
        <n v="72.209999999999994"/>
        <n v="56.12"/>
        <n v="4.4800000000000004"/>
        <n v="15.89"/>
        <n v="42.6"/>
        <n v="8.25"/>
        <n v="22.65"/>
        <n v="14.5"/>
        <s v="CAD 25.58"/>
        <n v="13.61"/>
        <n v="18.62"/>
        <n v="2.92"/>
        <n v="36.549999999999997"/>
        <n v="13.68"/>
        <n v="9.8000000000000007"/>
        <n v="17.059999999999999"/>
        <n v="99.43"/>
        <n v="33.659999999999997"/>
        <s v=" 14.16 CAD "/>
        <s v="CAD 8.47"/>
        <n v="64.98"/>
        <n v="62.83"/>
        <n v="37.159999999999997"/>
        <n v="105.45"/>
        <n v="6.35"/>
        <n v="19.079999999999998"/>
        <n v="102.93"/>
        <n v="35.18"/>
        <n v="11.16"/>
        <n v="58.47"/>
        <n v="13.58"/>
        <s v="CAD 10.09"/>
        <n v="13.55"/>
        <n v="10.14"/>
        <s v=" 332.85 CAD "/>
        <n v="45.36"/>
        <s v=" 18.81 CAD "/>
        <n v="15.14"/>
        <n v="120.81"/>
        <s v="9,14"/>
        <s v="CAD 53.52"/>
        <n v="18.96"/>
        <n v="23.59"/>
        <n v="14.22"/>
        <n v="11.59"/>
        <s v="CAD 92.74"/>
        <s v=" 11.07 CAD "/>
        <n v="11.27"/>
        <s v="34,31"/>
        <n v="9.32"/>
        <n v="29.15"/>
        <n v="34.590000000000003"/>
        <n v="10.86"/>
        <n v="30.39"/>
        <n v="21.57"/>
        <n v="15.18"/>
        <n v="27.77"/>
        <n v="9.1300000000000008"/>
        <n v="25.47"/>
        <n v="46.58"/>
        <n v="32.93"/>
        <s v="90,23"/>
        <n v="20.11"/>
        <n v="61.81"/>
        <n v="13.48"/>
        <s v="CAD 139.51"/>
        <n v="20.43"/>
        <n v="11.48"/>
        <n v="2.2200000000000002"/>
        <n v="19.809999999999999"/>
        <s v=" 10.91 CAD "/>
        <n v="28.19"/>
        <n v="13.44"/>
        <n v="15.3"/>
        <s v=" 30.68 CAD "/>
        <n v="16.23"/>
        <s v=" 8.98 CAD "/>
        <n v="44.47"/>
        <n v="10.5"/>
        <n v="15.26"/>
        <n v="58.12"/>
        <n v="22.63"/>
        <s v="CAD 51.30"/>
        <n v="21.87"/>
        <n v="109.58"/>
        <n v="14.9"/>
        <s v="11,52"/>
        <n v="52.23"/>
        <n v="18.12"/>
        <n v="16.64"/>
        <n v="57.34"/>
        <n v="17.739999999999998"/>
        <n v="104.84"/>
        <s v="133,74"/>
        <n v="7.62"/>
        <n v="23.7"/>
        <n v="54.64"/>
        <n v="17.28"/>
        <n v="36.65"/>
        <n v="19.29"/>
        <n v="186.48"/>
        <n v="11.78"/>
        <n v="32.99"/>
        <n v="37"/>
        <n v="40.4"/>
        <n v="17.18"/>
        <n v="50.59"/>
        <n v="10.55"/>
        <n v="94.09"/>
        <n v="12.84"/>
        <s v="16,75"/>
        <n v="70.75"/>
        <s v=" 92.73 CAD "/>
        <n v="31.71"/>
        <n v="77.239999999999995"/>
        <n v="8.6"/>
        <n v="14.64"/>
        <s v="CAD 9.65"/>
        <n v="20.99"/>
        <s v=" 20.09 CAD "/>
        <n v="10.63"/>
        <n v="14.69"/>
        <n v="41.13"/>
        <n v="21.2"/>
        <n v="42.48"/>
        <n v="63.93"/>
        <n v="5.09"/>
        <n v="25.83"/>
        <n v="15.51"/>
        <n v="9.84"/>
        <n v="85.47"/>
        <s v="CAD 62.57"/>
        <n v="25.71"/>
        <n v="8.94"/>
        <n v="26.59"/>
        <n v="28.4"/>
        <n v="-18.12"/>
        <n v="58.56"/>
        <n v="2.2999999999999998"/>
        <n v="5.35"/>
        <n v="7.7"/>
        <n v="93.45"/>
        <s v="CAD 53.69"/>
        <n v="30.08"/>
        <s v=" 4.98 CAD "/>
        <n v="22.87"/>
        <n v="26.24"/>
        <s v=" 5.53 CAD "/>
        <n v="17.14"/>
        <n v="25.72"/>
        <n v="134.85"/>
        <n v="17.57"/>
        <n v="58.21"/>
        <n v="95.03"/>
        <n v="20.62"/>
        <n v="74.48"/>
        <n v="63.83"/>
        <n v="-26.82"/>
        <n v="11.56"/>
        <n v="98.59"/>
        <n v="181.01"/>
        <s v="CAD 15.39"/>
        <n v="23.09"/>
        <n v="11.7"/>
        <n v="7.97"/>
        <s v="CAD 8.63"/>
        <s v="49,42"/>
        <n v="4.22"/>
        <n v="18.989999999999998"/>
        <s v="-11,63"/>
        <n v="26.37"/>
        <n v="41.88"/>
        <n v="18.55"/>
        <n v="108.94"/>
        <n v="33.97"/>
        <s v="CAD 24.92"/>
        <n v="35.24"/>
        <s v="CAD 79.10"/>
        <n v="81.92"/>
        <n v="41.51"/>
        <s v="CAD 96.38"/>
        <s v="CAD 35.24"/>
        <n v="7.46"/>
        <n v="21.84"/>
        <n v="16.25"/>
        <s v=" -27.43 CAD "/>
        <n v="15.63"/>
        <n v="33.51"/>
        <n v="31.06"/>
        <n v="44.49"/>
        <n v="46.77"/>
        <n v="35.159999999999997"/>
        <n v="5.88"/>
        <s v=" 25.37 CAD "/>
        <n v="35.64"/>
        <n v="28.77"/>
        <s v="39,91"/>
        <s v=" 37.61 CAD "/>
        <n v="30.71"/>
        <n v="29.99"/>
        <n v="83.98"/>
        <n v="15.7"/>
        <n v="2.52"/>
        <n v="156.93"/>
        <n v="6.11"/>
        <n v="17.63"/>
        <n v="34.11"/>
        <n v="6.83"/>
        <n v="57.62"/>
        <n v="25.8"/>
        <n v="27.36"/>
        <n v="29.37"/>
        <n v="27.07"/>
        <n v="5.51"/>
        <n v="12.99"/>
        <n v="-59.71"/>
        <n v="63.6"/>
        <s v="49,06"/>
        <n v="22.26"/>
        <s v="26,29"/>
        <s v="32,35"/>
        <n v="14.83"/>
        <s v="CAD 5.78"/>
        <s v="CAD 43.59"/>
        <n v="11.14"/>
        <n v="17.989999999999998"/>
        <n v="17.850000000000001"/>
        <n v="40.54"/>
        <s v="16,35"/>
        <s v="CAD 12.03"/>
        <n v="54.77"/>
        <n v="6.5"/>
        <n v="43.53"/>
        <n v="151.43"/>
        <n v="-17.34"/>
        <n v="12.38"/>
        <n v="62.15"/>
        <n v="-52.03"/>
        <n v="139.93"/>
        <n v="26.11"/>
        <n v="68.760000000000005"/>
        <n v="41.94"/>
        <n v="34.43"/>
        <s v=" 52.68 CAD "/>
        <n v="25.37"/>
        <n v="39.22"/>
        <n v="15.8"/>
        <n v="58.68"/>
        <n v="7.93"/>
        <n v="42.72"/>
        <n v="23.49"/>
        <n v="9.6199999999999992"/>
        <n v="24.6"/>
        <n v="20.329999999999998"/>
        <n v="-14.33"/>
        <s v="CAD 54.43"/>
        <n v="96.27"/>
        <n v="173.7"/>
        <n v="364.3"/>
        <s v="CAD 64.00"/>
        <n v="104.95"/>
        <n v="57.64"/>
        <n v="7.01"/>
        <n v="67.290000000000006"/>
        <n v="22.01"/>
        <n v="34.049999999999997"/>
        <n v="18.21"/>
        <s v=" 34.85 CAD "/>
        <s v="CAD 30.26"/>
        <n v="29.72"/>
        <s v="CAD 68.22"/>
        <n v="11.46"/>
        <s v="12,03"/>
        <s v="16,12"/>
        <n v="7.11"/>
        <s v="CAD 25.89"/>
        <n v="45.3"/>
        <n v="79.52"/>
        <n v="30.44"/>
        <n v="24.1"/>
        <s v="128,30"/>
        <n v="28.18"/>
        <n v="33.799999999999997"/>
        <n v="9.8699999999999992"/>
        <n v="72.12"/>
        <n v="91.84"/>
        <n v="10.87"/>
        <n v="63.49"/>
        <s v="CAD 18.67"/>
        <n v="48.14"/>
        <s v="CAD 26.44"/>
        <s v="CAD -62.40"/>
        <n v="8.1300000000000008"/>
        <n v="17.8"/>
        <n v="30.96"/>
        <n v="47.18"/>
        <n v="13.52"/>
        <n v="20.309999999999999"/>
        <s v="CAD 48.04"/>
        <n v="26.2"/>
        <s v=" 50.85 CAD "/>
        <n v="59.85"/>
        <n v="11.29"/>
        <n v="41.12"/>
        <n v="2.84"/>
        <n v="15.82"/>
        <n v="104.18"/>
        <n v="26.36"/>
        <n v="25.66"/>
        <n v="13.54"/>
        <n v="65.03"/>
        <n v="21.98"/>
        <n v="40.04"/>
        <n v="25.12"/>
        <n v="25.17"/>
        <n v="165.62"/>
        <s v="13,45"/>
        <n v="30.88"/>
        <n v="19.14"/>
        <n v="14.3"/>
        <s v="CAD 61.29"/>
        <s v="CAD 21.21"/>
        <n v="13.04"/>
        <n v="11.04"/>
        <n v="36.369999999999997"/>
        <n v="-6.07"/>
        <s v="CAD -8.28"/>
        <n v="3.52"/>
        <n v="50.27"/>
        <n v="57.7"/>
        <n v="38.03"/>
        <s v=" 19.93 CAD "/>
        <s v="CAD 28.40"/>
        <n v="13.11"/>
        <s v="15,10"/>
        <n v="16.28"/>
        <n v="19.87"/>
        <n v="57.01"/>
        <n v="42.24"/>
        <n v="19.52"/>
        <n v="11.02"/>
        <n v="55.51"/>
        <s v="CAD 78.28"/>
        <n v="59.73"/>
        <n v="27.58"/>
        <s v=" 24.37 CAD "/>
        <n v="12.05"/>
        <s v="CAD 34.16"/>
        <n v="28.35"/>
        <n v="32.14"/>
        <n v="33.81"/>
        <n v="3.94"/>
        <s v="20,42"/>
        <n v="9.42"/>
        <s v="CAD 10.32"/>
        <n v="27.91"/>
        <s v="CAD 12.93"/>
        <s v="CAD 13.94"/>
        <n v="30.32"/>
        <n v="25.75"/>
        <s v="CAD 29.24"/>
        <s v="CAD 48.98"/>
        <n v="23.72"/>
        <s v=" 85.17 CAD "/>
        <n v="176.41"/>
        <n v="34.770000000000003"/>
        <n v="75.66"/>
        <n v="46.62"/>
        <n v="26.96"/>
        <n v="28.96"/>
        <n v="19.21"/>
        <s v="80,74"/>
        <n v="36.74"/>
        <n v="16.84"/>
        <n v="60.25"/>
        <n v="58.97"/>
        <n v="-15.55"/>
        <n v="131.86000000000001"/>
        <n v="6.98"/>
        <n v="33.979999999999997"/>
        <n v="-15.81"/>
        <n v="55.82"/>
        <n v="20.059999999999999"/>
        <n v="28.89"/>
        <n v="66.86"/>
        <n v="148.38999999999999"/>
        <n v="-28.45"/>
        <s v="16,22"/>
        <n v="25.9"/>
        <n v="79"/>
        <n v="31.58"/>
        <n v="65.400000000000006"/>
        <s v="CAD 54.67"/>
        <n v="28.92"/>
        <n v="31.88"/>
        <s v="CAD 68.92"/>
        <n v="22.66"/>
        <s v="CAD 58.96"/>
        <s v="14,64"/>
        <s v=" 5.87 CAD "/>
        <n v="9.3699999999999992"/>
        <n v="48.05"/>
        <n v="10.77"/>
        <n v="9.58"/>
        <n v="43.41"/>
        <s v="7,88"/>
        <s v="49,99"/>
        <n v="11.55"/>
        <n v="107.58"/>
        <n v="189.93"/>
        <n v="37.08"/>
        <s v=" 35.82 CAD "/>
        <n v="20.41"/>
        <s v=" 84.77 CAD "/>
        <n v="52.85"/>
        <n v="36.01"/>
        <n v="50.61"/>
        <s v="CAD 35.05"/>
        <n v="20.66"/>
        <s v="CAD 4.63"/>
        <n v="54.46"/>
        <n v="7.45"/>
        <n v="36.979999999999997"/>
        <n v="27.2"/>
        <n v="37.86"/>
        <n v="16.93"/>
        <n v="76.349999999999994"/>
        <n v="30.2"/>
        <n v="3.43"/>
        <n v="28.37"/>
        <n v="64.88"/>
        <s v="CAD 46.70"/>
        <s v="CAD 11.41"/>
        <n v="23.29"/>
        <n v="82.22"/>
        <n v="131.96"/>
        <n v="40.729999999999997"/>
        <n v="17.37"/>
        <n v="47.98"/>
        <n v="27.43"/>
        <n v="12.23"/>
        <n v="-21.02"/>
        <n v="78.88"/>
        <n v="12.27"/>
        <s v="CAD 8.18"/>
        <n v="66.180000000000007"/>
        <n v="92.47"/>
        <n v="74.680000000000007"/>
        <s v=" 23.18 CAD "/>
        <s v="16,59"/>
        <s v=" 31.37 CAD "/>
        <s v="41,03"/>
        <s v=" 11.16 CAD "/>
        <s v="CAD 23.02"/>
        <n v="41.7"/>
        <n v="143.88"/>
        <n v="18.14"/>
        <n v="5.37"/>
        <s v=" 23.07 CAD "/>
        <n v="27.48"/>
        <n v="14.62"/>
        <n v="63.4"/>
        <n v="4.12"/>
        <n v="151.29"/>
        <n v="90.83"/>
        <n v="15.53"/>
        <n v="46.7"/>
        <n v="53.83"/>
        <n v="12.74"/>
        <n v="70.33"/>
        <n v="4.24"/>
        <n v="169.25"/>
        <n v="40.17"/>
        <s v=" 50.17 CAD "/>
        <s v="255,63"/>
        <n v="11.67"/>
        <n v="42.22"/>
        <n v="13.41"/>
        <n v="7.99"/>
        <s v="CAD 50.23"/>
        <s v="CAD 12.97"/>
        <n v="67.209999999999994"/>
        <n v="54.02"/>
        <n v="147.83000000000001"/>
        <n v="39.01"/>
        <n v="35.04"/>
        <s v="18,39"/>
        <n v="-12.38"/>
        <n v="16.71"/>
        <n v="11.69"/>
        <n v="3.55"/>
        <n v="16.54"/>
        <n v="10.3"/>
        <n v="60.45"/>
        <n v="61.9"/>
        <n v="-5.29"/>
        <n v="144.66"/>
        <s v="21,56"/>
        <n v="57.93"/>
        <n v="19.8"/>
        <n v="17.38"/>
        <n v="55.73"/>
        <n v="3.6"/>
        <n v="11.73"/>
        <n v="45.22"/>
        <n v="14.38"/>
        <s v=" 19.77 CAD "/>
        <n v="14.47"/>
        <s v="27,92"/>
        <s v="CAD 40.56"/>
        <n v="13.4"/>
        <n v="14.81"/>
        <n v="31.82"/>
        <n v="10.44"/>
        <n v="42.37"/>
        <n v="60.72"/>
        <n v="3.56"/>
        <n v="31.93"/>
        <n v="25.41"/>
        <s v="CAD -44.71"/>
        <n v="41.86"/>
        <n v="27.49"/>
        <n v="16.7"/>
        <n v="12.68"/>
        <n v="32.21"/>
        <n v="24.23"/>
        <n v="24.21"/>
        <n v="82.16"/>
        <n v="24.68"/>
        <s v="55,44"/>
        <n v="63.13"/>
        <n v="12.43"/>
        <n v="34.090000000000003"/>
        <n v="24.2"/>
        <s v="CAD 39.49"/>
        <n v="17.52"/>
        <n v="4.46"/>
        <n v="19.68"/>
        <s v="CAD 18.62"/>
        <n v="8.1999999999999993"/>
        <n v="12.78"/>
        <n v="31.72"/>
        <s v="21,39"/>
        <n v="-35.76"/>
        <n v="32.47"/>
        <n v="13.06"/>
        <s v="CAD 28.27"/>
        <n v="24.78"/>
        <n v="36.47"/>
        <n v="25.07"/>
        <n v="35.89"/>
        <n v="37.53"/>
        <n v="160.38"/>
        <n v="17.690000000000001"/>
        <n v="13.5"/>
        <n v="66.44"/>
        <n v="18.46"/>
        <n v="128.47999999999999"/>
        <n v="9.25"/>
        <n v="25.69"/>
        <n v="13.22"/>
        <n v="8.92"/>
        <n v="46.53"/>
        <s v=" 13.73 CAD "/>
        <s v="CAD 19.78"/>
        <n v="40.92"/>
        <n v="17.64"/>
        <s v=" 21.76 CAD "/>
        <n v="32.46"/>
        <n v="26.7"/>
        <n v="8.6199999999999992"/>
        <n v="20.05"/>
        <s v="CAD 89.93"/>
        <n v="45.69"/>
        <s v="19,30"/>
        <n v="19.100000000000001"/>
        <n v="36.57"/>
        <n v="37.630000000000003"/>
        <n v="11.77"/>
        <n v="14.57"/>
        <n v="28.3"/>
        <n v="38.4"/>
        <s v="32,90"/>
        <n v="27.4"/>
        <n v="-13.44"/>
        <n v="57.18"/>
        <n v="29.91"/>
        <n v="4.6900000000000004"/>
        <n v="41.8"/>
        <n v="17.23"/>
        <n v="24.64"/>
        <n v="26.5"/>
        <s v="CAD 8.51"/>
        <n v="20.65"/>
        <n v="23.53"/>
        <n v="36.99"/>
        <n v="19.91"/>
        <n v="12.49"/>
        <n v="3.89"/>
        <s v="CAD 42.86"/>
        <n v="49.91"/>
        <n v="47.13"/>
        <s v="CAD 13.39"/>
        <n v="31.89"/>
        <n v="9.0299999999999994"/>
        <s v="CAD 23.45"/>
        <n v="4.13"/>
        <n v="33.07"/>
        <n v="15.17"/>
        <n v="24.07"/>
        <n v="12.95"/>
        <n v="31.94"/>
        <n v="43.24"/>
        <s v="22,98"/>
        <n v="23.15"/>
        <s v="CAD 16.44"/>
        <n v="4.45"/>
        <s v="34,36"/>
        <s v="CAD 87.29"/>
        <n v="28.83"/>
        <n v="83.23"/>
        <s v="174,89"/>
        <n v="15.19"/>
        <s v="33,02"/>
        <n v="64.709999999999994"/>
        <s v="7,75"/>
        <n v="15.25"/>
        <n v="5.49"/>
        <n v="23.22"/>
        <n v="144.32"/>
        <s v="CAD 12.75"/>
        <n v="15.31"/>
        <n v="22.08"/>
        <n v="65.58"/>
        <s v="CAD 11.97"/>
        <n v="48.44"/>
        <n v="76.150000000000006"/>
        <n v="18.27"/>
        <n v="131.61000000000001"/>
        <n v="54.91"/>
        <n v="36.03"/>
        <n v="160.35"/>
        <n v="43.91"/>
        <n v="48.24"/>
        <n v="23.26"/>
        <n v="86.86"/>
        <n v="29.25"/>
        <n v="8.26"/>
        <n v="32.380000000000003"/>
        <n v="-46.32"/>
        <n v="33.03"/>
        <n v="8.4700000000000006"/>
        <s v="43,65"/>
        <n v="18.84"/>
        <n v="62.2"/>
        <n v="33.479999999999997"/>
        <n v="8.85"/>
        <n v="47.82"/>
        <s v="105,20"/>
        <s v="27,27"/>
        <s v="CAD 8.36"/>
        <s v="CAD 35.87"/>
        <s v=" 18.98 CAD "/>
        <n v="52.17"/>
        <n v="20.61"/>
        <n v="31.53"/>
        <n v="83.38"/>
        <n v="18.190000000000001"/>
        <n v="69"/>
        <n v="36.21"/>
        <n v="22.48"/>
        <n v="17.22"/>
        <n v="39.21"/>
        <n v="30.47"/>
        <n v="28.86"/>
        <n v="22.1"/>
        <n v="81.67"/>
        <n v="21.5"/>
        <s v="CAD 35.99"/>
        <n v="83.26"/>
        <s v="CAD 14.64"/>
        <n v="63.9"/>
        <s v=" 54.03 CAD "/>
        <n v="6.77"/>
        <n v="54.21"/>
        <n v="35.700000000000003"/>
        <n v="13.66"/>
        <n v="65.19"/>
        <n v="29.85"/>
        <n v="22.29"/>
        <n v="14.33"/>
        <n v="9.0399999999999991"/>
        <n v="7.16"/>
        <s v="CAD 61.55"/>
        <n v="29.21"/>
        <s v="CAD 48.85"/>
        <s v="CAD 53.81"/>
        <s v=" 31.85 CAD "/>
        <n v="37.81"/>
        <n v="35.590000000000003"/>
        <n v="42.53"/>
        <n v="19.96"/>
        <s v="CAD 48.48"/>
        <n v="67.02"/>
        <n v="32.68"/>
        <n v="16.79"/>
        <n v="7.61"/>
        <n v="12.33"/>
        <n v="206.42"/>
        <n v="16.920000000000002"/>
        <n v="33.68"/>
        <n v="21.08"/>
        <n v="17.11"/>
        <s v="CAD 5.59"/>
        <n v="27.97"/>
        <n v="152.54"/>
        <n v="10.68"/>
        <n v="34.01"/>
        <n v="17.239999999999998"/>
        <s v="CAD 18.96"/>
        <n v="21.65"/>
        <n v="67.97"/>
        <n v="19.3"/>
        <n v="16.18"/>
        <n v="49.26"/>
        <n v="71.5"/>
        <n v="17.489999999999998"/>
        <n v="47.74"/>
        <n v="19.5"/>
        <n v="17.7"/>
        <n v="-4.25"/>
        <n v="46.25"/>
        <n v="7.63"/>
        <n v="26.3"/>
        <s v="28,61"/>
        <n v="75.98"/>
        <n v="24.45"/>
        <s v="30,66"/>
        <n v="7.84"/>
        <n v="120.7"/>
        <s v="238,61"/>
        <n v="62.71"/>
        <n v="4.71"/>
        <n v="40.36"/>
        <n v="13.85"/>
        <s v="CAD 20.73"/>
        <n v="23.27"/>
        <n v="32.11"/>
        <n v="8.4499999999999993"/>
        <n v="17.420000000000002"/>
        <n v="57.95"/>
        <n v="44.99"/>
        <n v="27.98"/>
        <s v="CAD 20.76"/>
        <n v="7.85"/>
        <n v="55"/>
        <n v="15.2"/>
        <n v="7.3"/>
        <s v="CAD 121.27"/>
        <n v="20.72"/>
        <n v="41.34"/>
        <s v="39,38"/>
        <n v="22.58"/>
        <n v="4.67"/>
        <s v=" 23.42 CAD "/>
        <n v="24.43"/>
        <n v="73.16"/>
        <n v="12.87"/>
        <s v="30,24"/>
        <s v="CAD 14.65"/>
        <n v="-5.42"/>
        <n v="134.5"/>
        <s v="5,60"/>
        <n v="12.19"/>
        <n v="24.06"/>
        <n v="20.03"/>
        <s v="CAD 13.05"/>
        <n v="55.52"/>
        <n v="178.56"/>
        <n v="19.510000000000002"/>
        <n v="17.34"/>
        <n v="37.619999999999997"/>
        <s v="14,26"/>
        <n v="43.15"/>
        <n v="25.56"/>
        <n v="6.21"/>
      </sharedItems>
    </cacheField>
    <cacheField name="Profit" numFmtId="0">
      <sharedItems containsBlank="1" containsMixedTypes="1" containsNumber="1" minValue="-27.93" maxValue="154.34"/>
    </cacheField>
    <cacheField name="Channel" numFmtId="0">
      <sharedItems count="2">
        <s v="Online"/>
        <s v="Store"/>
      </sharedItems>
    </cacheField>
    <cacheField name="Date_CLEAN" numFmtId="14">
      <sharedItems containsSemiMixedTypes="0" containsNonDate="0" containsDate="1" containsString="0" minDate="2023-01-02T00:00:00" maxDate="2025-01-01T00:00:00" count="538">
        <d v="2024-11-22T00:00:00"/>
        <d v="2023-07-10T00:00:00"/>
        <d v="2024-05-20T00:00:00"/>
        <d v="2024-10-04T00:00:00"/>
        <d v="2023-06-14T00:00:00"/>
        <d v="2024-12-05T00:00:00"/>
        <d v="2023-08-06T00:00:00"/>
        <d v="2023-03-22T00:00:00"/>
        <d v="2024-06-10T00:00:00"/>
        <d v="2024-07-21T00:00:00"/>
        <d v="2023-01-11T00:00:00"/>
        <d v="2024-12-25T00:00:00"/>
        <d v="2023-07-02T00:00:00"/>
        <d v="2023-04-21T00:00:00"/>
        <d v="2023-11-18T00:00:00"/>
        <d v="2023-01-16T00:00:00"/>
        <d v="2024-03-08T00:00:00"/>
        <d v="2024-05-29T00:00:00"/>
        <d v="2023-04-27T00:00:00"/>
        <d v="2023-11-07T00:00:00"/>
        <d v="2024-05-09T00:00:00"/>
        <d v="2023-03-14T00:00:00"/>
        <d v="2024-06-09T00:00:00"/>
        <d v="2024-04-28T00:00:00"/>
        <d v="2024-07-03T00:00:00"/>
        <d v="2024-11-11T00:00:00"/>
        <d v="2023-07-04T00:00:00"/>
        <d v="2024-11-25T00:00:00"/>
        <d v="2024-05-12T00:00:00"/>
        <d v="2023-03-04T00:00:00"/>
        <d v="2023-09-16T00:00:00"/>
        <d v="2024-07-16T00:00:00"/>
        <d v="2023-07-03T00:00:00"/>
        <d v="2023-02-03T00:00:00"/>
        <d v="2023-12-25T00:00:00"/>
        <d v="2024-12-21T00:00:00"/>
        <d v="2023-11-05T00:00:00"/>
        <d v="2024-08-12T00:00:00"/>
        <d v="2024-07-02T00:00:00"/>
        <d v="2023-02-28T00:00:00"/>
        <d v="2023-01-29T00:00:00"/>
        <d v="2023-01-25T00:00:00"/>
        <d v="2024-06-08T00:00:00"/>
        <d v="2024-01-20T00:00:00"/>
        <d v="2023-03-25T00:00:00"/>
        <d v="2023-06-07T00:00:00"/>
        <d v="2024-07-24T00:00:00"/>
        <d v="2024-12-09T00:00:00"/>
        <d v="2023-01-24T00:00:00"/>
        <d v="2024-05-31T00:00:00"/>
        <d v="2024-06-01T00:00:00"/>
        <d v="2024-01-21T00:00:00"/>
        <d v="2024-05-06T00:00:00"/>
        <d v="2023-08-10T00:00:00"/>
        <d v="2023-12-08T00:00:00"/>
        <d v="2023-04-09T00:00:00"/>
        <d v="2024-10-01T00:00:00"/>
        <d v="2024-09-25T00:00:00"/>
        <d v="2023-05-15T00:00:00"/>
        <d v="2024-05-24T00:00:00"/>
        <d v="2024-03-30T00:00:00"/>
        <d v="2024-10-23T00:00:00"/>
        <d v="2024-02-11T00:00:00"/>
        <d v="2023-10-05T00:00:00"/>
        <d v="2023-11-26T00:00:00"/>
        <d v="2023-08-26T00:00:00"/>
        <d v="2024-08-06T00:00:00"/>
        <d v="2024-01-13T00:00:00"/>
        <d v="2023-12-28T00:00:00"/>
        <d v="2023-04-12T00:00:00"/>
        <d v="2023-06-02T00:00:00"/>
        <d v="2023-05-20T00:00:00"/>
        <d v="2023-05-31T00:00:00"/>
        <d v="2024-05-18T00:00:00"/>
        <d v="2023-01-26T00:00:00"/>
        <d v="2023-02-05T00:00:00"/>
        <d v="2024-12-13T00:00:00"/>
        <d v="2023-10-21T00:00:00"/>
        <d v="2023-03-23T00:00:00"/>
        <d v="2023-05-10T00:00:00"/>
        <d v="2023-02-06T00:00:00"/>
        <d v="2023-02-18T00:00:00"/>
        <d v="2023-12-03T00:00:00"/>
        <d v="2024-06-20T00:00:00"/>
        <d v="2023-11-04T00:00:00"/>
        <d v="2023-05-02T00:00:00"/>
        <d v="2023-10-24T00:00:00"/>
        <d v="2024-06-15T00:00:00"/>
        <d v="2023-12-09T00:00:00"/>
        <d v="2024-04-04T00:00:00"/>
        <d v="2023-05-26T00:00:00"/>
        <d v="2023-02-11T00:00:00"/>
        <d v="2024-06-25T00:00:00"/>
        <d v="2024-12-26T00:00:00"/>
        <d v="2023-03-30T00:00:00"/>
        <d v="2024-01-24T00:00:00"/>
        <d v="2024-10-28T00:00:00"/>
        <d v="2024-04-24T00:00:00"/>
        <d v="2023-08-25T00:00:00"/>
        <d v="2024-03-04T00:00:00"/>
        <d v="2024-10-24T00:00:00"/>
        <d v="2023-04-05T00:00:00"/>
        <d v="2024-10-10T00:00:00"/>
        <d v="2023-09-02T00:00:00"/>
        <d v="2024-07-05T00:00:00"/>
        <d v="2024-01-10T00:00:00"/>
        <d v="2023-04-17T00:00:00"/>
        <d v="2024-02-23T00:00:00"/>
        <d v="2024-12-15T00:00:00"/>
        <d v="2024-08-10T00:00:00"/>
        <d v="2023-06-24T00:00:00"/>
        <d v="2024-11-02T00:00:00"/>
        <d v="2023-12-19T00:00:00"/>
        <d v="2024-08-31T00:00:00"/>
        <d v="2024-08-30T00:00:00"/>
        <d v="2023-08-11T00:00:00"/>
        <d v="2024-05-07T00:00:00"/>
        <d v="2024-01-26T00:00:00"/>
        <d v="2024-01-14T00:00:00"/>
        <d v="2023-10-03T00:00:00"/>
        <d v="2023-10-13T00:00:00"/>
        <d v="2024-07-08T00:00:00"/>
        <d v="2024-12-18T00:00:00"/>
        <d v="2023-09-17T00:00:00"/>
        <d v="2023-04-08T00:00:00"/>
        <d v="2024-09-10T00:00:00"/>
        <d v="2024-11-30T00:00:00"/>
        <d v="2024-02-29T00:00:00"/>
        <d v="2024-10-09T00:00:00"/>
        <d v="2024-04-03T00:00:00"/>
        <d v="2024-04-21T00:00:00"/>
        <d v="2023-05-09T00:00:00"/>
        <d v="2024-08-01T00:00:00"/>
        <d v="2024-05-17T00:00:00"/>
        <d v="2023-02-08T00:00:00"/>
        <d v="2023-05-07T00:00:00"/>
        <d v="2023-09-29T00:00:00"/>
        <d v="2024-01-08T00:00:00"/>
        <d v="2023-01-31T00:00:00"/>
        <d v="2024-08-05T00:00:00"/>
        <d v="2023-06-10T00:00:00"/>
        <d v="2023-09-23T00:00:00"/>
        <d v="2023-01-28T00:00:00"/>
        <d v="2023-07-12T00:00:00"/>
        <d v="2024-11-13T00:00:00"/>
        <d v="2024-08-19T00:00:00"/>
        <d v="2023-03-21T00:00:00"/>
        <d v="2023-10-16T00:00:00"/>
        <d v="2024-12-23T00:00:00"/>
        <d v="2023-11-29T00:00:00"/>
        <d v="2023-02-25T00:00:00"/>
        <d v="2023-06-08T00:00:00"/>
        <d v="2024-04-10T00:00:00"/>
        <d v="2024-10-14T00:00:00"/>
        <d v="2024-12-07T00:00:00"/>
        <d v="2023-09-03T00:00:00"/>
        <d v="2023-10-19T00:00:00"/>
        <d v="2023-11-03T00:00:00"/>
        <d v="2024-02-19T00:00:00"/>
        <d v="2023-12-15T00:00:00"/>
        <d v="2023-07-21T00:00:00"/>
        <d v="2024-01-11T00:00:00"/>
        <d v="2023-03-27T00:00:00"/>
        <d v="2023-09-27T00:00:00"/>
        <d v="2023-12-07T00:00:00"/>
        <d v="2023-05-23T00:00:00"/>
        <d v="2023-09-21T00:00:00"/>
        <d v="2024-07-09T00:00:00"/>
        <d v="2024-08-14T00:00:00"/>
        <d v="2023-01-14T00:00:00"/>
        <d v="2023-09-13T00:00:00"/>
        <d v="2023-10-06T00:00:00"/>
        <d v="2024-09-09T00:00:00"/>
        <d v="2024-03-25T00:00:00"/>
        <d v="2024-05-13T00:00:00"/>
        <d v="2023-07-31T00:00:00"/>
        <d v="2023-08-18T00:00:00"/>
        <d v="2023-02-12T00:00:00"/>
        <d v="2024-05-14T00:00:00"/>
        <d v="2023-04-02T00:00:00"/>
        <d v="2024-06-07T00:00:00"/>
        <d v="2024-08-20T00:00:00"/>
        <d v="2023-03-24T00:00:00"/>
        <d v="2024-12-12T00:00:00"/>
        <d v="2024-06-05T00:00:00"/>
        <d v="2023-01-20T00:00:00"/>
        <d v="2024-02-08T00:00:00"/>
        <d v="2024-07-07T00:00:00"/>
        <d v="2023-07-13T00:00:00"/>
        <d v="2023-11-15T00:00:00"/>
        <d v="2023-11-12T00:00:00"/>
        <d v="2024-01-09T00:00:00"/>
        <d v="2024-04-18T00:00:00"/>
        <d v="2024-08-09T00:00:00"/>
        <d v="2024-10-13T00:00:00"/>
        <d v="2024-02-05T00:00:00"/>
        <d v="2024-05-02T00:00:00"/>
        <d v="2023-03-13T00:00:00"/>
        <d v="2023-12-06T00:00:00"/>
        <d v="2024-12-30T00:00:00"/>
        <d v="2024-07-04T00:00:00"/>
        <d v="2024-07-11T00:00:00"/>
        <d v="2023-10-20T00:00:00"/>
        <d v="2024-04-13T00:00:00"/>
        <d v="2023-09-01T00:00:00"/>
        <d v="2023-07-05T00:00:00"/>
        <d v="2024-10-02T00:00:00"/>
        <d v="2023-05-01T00:00:00"/>
        <d v="2023-01-02T00:00:00"/>
        <d v="2023-04-10T00:00:00"/>
        <d v="2023-10-14T00:00:00"/>
        <d v="2023-02-15T00:00:00"/>
        <d v="2023-08-05T00:00:00"/>
        <d v="2023-04-11T00:00:00"/>
        <d v="2024-01-05T00:00:00"/>
        <d v="2024-06-16T00:00:00"/>
        <d v="2024-12-24T00:00:00"/>
        <d v="2024-04-11T00:00:00"/>
        <d v="2023-11-30T00:00:00"/>
        <d v="2023-07-30T00:00:00"/>
        <d v="2024-02-20T00:00:00"/>
        <d v="2024-11-06T00:00:00"/>
        <d v="2023-04-15T00:00:00"/>
        <d v="2023-04-24T00:00:00"/>
        <d v="2024-01-31T00:00:00"/>
        <d v="2023-04-28T00:00:00"/>
        <d v="2023-09-22T00:00:00"/>
        <d v="2024-09-01T00:00:00"/>
        <d v="2024-10-27T00:00:00"/>
        <d v="2023-03-06T00:00:00"/>
        <d v="2023-08-12T00:00:00"/>
        <d v="2023-07-15T00:00:00"/>
        <d v="2023-05-30T00:00:00"/>
        <d v="2024-04-08T00:00:00"/>
        <d v="2023-03-26T00:00:00"/>
        <d v="2023-06-16T00:00:00"/>
        <d v="2023-02-26T00:00:00"/>
        <d v="2024-08-24T00:00:00"/>
        <d v="2024-03-01T00:00:00"/>
        <d v="2023-12-11T00:00:00"/>
        <d v="2024-02-10T00:00:00"/>
        <d v="2024-01-23T00:00:00"/>
        <d v="2023-09-09T00:00:00"/>
        <d v="2024-02-09T00:00:00"/>
        <d v="2024-11-10T00:00:00"/>
        <d v="2024-01-30T00:00:00"/>
        <d v="2023-01-21T00:00:00"/>
        <d v="2023-04-23T00:00:00"/>
        <d v="2024-07-06T00:00:00"/>
        <d v="2024-04-14T00:00:00"/>
        <d v="2023-10-15T00:00:00"/>
        <d v="2023-12-29T00:00:00"/>
        <d v="2024-08-27T00:00:00"/>
        <d v="2024-07-01T00:00:00"/>
        <d v="2024-05-01T00:00:00"/>
        <d v="2023-05-21T00:00:00"/>
        <d v="2024-04-30T00:00:00"/>
        <d v="2024-10-16T00:00:00"/>
        <d v="2023-09-19T00:00:00"/>
        <d v="2024-01-06T00:00:00"/>
        <d v="2023-04-13T00:00:00"/>
        <d v="2023-05-27T00:00:00"/>
        <d v="2023-06-09T00:00:00"/>
        <d v="2024-05-11T00:00:00"/>
        <d v="2024-10-15T00:00:00"/>
        <d v="2023-11-13T00:00:00"/>
        <d v="2023-10-08T00:00:00"/>
        <d v="2023-10-30T00:00:00"/>
        <d v="2023-06-13T00:00:00"/>
        <d v="2024-03-26T00:00:00"/>
        <d v="2024-12-10T00:00:00"/>
        <d v="2024-01-17T00:00:00"/>
        <d v="2023-04-22T00:00:00"/>
        <d v="2023-02-24T00:00:00"/>
        <d v="2024-12-17T00:00:00"/>
        <d v="2024-06-17T00:00:00"/>
        <d v="2023-03-02T00:00:00"/>
        <d v="2023-06-04T00:00:00"/>
        <d v="2024-03-20T00:00:00"/>
        <d v="2023-08-02T00:00:00"/>
        <d v="2023-07-01T00:00:00"/>
        <d v="2023-05-19T00:00:00"/>
        <d v="2023-08-01T00:00:00"/>
        <d v="2024-12-28T00:00:00"/>
        <d v="2023-07-27T00:00:00"/>
        <d v="2024-04-29T00:00:00"/>
        <d v="2023-08-14T00:00:00"/>
        <d v="2024-04-19T00:00:00"/>
        <d v="2023-06-15T00:00:00"/>
        <d v="2023-09-26T00:00:00"/>
        <d v="2023-07-07T00:00:00"/>
        <d v="2023-09-11T00:00:00"/>
        <d v="2023-06-20T00:00:00"/>
        <d v="2023-07-22T00:00:00"/>
        <d v="2023-10-28T00:00:00"/>
        <d v="2024-03-14T00:00:00"/>
        <d v="2023-03-12T00:00:00"/>
        <d v="2023-11-16T00:00:00"/>
        <d v="2023-06-01T00:00:00"/>
        <d v="2024-01-16T00:00:00"/>
        <d v="2024-05-19T00:00:00"/>
        <d v="2023-02-22T00:00:00"/>
        <d v="2024-05-23T00:00:00"/>
        <d v="2023-01-27T00:00:00"/>
        <d v="2023-11-27T00:00:00"/>
        <d v="2024-11-20T00:00:00"/>
        <d v="2023-04-20T00:00:00"/>
        <d v="2023-04-06T00:00:00"/>
        <d v="2024-03-10T00:00:00"/>
        <d v="2023-07-26T00:00:00"/>
        <d v="2024-01-28T00:00:00"/>
        <d v="2024-11-04T00:00:00"/>
        <d v="2023-01-08T00:00:00"/>
        <d v="2024-08-03T00:00:00"/>
        <d v="2023-07-16T00:00:00"/>
        <d v="2023-04-18T00:00:00"/>
        <d v="2023-12-27T00:00:00"/>
        <d v="2024-08-07T00:00:00"/>
        <d v="2023-10-29T00:00:00"/>
        <d v="2023-09-30T00:00:00"/>
        <d v="2023-06-29T00:00:00"/>
        <d v="2024-02-01T00:00:00"/>
        <d v="2023-06-12T00:00:00"/>
        <d v="2024-04-15T00:00:00"/>
        <d v="2023-01-23T00:00:00"/>
        <d v="2023-05-13T00:00:00"/>
        <d v="2023-03-05T00:00:00"/>
        <d v="2024-10-31T00:00:00"/>
        <d v="2024-01-02T00:00:00"/>
        <d v="2023-03-16T00:00:00"/>
        <d v="2024-08-28T00:00:00"/>
        <d v="2024-02-14T00:00:00"/>
        <d v="2024-06-03T00:00:00"/>
        <d v="2023-12-04T00:00:00"/>
        <d v="2023-02-23T00:00:00"/>
        <d v="2024-03-29T00:00:00"/>
        <d v="2024-11-23T00:00:00"/>
        <d v="2024-11-26T00:00:00"/>
        <d v="2023-12-02T00:00:00"/>
        <d v="2023-07-18T00:00:00"/>
        <d v="2024-03-28T00:00:00"/>
        <d v="2023-08-30T00:00:00"/>
        <d v="2024-07-20T00:00:00"/>
        <d v="2024-01-15T00:00:00"/>
        <d v="2024-01-01T00:00:00"/>
        <d v="2023-01-09T00:00:00"/>
        <d v="2024-04-22T00:00:00"/>
        <d v="2024-11-21T00:00:00"/>
        <d v="2023-11-09T00:00:00"/>
        <d v="2024-12-04T00:00:00"/>
        <d v="2024-12-14T00:00:00"/>
        <d v="2024-11-15T00:00:00"/>
        <d v="2024-08-25T00:00:00"/>
        <d v="2023-05-24T00:00:00"/>
        <d v="2023-01-12T00:00:00"/>
        <d v="2023-10-26T00:00:00"/>
        <d v="2023-06-11T00:00:00"/>
        <d v="2023-03-01T00:00:00"/>
        <d v="2023-11-08T00:00:00"/>
        <d v="2024-03-21T00:00:00"/>
        <d v="2024-04-27T00:00:00"/>
        <d v="2023-03-07T00:00:00"/>
        <d v="2024-09-17T00:00:00"/>
        <d v="2024-01-29T00:00:00"/>
        <d v="2023-08-09T00:00:00"/>
        <d v="2023-08-16T00:00:00"/>
        <d v="2023-08-08T00:00:00"/>
        <d v="2023-10-02T00:00:00"/>
        <d v="2024-05-28T00:00:00"/>
        <d v="2024-03-03T00:00:00"/>
        <d v="2023-01-30T00:00:00"/>
        <d v="2023-11-17T00:00:00"/>
        <d v="2023-01-07T00:00:00"/>
        <d v="2024-02-07T00:00:00"/>
        <d v="2024-07-13T00:00:00"/>
        <d v="2023-06-27T00:00:00"/>
        <d v="2024-11-17T00:00:00"/>
        <d v="2023-12-30T00:00:00"/>
        <d v="2023-07-20T00:00:00"/>
        <d v="2023-04-25T00:00:00"/>
        <d v="2024-03-12T00:00:00"/>
        <d v="2023-12-20T00:00:00"/>
        <d v="2024-08-08T00:00:00"/>
        <d v="2024-01-25T00:00:00"/>
        <d v="2024-10-22T00:00:00"/>
        <d v="2024-04-09T00:00:00"/>
        <d v="2023-04-04T00:00:00"/>
        <d v="2024-09-03T00:00:00"/>
        <d v="2023-12-12T00:00:00"/>
        <d v="2024-09-13T00:00:00"/>
        <d v="2023-11-24T00:00:00"/>
        <d v="2024-06-02T00:00:00"/>
        <d v="2024-07-27T00:00:00"/>
        <d v="2023-01-13T00:00:00"/>
        <d v="2024-05-27T00:00:00"/>
        <d v="2024-03-18T00:00:00"/>
        <d v="2024-08-26T00:00:00"/>
        <d v="2023-07-09T00:00:00"/>
        <d v="2024-02-06T00:00:00"/>
        <d v="2024-11-27T00:00:00"/>
        <d v="2023-12-01T00:00:00"/>
        <d v="2024-09-24T00:00:00"/>
        <d v="2024-12-31T00:00:00"/>
        <d v="2024-06-23T00:00:00"/>
        <d v="2023-12-16T00:00:00"/>
        <d v="2024-03-24T00:00:00"/>
        <d v="2023-02-02T00:00:00"/>
        <d v="2024-07-28T00:00:00"/>
        <d v="2023-01-05T00:00:00"/>
        <d v="2023-09-12T00:00:00"/>
        <d v="2024-10-26T00:00:00"/>
        <d v="2023-08-04T00:00:00"/>
        <d v="2023-11-10T00:00:00"/>
        <d v="2024-05-26T00:00:00"/>
        <d v="2023-01-10T00:00:00"/>
        <d v="2024-01-04T00:00:00"/>
        <d v="2024-07-10T00:00:00"/>
        <d v="2024-09-07T00:00:00"/>
        <d v="2023-11-14T00:00:00"/>
        <d v="2024-07-26T00:00:00"/>
        <d v="2024-06-30T00:00:00"/>
        <d v="2023-03-10T00:00:00"/>
        <d v="2023-05-28T00:00:00"/>
        <d v="2024-08-18T00:00:00"/>
        <d v="2023-01-17T00:00:00"/>
        <d v="2023-10-10T00:00:00"/>
        <d v="2023-12-05T00:00:00"/>
        <d v="2024-01-19T00:00:00"/>
        <d v="2024-11-24T00:00:00"/>
        <d v="2024-04-06T00:00:00"/>
        <d v="2024-06-28T00:00:00"/>
        <d v="2024-07-18T00:00:00"/>
        <d v="2024-03-17T00:00:00"/>
        <d v="2024-01-03T00:00:00"/>
        <d v="2024-09-19T00:00:00"/>
        <d v="2023-12-31T00:00:00"/>
        <d v="2023-10-18T00:00:00"/>
        <d v="2023-04-19T00:00:00"/>
        <d v="2024-05-21T00:00:00"/>
        <d v="2024-02-28T00:00:00"/>
        <d v="2024-08-23T00:00:00"/>
        <d v="2024-01-22T00:00:00"/>
        <d v="2024-05-22T00:00:00"/>
        <d v="2024-11-14T00:00:00"/>
        <d v="2023-01-06T00:00:00"/>
        <d v="2024-09-14T00:00:00"/>
        <d v="2024-10-18T00:00:00"/>
        <d v="2023-04-16T00:00:00"/>
        <d v="2023-03-31T00:00:00"/>
        <d v="2024-02-17T00:00:00"/>
        <d v="2024-05-16T00:00:00"/>
        <d v="2023-08-19T00:00:00"/>
        <d v="2023-10-12T00:00:00"/>
        <d v="2023-07-08T00:00:00"/>
        <d v="2023-12-26T00:00:00"/>
        <d v="2023-10-04T00:00:00"/>
        <d v="2023-06-30T00:00:00"/>
        <d v="2024-09-28T00:00:00"/>
        <d v="2023-07-25T00:00:00"/>
        <d v="2023-03-17T00:00:00"/>
        <d v="2023-07-06T00:00:00"/>
        <d v="2024-10-19T00:00:00"/>
        <d v="2023-02-14T00:00:00"/>
        <d v="2024-10-21T00:00:00"/>
        <d v="2024-10-12T00:00:00"/>
        <d v="2023-11-02T00:00:00"/>
        <d v="2024-06-12T00:00:00"/>
        <d v="2023-02-19T00:00:00"/>
        <d v="2024-04-12T00:00:00"/>
        <d v="2023-06-05T00:00:00"/>
        <d v="2024-02-22T00:00:00"/>
        <d v="2024-09-02T00:00:00"/>
        <d v="2024-07-14T00:00:00"/>
        <d v="2024-12-16T00:00:00"/>
        <d v="2023-09-24T00:00:00"/>
        <d v="2023-06-18T00:00:00"/>
        <d v="2023-05-16T00:00:00"/>
        <d v="2024-06-26T00:00:00"/>
        <d v="2024-04-23T00:00:00"/>
        <d v="2023-11-25T00:00:00"/>
        <d v="2024-09-23T00:00:00"/>
        <d v="2023-01-03T00:00:00"/>
        <d v="2023-03-28T00:00:00"/>
        <d v="2024-04-26T00:00:00"/>
        <d v="2024-12-08T00:00:00"/>
        <d v="2024-02-13T00:00:00"/>
        <d v="2024-09-20T00:00:00"/>
        <d v="2024-08-13T00:00:00"/>
        <d v="2023-02-27T00:00:00"/>
        <d v="2024-07-30T00:00:00"/>
        <d v="2024-09-16T00:00:00"/>
        <d v="2023-06-03T00:00:00"/>
        <d v="2023-09-10T00:00:00"/>
        <d v="2023-03-20T00:00:00"/>
        <d v="2023-07-14T00:00:00"/>
        <d v="2023-08-22T00:00:00"/>
        <d v="2024-09-06T00:00:00"/>
        <d v="2023-12-18T00:00:00"/>
        <d v="2024-07-17T00:00:00"/>
        <d v="2023-06-22T00:00:00"/>
        <d v="2023-08-13T00:00:00"/>
        <d v="2024-12-02T00:00:00"/>
        <d v="2023-11-06T00:00:00"/>
        <d v="2024-06-11T00:00:00"/>
        <d v="2023-07-28T00:00:00"/>
        <d v="2023-06-25T00:00:00"/>
        <d v="2023-09-15T00:00:00"/>
        <d v="2024-02-16T00:00:00"/>
        <d v="2023-09-18T00:00:00"/>
        <d v="2024-01-27T00:00:00"/>
        <d v="2023-09-20T00:00:00"/>
        <d v="2024-08-04T00:00:00"/>
        <d v="2023-11-23T00:00:00"/>
        <d v="2024-10-08T00:00:00"/>
        <d v="2024-06-27T00:00:00"/>
        <d v="2023-01-22T00:00:00"/>
        <d v="2023-12-21T00:00:00"/>
        <d v="2023-03-19T00:00:00"/>
        <d v="2023-09-08T00:00:00"/>
        <d v="2023-06-26T00:00:00"/>
        <d v="2023-05-17T00:00:00"/>
        <d v="2024-12-11T00:00:00"/>
        <d v="2023-04-14T00:00:00"/>
        <d v="2023-10-09T00:00:00"/>
        <d v="2024-11-03T00:00:00"/>
        <d v="2024-12-01T00:00:00"/>
        <d v="2023-07-19T00:00:00"/>
        <d v="2023-11-19T00:00:00"/>
        <d v="2023-05-11T00:00:00"/>
        <d v="2024-04-01T00:00:00"/>
        <d v="2024-08-29T00:00:00"/>
        <d v="2024-03-22T00:00:00"/>
        <d v="2023-12-24T00:00:00"/>
        <d v="2024-04-20T00:00:00"/>
        <d v="2024-05-30T00:00:00"/>
        <d v="2023-02-17T00:00:00"/>
        <d v="2024-06-24T00:00:00"/>
        <d v="2023-09-05T00:00:00"/>
      </sharedItems>
      <fieldGroup par="21"/>
    </cacheField>
    <cacheField name="Gender_CLEAN" numFmtId="0">
      <sharedItems count="4">
        <s v="Unknown"/>
        <s v="Female"/>
        <s v="Male"/>
        <s v="Prefer not to say"/>
      </sharedItems>
    </cacheField>
    <cacheField name="Age_CLEAN" numFmtId="1">
      <sharedItems containsString="0" containsBlank="1" containsNumber="1" containsInteger="1" minValue="13" maxValue="75" count="64">
        <n v="61"/>
        <m/>
        <n v="29"/>
        <n v="38"/>
        <n v="59"/>
        <n v="55"/>
        <n v="65"/>
        <n v="56"/>
        <n v="39"/>
        <n v="50"/>
        <n v="20"/>
        <n v="14"/>
        <n v="69"/>
        <n v="60"/>
        <n v="54"/>
        <n v="40"/>
        <n v="21"/>
        <n v="19"/>
        <n v="66"/>
        <n v="71"/>
        <n v="18"/>
        <n v="44"/>
        <n v="47"/>
        <n v="74"/>
        <n v="46"/>
        <n v="43"/>
        <n v="48"/>
        <n v="73"/>
        <n v="31"/>
        <n v="34"/>
        <n v="30"/>
        <n v="26"/>
        <n v="33"/>
        <n v="57"/>
        <n v="75"/>
        <n v="42"/>
        <n v="68"/>
        <n v="53"/>
        <n v="25"/>
        <n v="35"/>
        <n v="13"/>
        <n v="22"/>
        <n v="23"/>
        <n v="51"/>
        <n v="15"/>
        <n v="45"/>
        <n v="27"/>
        <n v="58"/>
        <n v="32"/>
        <n v="28"/>
        <n v="49"/>
        <n v="41"/>
        <n v="70"/>
        <n v="52"/>
        <n v="17"/>
        <n v="64"/>
        <n v="37"/>
        <n v="16"/>
        <n v="63"/>
        <n v="36"/>
        <n v="62"/>
        <n v="67"/>
        <n v="24"/>
        <n v="72"/>
      </sharedItems>
    </cacheField>
    <cacheField name="Age_GROUP" numFmtId="0">
      <sharedItems count="6">
        <s v="Older Adult (55-75)"/>
        <s v="Unknown"/>
        <s v="Adult (25-34)"/>
        <s v="Mid-Age (35-54)"/>
        <s v="Young Adult (18-24)"/>
        <s v="Teen (13-17)"/>
      </sharedItems>
    </cacheField>
    <cacheField name="Location2" numFmtId="0">
      <sharedItems/>
    </cacheField>
    <cacheField name="Province_CLEAN" numFmtId="0">
      <sharedItems count="10">
        <s v="AB"/>
        <s v="ON"/>
        <s v="QC"/>
        <s v="SK"/>
        <s v="BC"/>
        <s v="MB"/>
        <s v="NS"/>
        <s v="NL"/>
        <s v="NB"/>
        <s v="PE"/>
      </sharedItems>
    </cacheField>
    <cacheField name="Sales_CLEAN" numFmtId="2">
      <sharedItems containsString="0" containsBlank="1" containsNumber="1" minValue="-62.4" maxValue="364.3"/>
    </cacheField>
    <cacheField name="Profit_CLEAN" numFmtId="2">
      <sharedItems containsString="0" containsBlank="1" containsNumber="1" minValue="-27.93" maxValue="154.34"/>
    </cacheField>
    <cacheField name="Months (Date_CLEAN)" numFmtId="0" databaseField="0">
      <fieldGroup base="11">
        <rangePr groupBy="months" startDate="2023-01-02T00:00:00" endDate="2025-01-01T00:00:00"/>
        <groupItems count="14">
          <s v="&lt;2023-01-02"/>
          <s v="Jan"/>
          <s v="Feb"/>
          <s v="Mar"/>
          <s v="Apr"/>
          <s v="May"/>
          <s v="Jun"/>
          <s v="Jul"/>
          <s v="Aug"/>
          <s v="Sep"/>
          <s v="Oct"/>
          <s v="Nov"/>
          <s v="Dec"/>
          <s v="&gt;2025-01-01"/>
        </groupItems>
      </fieldGroup>
    </cacheField>
    <cacheField name="Quarters (Date_CLEAN)" numFmtId="0" databaseField="0">
      <fieldGroup base="11">
        <rangePr groupBy="quarters" startDate="2023-01-02T00:00:00" endDate="2025-01-01T00:00:00"/>
        <groupItems count="6">
          <s v="&lt;2023-01-02"/>
          <s v="Qtr1"/>
          <s v="Qtr2"/>
          <s v="Qtr3"/>
          <s v="Qtr4"/>
          <s v="&gt;2025-01-01"/>
        </groupItems>
      </fieldGroup>
    </cacheField>
    <cacheField name="Years (Date_CLEAN)" numFmtId="0" databaseField="0">
      <fieldGroup base="11">
        <rangePr groupBy="years" startDate="2023-01-02T00:00:00" endDate="2025-01-01T00:00:00"/>
        <groupItems count="5">
          <s v="&lt;2023-01-02"/>
          <s v="2023"/>
          <s v="2024"/>
          <s v="2025"/>
          <s v="&gt;2025-01-01"/>
        </groupItems>
      </fieldGroup>
    </cacheField>
  </cacheFields>
  <extLst>
    <ext xmlns:x14="http://schemas.microsoft.com/office/spreadsheetml/2009/9/main" uri="{725AE2AE-9491-48be-B2B4-4EB974FC3084}">
      <x14:pivotCacheDefinition pivotCacheId="1346695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N-2024-000522"/>
    <s v="CUST-0058"/>
    <x v="0"/>
    <x v="0"/>
    <m/>
    <x v="0"/>
    <x v="0"/>
    <n v="1"/>
    <x v="0"/>
    <s v="CAD 6.63"/>
    <x v="0"/>
    <x v="0"/>
    <x v="0"/>
    <x v="0"/>
    <x v="0"/>
    <s v="Lethbridge (AB)"/>
    <x v="0"/>
    <n v="12.11"/>
    <n v="6.63"/>
  </r>
  <r>
    <s v="TXN-2023-000738"/>
    <s v="CUST-0312"/>
    <x v="1"/>
    <x v="1"/>
    <s v="N/A"/>
    <x v="1"/>
    <x v="1"/>
    <n v="2"/>
    <x v="1"/>
    <n v="17.39"/>
    <x v="0"/>
    <x v="1"/>
    <x v="0"/>
    <x v="1"/>
    <x v="1"/>
    <s v="Vaughan  Ontario"/>
    <x v="1"/>
    <m/>
    <n v="17.39"/>
  </r>
  <r>
    <s v="TXN-2024-000741"/>
    <s v="CUST-0309"/>
    <x v="2"/>
    <x v="2"/>
    <s v="F"/>
    <x v="2"/>
    <x v="2"/>
    <n v="1"/>
    <x v="2"/>
    <n v="13.19"/>
    <x v="0"/>
    <x v="2"/>
    <x v="1"/>
    <x v="2"/>
    <x v="2"/>
    <s v="Toronto ON"/>
    <x v="1"/>
    <n v="29.53"/>
    <n v="13.19"/>
  </r>
  <r>
    <s v="TXN-2024-000661"/>
    <s v="CUST-0127"/>
    <x v="3"/>
    <x v="0"/>
    <s v="FEMALE"/>
    <x v="3"/>
    <x v="3"/>
    <n v="1"/>
    <x v="3"/>
    <s v="CAD 2.94"/>
    <x v="1"/>
    <x v="3"/>
    <x v="1"/>
    <x v="3"/>
    <x v="3"/>
    <s v="Kitchener Ontario"/>
    <x v="1"/>
    <n v="7.33"/>
    <n v="2.94"/>
  </r>
  <r>
    <s v="TXN-2023-000412"/>
    <s v="CUST-0005"/>
    <x v="4"/>
    <x v="0"/>
    <s v="male"/>
    <x v="4"/>
    <x v="4"/>
    <n v="2"/>
    <x v="4"/>
    <n v="20.71"/>
    <x v="0"/>
    <x v="4"/>
    <x v="2"/>
    <x v="4"/>
    <x v="0"/>
    <s v="Vaughan (Ontario)"/>
    <x v="1"/>
    <n v="54.88"/>
    <n v="20.71"/>
  </r>
  <r>
    <s v="TXN-2024-000679"/>
    <s v="CUST-0252"/>
    <x v="5"/>
    <x v="3"/>
    <m/>
    <x v="5"/>
    <x v="5"/>
    <n v="2"/>
    <x v="5"/>
    <s v="42,40"/>
    <x v="1"/>
    <x v="5"/>
    <x v="0"/>
    <x v="5"/>
    <x v="0"/>
    <s v="Calgary,Alberta"/>
    <x v="0"/>
    <n v="106.03"/>
    <n v="42.4"/>
  </r>
  <r>
    <s v="TXN-2023-000627"/>
    <s v="CUST-0235"/>
    <x v="6"/>
    <x v="3"/>
    <s v="FEMALE"/>
    <x v="6"/>
    <x v="6"/>
    <n v="2"/>
    <x v="6"/>
    <n v="7.12"/>
    <x v="1"/>
    <x v="6"/>
    <x v="1"/>
    <x v="6"/>
    <x v="0"/>
    <s v="Gatineau, Quebec"/>
    <x v="2"/>
    <n v="15.74"/>
    <n v="7.12"/>
  </r>
  <r>
    <s v="TXN-2023-000514"/>
    <s v="CUST-0253"/>
    <x v="7"/>
    <x v="2"/>
    <s v="M"/>
    <x v="7"/>
    <x v="7"/>
    <n v="4"/>
    <x v="7"/>
    <n v="24.26"/>
    <x v="1"/>
    <x v="7"/>
    <x v="2"/>
    <x v="7"/>
    <x v="0"/>
    <s v="Ottawa Ontari0"/>
    <x v="1"/>
    <n v="96.46"/>
    <n v="24.26"/>
  </r>
  <r>
    <s v="TXN-2024-000860"/>
    <s v="CUST-0095"/>
    <x v="8"/>
    <x v="0"/>
    <s v="male"/>
    <x v="8"/>
    <x v="8"/>
    <n v="1"/>
    <x v="8"/>
    <n v="8.65"/>
    <x v="0"/>
    <x v="8"/>
    <x v="2"/>
    <x v="8"/>
    <x v="3"/>
    <s v="Mississauga, Ontario"/>
    <x v="1"/>
    <n v="24.32"/>
    <n v="8.65"/>
  </r>
  <r>
    <s v="TXN-2024-000137"/>
    <s v="CUST-0248"/>
    <x v="9"/>
    <x v="0"/>
    <s v="U"/>
    <x v="9"/>
    <x v="9"/>
    <n v="-4"/>
    <x v="9"/>
    <n v="-16.77"/>
    <x v="1"/>
    <x v="9"/>
    <x v="0"/>
    <x v="9"/>
    <x v="3"/>
    <s v="Alberta - Edmonton"/>
    <x v="0"/>
    <n v="-50.65"/>
    <n v="-16.77"/>
  </r>
  <r>
    <s v="Txn-2023-000812"/>
    <s v="CUST-0305"/>
    <x v="10"/>
    <x v="1"/>
    <s v="M"/>
    <x v="10"/>
    <x v="10"/>
    <n v="1"/>
    <x v="10"/>
    <s v="11,04"/>
    <x v="1"/>
    <x v="10"/>
    <x v="2"/>
    <x v="10"/>
    <x v="4"/>
    <s v="Saskatoon-SK"/>
    <x v="3"/>
    <n v="23.1"/>
    <n v="11.04"/>
  </r>
  <r>
    <s v="TXN-2024-000077"/>
    <s v="CUST-0070"/>
    <x v="11"/>
    <x v="0"/>
    <s v="M"/>
    <x v="11"/>
    <x v="11"/>
    <n v="2"/>
    <x v="11"/>
    <s v="N/A"/>
    <x v="0"/>
    <x v="11"/>
    <x v="2"/>
    <x v="11"/>
    <x v="5"/>
    <s v="Vancouver,British Columbia"/>
    <x v="4"/>
    <n v="46.39"/>
    <m/>
  </r>
  <r>
    <s v="TXN-2023-000637"/>
    <s v="CUST-0102"/>
    <x v="12"/>
    <x v="2"/>
    <s v="FEMALE"/>
    <x v="12"/>
    <x v="12"/>
    <n v="1"/>
    <x v="12"/>
    <n v="8.67"/>
    <x v="1"/>
    <x v="12"/>
    <x v="1"/>
    <x v="12"/>
    <x v="0"/>
    <s v="Laval  Quebec"/>
    <x v="2"/>
    <n v="16.21"/>
    <n v="8.67"/>
  </r>
  <r>
    <s v="TXN-2023-000593"/>
    <s v="CUST-0211"/>
    <x v="13"/>
    <x v="3"/>
    <s v="FEMALE"/>
    <x v="13"/>
    <x v="13"/>
    <n v="1"/>
    <x v="13"/>
    <n v="2.65"/>
    <x v="1"/>
    <x v="13"/>
    <x v="1"/>
    <x v="13"/>
    <x v="0"/>
    <s v="Mississauga (Ontario)"/>
    <x v="1"/>
    <n v="8.39"/>
    <n v="2.65"/>
  </r>
  <r>
    <s v="TXN-2023-000939"/>
    <s v="CUST-0293"/>
    <x v="14"/>
    <x v="0"/>
    <s v="F"/>
    <x v="14"/>
    <x v="14"/>
    <n v="1"/>
    <x v="14"/>
    <n v="1.43"/>
    <x v="0"/>
    <x v="14"/>
    <x v="1"/>
    <x v="14"/>
    <x v="3"/>
    <s v="Laval  Quebe"/>
    <x v="2"/>
    <n v="8.2799999999999994"/>
    <n v="1.43"/>
  </r>
  <r>
    <s v="TXN-2023-000900"/>
    <s v="CUST-0086 "/>
    <x v="15"/>
    <x v="2"/>
    <s v="FEMALE"/>
    <x v="15"/>
    <x v="15"/>
    <n v="1"/>
    <x v="15"/>
    <n v="7.13"/>
    <x v="0"/>
    <x v="15"/>
    <x v="1"/>
    <x v="15"/>
    <x v="3"/>
    <s v="Ontario - Ottawa"/>
    <x v="1"/>
    <n v="18.440000000000001"/>
    <n v="7.13"/>
  </r>
  <r>
    <s v="TXN-2024-000281"/>
    <s v="CUST-0099"/>
    <x v="16"/>
    <x v="2"/>
    <s v="FEMALE"/>
    <x v="6"/>
    <x v="16"/>
    <n v="1"/>
    <x v="16"/>
    <n v="8.09"/>
    <x v="1"/>
    <x v="16"/>
    <x v="1"/>
    <x v="6"/>
    <x v="0"/>
    <s v="Laval,Quebe"/>
    <x v="2"/>
    <n v="16.02"/>
    <n v="8.09"/>
  </r>
  <r>
    <s v="TXN-2024-000884"/>
    <s v="CUST-0012"/>
    <x v="17"/>
    <x v="3"/>
    <s v="FEMALE"/>
    <x v="16"/>
    <x v="17"/>
    <n v="2"/>
    <x v="17"/>
    <n v="28.76"/>
    <x v="1"/>
    <x v="17"/>
    <x v="1"/>
    <x v="16"/>
    <x v="4"/>
    <s v="Laval Quebec"/>
    <x v="2"/>
    <n v="54.5"/>
    <n v="28.76"/>
  </r>
  <r>
    <s v="TXN-2023-000762"/>
    <s v="CUST-0051"/>
    <x v="18"/>
    <x v="3"/>
    <s v="F"/>
    <x v="17"/>
    <x v="18"/>
    <n v="-2"/>
    <x v="18"/>
    <s v="-19,81"/>
    <x v="1"/>
    <x v="18"/>
    <x v="1"/>
    <x v="17"/>
    <x v="4"/>
    <s v="London,ONTARIO"/>
    <x v="1"/>
    <n v="-13.81"/>
    <n v="-19.809999999999999"/>
  </r>
  <r>
    <s v="TXN-2023-000320"/>
    <s v="CUST-0211"/>
    <x v="19"/>
    <x v="2"/>
    <s v="FEMALE"/>
    <x v="18"/>
    <x v="19"/>
    <n v="3"/>
    <x v="19"/>
    <s v="CAD 29.48"/>
    <x v="1"/>
    <x v="19"/>
    <x v="1"/>
    <x v="18"/>
    <x v="0"/>
    <s v="Longueuil (Quebec)"/>
    <x v="2"/>
    <n v="69.53"/>
    <n v="29.48"/>
  </r>
  <r>
    <s v="Txn-2024-000550"/>
    <s v="CUST-0170"/>
    <x v="20"/>
    <x v="1"/>
    <s v="FEMALE"/>
    <x v="9"/>
    <x v="20"/>
    <n v="1"/>
    <x v="20"/>
    <n v="12.51"/>
    <x v="0"/>
    <x v="20"/>
    <x v="1"/>
    <x v="9"/>
    <x v="3"/>
    <s v="Red Deer-AB"/>
    <x v="0"/>
    <n v="23.52"/>
    <n v="12.51"/>
  </r>
  <r>
    <s v="TXN-2023-000175"/>
    <s v="CUST-0140"/>
    <x v="21"/>
    <x v="1"/>
    <s v="male"/>
    <x v="19"/>
    <x v="21"/>
    <n v="2"/>
    <x v="21"/>
    <n v="5.4"/>
    <x v="0"/>
    <x v="21"/>
    <x v="2"/>
    <x v="19"/>
    <x v="0"/>
    <s v="Kelowna  BRITISH COLUMBIA"/>
    <x v="4"/>
    <n v="20.260000000000002"/>
    <n v="5.4"/>
  </r>
  <r>
    <s v="TXN-2024-000372"/>
    <s v="CUST-0053"/>
    <x v="22"/>
    <x v="0"/>
    <s v="M"/>
    <x v="20"/>
    <x v="22"/>
    <n v="1"/>
    <x v="22"/>
    <n v="2.78"/>
    <x v="1"/>
    <x v="22"/>
    <x v="2"/>
    <x v="20"/>
    <x v="4"/>
    <s v="Winnipeg (MANITOBA)"/>
    <x v="5"/>
    <n v="4.92"/>
    <n v="2.78"/>
  </r>
  <r>
    <s v="TXN-2024-000528"/>
    <s v="CUST-0061"/>
    <x v="23"/>
    <x v="4"/>
    <s v="F"/>
    <x v="21"/>
    <x v="23"/>
    <n v="2"/>
    <x v="23"/>
    <n v="6.15"/>
    <x v="0"/>
    <x v="23"/>
    <x v="1"/>
    <x v="21"/>
    <x v="3"/>
    <s v="Markham,ON"/>
    <x v="1"/>
    <n v="15.32"/>
    <n v="6.15"/>
  </r>
  <r>
    <s v="Txn-2024-000211"/>
    <s v="CUST-0312"/>
    <x v="24"/>
    <x v="2"/>
    <s v="Prefer not to say"/>
    <x v="22"/>
    <x v="24"/>
    <n v="3"/>
    <x v="24"/>
    <n v="31.93"/>
    <x v="0"/>
    <x v="24"/>
    <x v="3"/>
    <x v="22"/>
    <x v="3"/>
    <s v="Halifax (ns)"/>
    <x v="6"/>
    <n v="99.2"/>
    <n v="31.93"/>
  </r>
  <r>
    <s v="TXN-2024-000236"/>
    <s v="CUST-0034 "/>
    <x v="25"/>
    <x v="1"/>
    <s v="male"/>
    <x v="23"/>
    <x v="25"/>
    <n v="1"/>
    <x v="25"/>
    <n v="7.69"/>
    <x v="0"/>
    <x v="25"/>
    <x v="2"/>
    <x v="23"/>
    <x v="0"/>
    <s v="Longueuil,Quebec"/>
    <x v="2"/>
    <n v="15.43"/>
    <n v="7.69"/>
  </r>
  <r>
    <s v="TXN-2023-000102"/>
    <s v="CUST-0061"/>
    <x v="26"/>
    <x v="3"/>
    <s v="male"/>
    <x v="21"/>
    <x v="26"/>
    <n v="1"/>
    <x v="26"/>
    <n v="11.15"/>
    <x v="0"/>
    <x v="26"/>
    <x v="2"/>
    <x v="21"/>
    <x v="3"/>
    <s v="Calgary,Albert"/>
    <x v="0"/>
    <n v="31.02"/>
    <n v="11.15"/>
  </r>
  <r>
    <s v="TXN-2024-000652"/>
    <s v="CUST-0203"/>
    <x v="27"/>
    <x v="0"/>
    <s v="FEMALE"/>
    <x v="24"/>
    <x v="27"/>
    <n v="3"/>
    <x v="27"/>
    <n v="27.2"/>
    <x v="1"/>
    <x v="27"/>
    <x v="1"/>
    <x v="24"/>
    <x v="3"/>
    <s v="Longueuil,Quebe"/>
    <x v="2"/>
    <n v="48.76"/>
    <n v="27.2"/>
  </r>
  <r>
    <s v="TXN-2024-000903"/>
    <s v="CUST-0287"/>
    <x v="28"/>
    <x v="3"/>
    <s v="male"/>
    <x v="25"/>
    <x v="28"/>
    <n v="4"/>
    <x v="28"/>
    <n v="29.42"/>
    <x v="1"/>
    <x v="28"/>
    <x v="2"/>
    <x v="25"/>
    <x v="3"/>
    <s v="Edmonton AB"/>
    <x v="0"/>
    <n v="47.77"/>
    <n v="29.42"/>
  </r>
  <r>
    <s v="TXN-2023-000948"/>
    <s v="CUST-0164"/>
    <x v="29"/>
    <x v="0"/>
    <s v="male"/>
    <x v="26"/>
    <x v="29"/>
    <n v="1"/>
    <x v="29"/>
    <n v="4.71"/>
    <x v="1"/>
    <x v="29"/>
    <x v="2"/>
    <x v="26"/>
    <x v="3"/>
    <s v="Richmond,British Columbi"/>
    <x v="4"/>
    <n v="13.96"/>
    <n v="4.71"/>
  </r>
  <r>
    <s v="TXN-2023-000347"/>
    <s v="CUST-0225"/>
    <x v="30"/>
    <x v="3"/>
    <s v="F"/>
    <x v="21"/>
    <x v="30"/>
    <n v="1"/>
    <x v="30"/>
    <n v="29.12"/>
    <x v="0"/>
    <x v="30"/>
    <x v="1"/>
    <x v="21"/>
    <x v="3"/>
    <s v="Sherbrooke,Quebe"/>
    <x v="2"/>
    <n v="44.26"/>
    <n v="29.12"/>
  </r>
  <r>
    <s v="TXN-2024-000140"/>
    <s v="CUST-0071"/>
    <x v="31"/>
    <x v="4"/>
    <s v="M"/>
    <x v="27"/>
    <x v="31"/>
    <n v="1"/>
    <x v="31"/>
    <n v="4.92"/>
    <x v="1"/>
    <x v="31"/>
    <x v="2"/>
    <x v="27"/>
    <x v="0"/>
    <s v="Windsor  Ontario"/>
    <x v="1"/>
    <n v="13.32"/>
    <n v="4.92"/>
  </r>
  <r>
    <s v="TXN-2023-000622"/>
    <s v="CUST-0136"/>
    <x v="32"/>
    <x v="3"/>
    <s v="N/A"/>
    <x v="28"/>
    <x v="32"/>
    <n v="1"/>
    <x v="32"/>
    <n v="20.079999999999998"/>
    <x v="1"/>
    <x v="32"/>
    <x v="0"/>
    <x v="28"/>
    <x v="2"/>
    <s v="Brampton / Ontari"/>
    <x v="1"/>
    <n v="36.69"/>
    <n v="20.079999999999998"/>
  </r>
  <r>
    <s v="TXN-2023-000500"/>
    <s v="CUST-0223"/>
    <x v="33"/>
    <x v="2"/>
    <s v="FEMALE"/>
    <x v="29"/>
    <x v="33"/>
    <n v="1"/>
    <x v="33"/>
    <n v="9.7799999999999994"/>
    <x v="0"/>
    <x v="33"/>
    <x v="1"/>
    <x v="29"/>
    <x v="2"/>
    <s v="Mississauga,ONTARIO"/>
    <x v="1"/>
    <n v="18.940000000000001"/>
    <n v="9.7799999999999994"/>
  </r>
  <r>
    <s v="TXN-2023-000371"/>
    <s v="CUST-0279 "/>
    <x v="34"/>
    <x v="4"/>
    <s v="F"/>
    <x v="11"/>
    <x v="34"/>
    <n v="1"/>
    <x v="34"/>
    <n v="2.86"/>
    <x v="0"/>
    <x v="34"/>
    <x v="1"/>
    <x v="11"/>
    <x v="5"/>
    <s v="St. John's  Newfoundland and Labrado"/>
    <x v="7"/>
    <n v="8"/>
    <n v="2.86"/>
  </r>
  <r>
    <s v="TXN-2024-000199"/>
    <s v="CUST-0110"/>
    <x v="35"/>
    <x v="3"/>
    <s v="male"/>
    <x v="30"/>
    <x v="35"/>
    <n v="3"/>
    <x v="35"/>
    <m/>
    <x v="0"/>
    <x v="35"/>
    <x v="2"/>
    <x v="30"/>
    <x v="2"/>
    <s v="Laval-qc"/>
    <x v="2"/>
    <n v="210.48"/>
    <m/>
  </r>
  <r>
    <s v="TXN-2023-000688"/>
    <s v="CUST-0155"/>
    <x v="36"/>
    <x v="3"/>
    <s v="FEMALE"/>
    <x v="3"/>
    <x v="36"/>
    <n v="3"/>
    <x v="36"/>
    <n v="47.04"/>
    <x v="1"/>
    <x v="36"/>
    <x v="1"/>
    <x v="3"/>
    <x v="3"/>
    <s v="on - Vaughan"/>
    <x v="1"/>
    <n v="124.14"/>
    <n v="47.04"/>
  </r>
  <r>
    <s v="TXN-2024-000585"/>
    <s v="CUST-0193"/>
    <x v="37"/>
    <x v="4"/>
    <s v="FEMALE"/>
    <x v="31"/>
    <x v="37"/>
    <n v="2"/>
    <x v="37"/>
    <n v="8.86"/>
    <x v="1"/>
    <x v="37"/>
    <x v="1"/>
    <x v="31"/>
    <x v="2"/>
    <s v="Quebec - Longueuil"/>
    <x v="2"/>
    <n v="37.33"/>
    <n v="8.86"/>
  </r>
  <r>
    <s v="TXN-2024-000902"/>
    <s v="CUST-0211"/>
    <x v="38"/>
    <x v="0"/>
    <s v="F"/>
    <x v="32"/>
    <x v="38"/>
    <n v="1"/>
    <x v="38"/>
    <n v="2.2000000000000002"/>
    <x v="0"/>
    <x v="38"/>
    <x v="1"/>
    <x v="32"/>
    <x v="2"/>
    <s v="London-on"/>
    <x v="1"/>
    <n v="4.84"/>
    <n v="2.2000000000000002"/>
  </r>
  <r>
    <s v="TXN-2024-000060"/>
    <s v="CUST-0316"/>
    <x v="39"/>
    <x v="3"/>
    <s v="FEMALE"/>
    <x v="21"/>
    <x v="39"/>
    <n v="2"/>
    <x v="39"/>
    <n v="46.75"/>
    <x v="0"/>
    <x v="39"/>
    <x v="1"/>
    <x v="21"/>
    <x v="3"/>
    <s v="Sherbrooke, Quebec"/>
    <x v="2"/>
    <n v="94.83"/>
    <n v="46.75"/>
  </r>
  <r>
    <s v="TXN-2023-000329"/>
    <s v="CUST-0124"/>
    <x v="40"/>
    <x v="2"/>
    <s v="male"/>
    <x v="33"/>
    <x v="40"/>
    <n v="2"/>
    <x v="40"/>
    <n v="7.22"/>
    <x v="0"/>
    <x v="40"/>
    <x v="2"/>
    <x v="33"/>
    <x v="0"/>
    <s v="Surrey-BRITISH COLUMBIA"/>
    <x v="4"/>
    <n v="26.02"/>
    <n v="7.22"/>
  </r>
  <r>
    <s v="TXN-2023-000097"/>
    <s v="CUST-0152"/>
    <x v="41"/>
    <x v="3"/>
    <s v="N/A"/>
    <x v="34"/>
    <x v="41"/>
    <n v="1"/>
    <x v="41"/>
    <n v="17.03"/>
    <x v="1"/>
    <x v="41"/>
    <x v="0"/>
    <x v="34"/>
    <x v="0"/>
    <s v="Vancouver, British Columbia"/>
    <x v="4"/>
    <n v="40.200000000000003"/>
    <n v="17.03"/>
  </r>
  <r>
    <s v="TXN-2024-000313"/>
    <s v="CUST-0161"/>
    <x v="42"/>
    <x v="4"/>
    <s v="male"/>
    <x v="35"/>
    <x v="42"/>
    <n v="1"/>
    <x v="42"/>
    <s v=" 10.57 CAD "/>
    <x v="0"/>
    <x v="42"/>
    <x v="2"/>
    <x v="10"/>
    <x v="4"/>
    <s v="Saskatoon-Saskatch3wan"/>
    <x v="3"/>
    <n v="22.47"/>
    <n v="10.57"/>
  </r>
  <r>
    <s v="TXN-2024-000413"/>
    <s v="CUST-0125"/>
    <x v="43"/>
    <x v="2"/>
    <s v="male"/>
    <x v="36"/>
    <x v="43"/>
    <n v="1"/>
    <x v="43"/>
    <n v="6.7"/>
    <x v="0"/>
    <x v="43"/>
    <x v="2"/>
    <x v="35"/>
    <x v="3"/>
    <s v="Kelowna / British Columbi"/>
    <x v="4"/>
    <m/>
    <n v="6.7"/>
  </r>
  <r>
    <s v="TXN-2023-000300"/>
    <s v="CUST-0229"/>
    <x v="44"/>
    <x v="1"/>
    <s v="M"/>
    <x v="17"/>
    <x v="44"/>
    <n v="5"/>
    <x v="44"/>
    <s v="CAD 19.50"/>
    <x v="1"/>
    <x v="44"/>
    <x v="2"/>
    <x v="17"/>
    <x v="4"/>
    <s v="Windsor  ONTARIO"/>
    <x v="1"/>
    <n v="82.49"/>
    <n v="19.5"/>
  </r>
  <r>
    <s v="TXN-2023-000278"/>
    <s v="CUST-0309"/>
    <x v="45"/>
    <x v="2"/>
    <s v="male"/>
    <x v="9"/>
    <x v="45"/>
    <n v="1"/>
    <x v="45"/>
    <n v="5.19"/>
    <x v="1"/>
    <x v="45"/>
    <x v="2"/>
    <x v="9"/>
    <x v="3"/>
    <s v="Red Deer  Alberta"/>
    <x v="0"/>
    <n v="10.37"/>
    <n v="5.19"/>
  </r>
  <r>
    <s v="TXN-2024-000925"/>
    <s v="CUST-0028"/>
    <x v="46"/>
    <x v="1"/>
    <s v="F"/>
    <x v="37"/>
    <x v="46"/>
    <n v="2"/>
    <x v="46"/>
    <s v=" 11.50 CAD "/>
    <x v="1"/>
    <x v="46"/>
    <x v="1"/>
    <x v="36"/>
    <x v="0"/>
    <s v="Montreal,qc"/>
    <x v="2"/>
    <n v="39.19"/>
    <n v="11.5"/>
  </r>
  <r>
    <s v="TXN-2024-000602"/>
    <s v="CUST-0217"/>
    <x v="47"/>
    <x v="2"/>
    <s v="male"/>
    <x v="29"/>
    <x v="47"/>
    <n v="3"/>
    <x v="47"/>
    <n v="49.38"/>
    <x v="0"/>
    <x v="47"/>
    <x v="2"/>
    <x v="29"/>
    <x v="2"/>
    <s v="Burnaby,British Columbia"/>
    <x v="4"/>
    <m/>
    <n v="49.38"/>
  </r>
  <r>
    <s v="TXN-2023-000440"/>
    <s v="CUST-0291"/>
    <x v="48"/>
    <x v="4"/>
    <s v="FEMALE"/>
    <x v="38"/>
    <x v="48"/>
    <n v="1"/>
    <x v="48"/>
    <n v="4.43"/>
    <x v="1"/>
    <x v="48"/>
    <x v="1"/>
    <x v="37"/>
    <x v="3"/>
    <s v="Sherbrooke  Quebe"/>
    <x v="2"/>
    <n v="19.010000000000002"/>
    <n v="4.43"/>
  </r>
  <r>
    <s v="TXN-2024-000838"/>
    <s v="CUST-0106"/>
    <x v="49"/>
    <x v="3"/>
    <s v="male"/>
    <x v="28"/>
    <x v="49"/>
    <n v="2"/>
    <x v="49"/>
    <n v="35.200000000000003"/>
    <x v="1"/>
    <x v="49"/>
    <x v="2"/>
    <x v="28"/>
    <x v="2"/>
    <s v="Sherbrooke  Quebec"/>
    <x v="2"/>
    <n v="70.7"/>
    <n v="35.200000000000003"/>
  </r>
  <r>
    <s v="TXN-2024-000571"/>
    <s v="CUST-0170"/>
    <x v="50"/>
    <x v="0"/>
    <s v="male"/>
    <x v="31"/>
    <x v="50"/>
    <n v="6"/>
    <x v="50"/>
    <n v="21.86"/>
    <x v="0"/>
    <x v="50"/>
    <x v="2"/>
    <x v="31"/>
    <x v="2"/>
    <s v="Windsor (ON)"/>
    <x v="1"/>
    <n v="77.78"/>
    <n v="21.86"/>
  </r>
  <r>
    <s v="TXN-2024-000880"/>
    <s v="CUST-0260"/>
    <x v="51"/>
    <x v="2"/>
    <s v="Prefer not to say"/>
    <x v="39"/>
    <x v="51"/>
    <n v="2"/>
    <x v="51"/>
    <n v="22.9"/>
    <x v="0"/>
    <x v="51"/>
    <x v="3"/>
    <x v="38"/>
    <x v="2"/>
    <s v="Vancouver (BRITISH COLUMBIA)"/>
    <x v="4"/>
    <n v="64.260000000000005"/>
    <n v="22.9"/>
  </r>
  <r>
    <s v="TXN-2024-000262"/>
    <s v="CUST-0297"/>
    <x v="52"/>
    <x v="4"/>
    <s v="F"/>
    <x v="14"/>
    <x v="52"/>
    <n v="3"/>
    <x v="52"/>
    <s v="CAD 8.19"/>
    <x v="1"/>
    <x v="52"/>
    <x v="1"/>
    <x v="14"/>
    <x v="3"/>
    <s v="Brandon  Manitoba"/>
    <x v="5"/>
    <n v="17.59"/>
    <n v="8.19"/>
  </r>
  <r>
    <s v="TXN-2023-000579"/>
    <s v="CUST-0149"/>
    <x v="53"/>
    <x v="2"/>
    <s v="F"/>
    <x v="38"/>
    <x v="53"/>
    <n v="2"/>
    <x v="53"/>
    <n v="10.86"/>
    <x v="1"/>
    <x v="53"/>
    <x v="1"/>
    <x v="37"/>
    <x v="3"/>
    <s v="SASKATCHEWAN - Saskatoon"/>
    <x v="3"/>
    <n v="47.65"/>
    <n v="10.86"/>
  </r>
  <r>
    <s v="TXN-2023-000024"/>
    <s v="Cust-0225"/>
    <x v="54"/>
    <x v="4"/>
    <s v="male"/>
    <x v="32"/>
    <x v="54"/>
    <n v="1"/>
    <x v="54"/>
    <n v="1.78"/>
    <x v="0"/>
    <x v="54"/>
    <x v="2"/>
    <x v="32"/>
    <x v="2"/>
    <s v="Kitchener on"/>
    <x v="1"/>
    <n v="4.3600000000000003"/>
    <n v="1.78"/>
  </r>
  <r>
    <s v="TXN-2023-000031"/>
    <s v="CUST-0237"/>
    <x v="55"/>
    <x v="4"/>
    <s v="FEMALE"/>
    <x v="16"/>
    <x v="55"/>
    <n v="1"/>
    <x v="55"/>
    <n v="2.2200000000000002"/>
    <x v="1"/>
    <x v="55"/>
    <x v="1"/>
    <x v="16"/>
    <x v="4"/>
    <s v="Mississauga Ontari"/>
    <x v="1"/>
    <n v="3.63"/>
    <n v="2.2200000000000002"/>
  </r>
  <r>
    <s v="TXN-2024-000618"/>
    <s v="CUST-0247 "/>
    <x v="3"/>
    <x v="1"/>
    <s v="F"/>
    <x v="40"/>
    <x v="56"/>
    <n v="2"/>
    <x v="56"/>
    <s v="3,82"/>
    <x v="1"/>
    <x v="3"/>
    <x v="1"/>
    <x v="39"/>
    <x v="3"/>
    <s v="Victoria / BRITISH COLUMBIA"/>
    <x v="4"/>
    <n v="10.79"/>
    <n v="3.82"/>
  </r>
  <r>
    <s v="TXN-2024-000011"/>
    <s v="CUST-0113"/>
    <x v="56"/>
    <x v="2"/>
    <s v="male"/>
    <x v="41"/>
    <x v="57"/>
    <n v="3"/>
    <x v="57"/>
    <n v="44.45"/>
    <x v="0"/>
    <x v="56"/>
    <x v="2"/>
    <x v="40"/>
    <x v="5"/>
    <s v="Sherbrooke, Quebe"/>
    <x v="2"/>
    <n v="91.13"/>
    <n v="44.45"/>
  </r>
  <r>
    <s v="TXN-2024-000222"/>
    <s v="CUST-0226"/>
    <x v="57"/>
    <x v="0"/>
    <s v="N/A"/>
    <x v="14"/>
    <x v="58"/>
    <n v="1"/>
    <x v="58"/>
    <n v="11.84"/>
    <x v="0"/>
    <x v="57"/>
    <x v="0"/>
    <x v="14"/>
    <x v="3"/>
    <s v="Kitchener  ONTARIO"/>
    <x v="1"/>
    <n v="28.04"/>
    <n v="11.84"/>
  </r>
  <r>
    <s v="TXN-2023-000821"/>
    <s v="CUST-0207"/>
    <x v="58"/>
    <x v="0"/>
    <s v="male"/>
    <x v="42"/>
    <x v="23"/>
    <n v="1"/>
    <x v="59"/>
    <n v="2.75"/>
    <x v="1"/>
    <x v="58"/>
    <x v="2"/>
    <x v="41"/>
    <x v="4"/>
    <s v="Markham,ON"/>
    <x v="1"/>
    <n v="13.57"/>
    <n v="2.75"/>
  </r>
  <r>
    <s v="TXN-2024-000297"/>
    <s v="CUST-0153 "/>
    <x v="59"/>
    <x v="1"/>
    <s v="male"/>
    <x v="3"/>
    <x v="59"/>
    <n v="1"/>
    <x v="60"/>
    <n v="4.68"/>
    <x v="0"/>
    <x v="59"/>
    <x v="2"/>
    <x v="3"/>
    <x v="3"/>
    <s v="Toronto,Ontario"/>
    <x v="1"/>
    <n v="17.52"/>
    <n v="4.68"/>
  </r>
  <r>
    <s v="TXN-2024-000055"/>
    <s v="CUST-0020"/>
    <x v="60"/>
    <x v="4"/>
    <s v="FEMALE"/>
    <x v="43"/>
    <x v="37"/>
    <n v="3"/>
    <x v="61"/>
    <n v="16.690000000000001"/>
    <x v="1"/>
    <x v="60"/>
    <x v="1"/>
    <x v="42"/>
    <x v="4"/>
    <s v="Quebec - Longueuil"/>
    <x v="2"/>
    <n v="29.51"/>
    <n v="16.690000000000001"/>
  </r>
  <r>
    <s v="TXN-2024-000543"/>
    <s v="CUST-0083"/>
    <x v="61"/>
    <x v="4"/>
    <s v="male"/>
    <x v="20"/>
    <x v="60"/>
    <n v="-1"/>
    <x v="62"/>
    <n v="-1.1599999999999999"/>
    <x v="0"/>
    <x v="61"/>
    <x v="2"/>
    <x v="20"/>
    <x v="4"/>
    <s v="Surrey, bc"/>
    <x v="4"/>
    <n v="-4.59"/>
    <n v="-1.1599999999999999"/>
  </r>
  <r>
    <s v="TXN-2024-000210"/>
    <s v="CUST-0230"/>
    <x v="62"/>
    <x v="0"/>
    <s v="F"/>
    <x v="44"/>
    <x v="61"/>
    <n v="1"/>
    <x v="63"/>
    <n v="6.94"/>
    <x v="1"/>
    <x v="62"/>
    <x v="1"/>
    <x v="43"/>
    <x v="3"/>
    <s v="Saskatoon / Saskatchewan"/>
    <x v="3"/>
    <n v="12.04"/>
    <n v="6.94"/>
  </r>
  <r>
    <s v="TXN-2023-000605"/>
    <s v="CUST-0118"/>
    <x v="54"/>
    <x v="1"/>
    <s v="FEMALE"/>
    <x v="45"/>
    <x v="62"/>
    <n v="1"/>
    <x v="64"/>
    <n v="11.06"/>
    <x v="0"/>
    <x v="54"/>
    <x v="1"/>
    <x v="44"/>
    <x v="5"/>
    <s v="Sherbrooke / QC"/>
    <x v="2"/>
    <n v="30.48"/>
    <n v="11.06"/>
  </r>
  <r>
    <s v="TXN-2023-000693"/>
    <s v="CUST-0196 "/>
    <x v="63"/>
    <x v="2"/>
    <s v="male"/>
    <x v="29"/>
    <x v="59"/>
    <n v="2"/>
    <x v="65"/>
    <n v="13.29"/>
    <x v="1"/>
    <x v="63"/>
    <x v="2"/>
    <x v="29"/>
    <x v="2"/>
    <s v="Toronto,Ontario"/>
    <x v="1"/>
    <n v="35.83"/>
    <n v="13.29"/>
  </r>
  <r>
    <s v="TXN-2023-000663"/>
    <s v="CUST-0267"/>
    <x v="64"/>
    <x v="2"/>
    <s v="FEMALE"/>
    <x v="24"/>
    <x v="63"/>
    <n v="1"/>
    <x v="66"/>
    <n v="7.1"/>
    <x v="1"/>
    <x v="64"/>
    <x v="1"/>
    <x v="24"/>
    <x v="3"/>
    <s v="Toronto (Ontario)"/>
    <x v="1"/>
    <n v="28.11"/>
    <n v="7.1"/>
  </r>
  <r>
    <s v="TXN-2023-000867"/>
    <s v="CUST-0177"/>
    <x v="65"/>
    <x v="4"/>
    <s v="F"/>
    <x v="46"/>
    <x v="64"/>
    <n v="1"/>
    <x v="67"/>
    <s v=" 6.17 CAD "/>
    <x v="0"/>
    <x v="65"/>
    <x v="1"/>
    <x v="45"/>
    <x v="3"/>
    <s v="Calgary (ALBERTA)"/>
    <x v="0"/>
    <n v="12.1"/>
    <n v="6.17"/>
  </r>
  <r>
    <s v="TXN-2024-000071"/>
    <s v="CUST-0277"/>
    <x v="66"/>
    <x v="4"/>
    <s v="N/A"/>
    <x v="47"/>
    <x v="65"/>
    <n v="1"/>
    <x v="68"/>
    <n v="1.27"/>
    <x v="1"/>
    <x v="66"/>
    <x v="0"/>
    <x v="46"/>
    <x v="2"/>
    <s v="London,on"/>
    <x v="1"/>
    <n v="4.2"/>
    <n v="1.27"/>
  </r>
  <r>
    <s v="TXN-2024-000544"/>
    <s v="CUST-0278"/>
    <x v="67"/>
    <x v="3"/>
    <s v="FEMALE"/>
    <x v="44"/>
    <x v="66"/>
    <n v="1"/>
    <x v="69"/>
    <s v="10,01"/>
    <x v="1"/>
    <x v="67"/>
    <x v="1"/>
    <x v="43"/>
    <x v="3"/>
    <s v="Hamilton / ON"/>
    <x v="1"/>
    <n v="19.670000000000002"/>
    <n v="10.01"/>
  </r>
  <r>
    <s v="TXN-2023-000108"/>
    <s v="CUST-0085"/>
    <x v="68"/>
    <x v="1"/>
    <s v="male"/>
    <x v="11"/>
    <x v="67"/>
    <n v="3"/>
    <x v="70"/>
    <n v="45.8"/>
    <x v="0"/>
    <x v="68"/>
    <x v="2"/>
    <x v="11"/>
    <x v="5"/>
    <s v="Montreal QUEBEC"/>
    <x v="2"/>
    <n v="95.21"/>
    <n v="45.8"/>
  </r>
  <r>
    <s v="TXN-2023-000494"/>
    <s v="CUST-0115"/>
    <x v="69"/>
    <x v="4"/>
    <s v="male"/>
    <x v="35"/>
    <x v="68"/>
    <n v="1"/>
    <x v="71"/>
    <s v="6,79"/>
    <x v="0"/>
    <x v="69"/>
    <x v="2"/>
    <x v="10"/>
    <x v="4"/>
    <s v="Brampton (Ontario)"/>
    <x v="1"/>
    <n v="11.52"/>
    <n v="6.79"/>
  </r>
  <r>
    <s v="TXN-2023-000591"/>
    <s v="CUST-0133"/>
    <x v="70"/>
    <x v="3"/>
    <s v="FEMALE"/>
    <x v="36"/>
    <x v="69"/>
    <n v="6"/>
    <x v="72"/>
    <n v="154.34"/>
    <x v="1"/>
    <x v="70"/>
    <x v="1"/>
    <x v="35"/>
    <x v="3"/>
    <s v="Vancouver, BritishColumbia"/>
    <x v="4"/>
    <n v="272.41000000000003"/>
    <n v="154.34"/>
  </r>
  <r>
    <s v="TXN-2023-000742"/>
    <s v="CUST-0083 "/>
    <x v="71"/>
    <x v="3"/>
    <s v="FEMALE"/>
    <x v="48"/>
    <x v="70"/>
    <n v="2"/>
    <x v="73"/>
    <n v="24.38"/>
    <x v="0"/>
    <x v="71"/>
    <x v="1"/>
    <x v="1"/>
    <x v="1"/>
    <s v="Ontario - Kitchener"/>
    <x v="1"/>
    <n v="40.869999999999997"/>
    <n v="24.38"/>
  </r>
  <r>
    <s v="TXN-2023-000293"/>
    <s v="CUST-0024"/>
    <x v="72"/>
    <x v="1"/>
    <m/>
    <x v="21"/>
    <x v="71"/>
    <n v="2"/>
    <x v="74"/>
    <n v="13.53"/>
    <x v="0"/>
    <x v="72"/>
    <x v="0"/>
    <x v="21"/>
    <x v="3"/>
    <s v="Longueuil, Quebec"/>
    <x v="2"/>
    <n v="26.84"/>
    <n v="13.53"/>
  </r>
  <r>
    <s v="TXN-2023-000290"/>
    <s v="CUST-0060 "/>
    <x v="73"/>
    <x v="0"/>
    <s v="male"/>
    <x v="49"/>
    <x v="72"/>
    <n v="1"/>
    <x v="75"/>
    <n v="2.27"/>
    <x v="1"/>
    <x v="41"/>
    <x v="2"/>
    <x v="47"/>
    <x v="0"/>
    <s v="Vaughan  ON"/>
    <x v="1"/>
    <n v="6.28"/>
    <n v="2.27"/>
  </r>
  <r>
    <s v="TXN-2024-000653"/>
    <s v="CUST-0041"/>
    <x v="74"/>
    <x v="4"/>
    <s v="male"/>
    <x v="42"/>
    <x v="73"/>
    <n v="2"/>
    <x v="76"/>
    <n v="13.46"/>
    <x v="0"/>
    <x v="73"/>
    <x v="2"/>
    <x v="41"/>
    <x v="4"/>
    <s v="Quebec City (Quebec)"/>
    <x v="2"/>
    <n v="41.58"/>
    <n v="13.46"/>
  </r>
  <r>
    <s v="TXN-2023-000040"/>
    <s v="CUST-0235"/>
    <x v="75"/>
    <x v="1"/>
    <s v="male"/>
    <x v="26"/>
    <x v="74"/>
    <n v="2"/>
    <x v="77"/>
    <n v="5.33"/>
    <x v="1"/>
    <x v="74"/>
    <x v="2"/>
    <x v="26"/>
    <x v="3"/>
    <s v="Ottawa (Ontario)"/>
    <x v="1"/>
    <n v="22.25"/>
    <n v="5.33"/>
  </r>
  <r>
    <s v="TXN-2023-000590"/>
    <s v="CUST-0294"/>
    <x v="76"/>
    <x v="3"/>
    <s v="F"/>
    <x v="44"/>
    <x v="75"/>
    <n v="1"/>
    <x v="78"/>
    <n v="8.89"/>
    <x v="1"/>
    <x v="75"/>
    <x v="1"/>
    <x v="43"/>
    <x v="3"/>
    <s v="Montreal-Quebec"/>
    <x v="2"/>
    <n v="14.01"/>
    <n v="8.89"/>
  </r>
  <r>
    <s v="TXN-2024-000308"/>
    <s v="CUST-0194"/>
    <x v="77"/>
    <x v="4"/>
    <s v="male"/>
    <x v="50"/>
    <x v="76"/>
    <n v="5"/>
    <x v="79"/>
    <n v="43.69"/>
    <x v="1"/>
    <x v="76"/>
    <x v="2"/>
    <x v="48"/>
    <x v="2"/>
    <s v="Toronto / Ontari"/>
    <x v="1"/>
    <n v="147.91"/>
    <n v="43.69"/>
  </r>
  <r>
    <s v="TXN-2023-000680"/>
    <s v="CUST-0316"/>
    <x v="78"/>
    <x v="1"/>
    <s v="M"/>
    <x v="41"/>
    <x v="17"/>
    <n v="2"/>
    <x v="80"/>
    <n v="23.4"/>
    <x v="0"/>
    <x v="77"/>
    <x v="2"/>
    <x v="40"/>
    <x v="5"/>
    <s v="Laval Quebec"/>
    <x v="2"/>
    <n v="50.66"/>
    <n v="23.4"/>
  </r>
  <r>
    <s v="TXN-2023-000067"/>
    <s v="CUST-0128"/>
    <x v="79"/>
    <x v="2"/>
    <s v="FEMALE"/>
    <x v="42"/>
    <x v="77"/>
    <n v="3"/>
    <x v="81"/>
    <n v="25.83"/>
    <x v="1"/>
    <x v="78"/>
    <x v="1"/>
    <x v="41"/>
    <x v="4"/>
    <s v="Calgary  Albert"/>
    <x v="0"/>
    <n v="60.83"/>
    <n v="25.83"/>
  </r>
  <r>
    <s v="TXN-2023-000276"/>
    <s v="CUST-0119"/>
    <x v="80"/>
    <x v="2"/>
    <s v="U"/>
    <x v="21"/>
    <x v="78"/>
    <n v="1"/>
    <x v="82"/>
    <n v="10.66"/>
    <x v="1"/>
    <x v="79"/>
    <x v="0"/>
    <x v="21"/>
    <x v="3"/>
    <s v="Calgary-Albert"/>
    <x v="0"/>
    <n v="29.34"/>
    <n v="10.66"/>
  </r>
  <r>
    <s v="TXN-2023-000068"/>
    <s v="CUST-0305"/>
    <x v="81"/>
    <x v="2"/>
    <s v="FEMALE"/>
    <x v="4"/>
    <x v="79"/>
    <n v="4"/>
    <x v="83"/>
    <n v="40.64"/>
    <x v="0"/>
    <x v="80"/>
    <x v="1"/>
    <x v="4"/>
    <x v="0"/>
    <s v="Vaughan  Ontari"/>
    <x v="1"/>
    <n v="107.08"/>
    <n v="40.64"/>
  </r>
  <r>
    <s v="TXN-2023-000319"/>
    <s v="CUST-0317 "/>
    <x v="82"/>
    <x v="1"/>
    <s v="male"/>
    <x v="51"/>
    <x v="80"/>
    <n v="4"/>
    <x v="84"/>
    <n v="43.04"/>
    <x v="0"/>
    <x v="81"/>
    <x v="2"/>
    <x v="49"/>
    <x v="2"/>
    <s v="London, ON"/>
    <x v="1"/>
    <n v="90.98"/>
    <n v="43.04"/>
  </r>
  <r>
    <s v="TXN-2023-000549"/>
    <s v="CUST-0220"/>
    <x v="83"/>
    <x v="1"/>
    <s v="male"/>
    <x v="31"/>
    <x v="81"/>
    <n v="4"/>
    <x v="85"/>
    <n v="11.89"/>
    <x v="0"/>
    <x v="82"/>
    <x v="2"/>
    <x v="31"/>
    <x v="2"/>
    <s v="Kitchener-on"/>
    <x v="1"/>
    <n v="25.04"/>
    <n v="11.89"/>
  </r>
  <r>
    <s v="TXN-2024-000592"/>
    <s v="cust-0111"/>
    <x v="84"/>
    <x v="1"/>
    <s v="MALE "/>
    <x v="52"/>
    <x v="82"/>
    <n v="2"/>
    <x v="86"/>
    <n v="13.33"/>
    <x v="0"/>
    <x v="83"/>
    <x v="2"/>
    <x v="50"/>
    <x v="3"/>
    <s v="Hamilton  Ontari"/>
    <x v="1"/>
    <n v="26.81"/>
    <n v="13.33"/>
  </r>
  <r>
    <s v="TXN-2023-000715"/>
    <s v="CUST-0071"/>
    <x v="85"/>
    <x v="0"/>
    <s v="male"/>
    <x v="27"/>
    <x v="83"/>
    <n v="1"/>
    <x v="87"/>
    <n v="11.89"/>
    <x v="1"/>
    <x v="84"/>
    <x v="2"/>
    <x v="27"/>
    <x v="0"/>
    <s v="London / Ontario"/>
    <x v="1"/>
    <n v="29.9"/>
    <n v="11.89"/>
  </r>
  <r>
    <s v="TXN-2023-000754"/>
    <s v="CUST-0172"/>
    <x v="86"/>
    <x v="2"/>
    <s v="M"/>
    <x v="0"/>
    <x v="84"/>
    <n v="2"/>
    <x v="88"/>
    <n v="26.98"/>
    <x v="0"/>
    <x v="85"/>
    <x v="2"/>
    <x v="0"/>
    <x v="0"/>
    <s v="Sydney (Nova Scoti)"/>
    <x v="6"/>
    <n v="79.790000000000006"/>
    <n v="26.98"/>
  </r>
  <r>
    <s v="TXN-2023-000328"/>
    <s v="CUST-0301"/>
    <x v="87"/>
    <x v="3"/>
    <s v="FEMALE"/>
    <x v="16"/>
    <x v="85"/>
    <n v="4"/>
    <x v="89"/>
    <n v="70.55"/>
    <x v="1"/>
    <x v="86"/>
    <x v="1"/>
    <x v="16"/>
    <x v="4"/>
    <s v="Calgary (AB)"/>
    <x v="0"/>
    <n v="114.8"/>
    <n v="70.55"/>
  </r>
  <r>
    <s v="TXN-2024-000383"/>
    <s v="CUST-0024"/>
    <x v="88"/>
    <x v="1"/>
    <s v="male"/>
    <x v="22"/>
    <x v="86"/>
    <n v="1"/>
    <x v="47"/>
    <n v="5.03"/>
    <x v="1"/>
    <x v="87"/>
    <x v="2"/>
    <x v="22"/>
    <x v="3"/>
    <s v="London ON"/>
    <x v="1"/>
    <m/>
    <n v="5.03"/>
  </r>
  <r>
    <s v="TXN-2023-000452"/>
    <s v="CUST-0253"/>
    <x v="89"/>
    <x v="0"/>
    <s v="FEMALE"/>
    <x v="53"/>
    <x v="87"/>
    <n v="3"/>
    <x v="43"/>
    <n v="26.05"/>
    <x v="0"/>
    <x v="88"/>
    <x v="1"/>
    <x v="51"/>
    <x v="3"/>
    <s v="Saskatoon  SK"/>
    <x v="3"/>
    <m/>
    <n v="26.05"/>
  </r>
  <r>
    <s v="TXN-2024-000523"/>
    <s v="CUST-0269"/>
    <x v="90"/>
    <x v="1"/>
    <s v="FEMALE"/>
    <x v="26"/>
    <x v="88"/>
    <n v="2"/>
    <x v="90"/>
    <s v="29,37"/>
    <x v="1"/>
    <x v="89"/>
    <x v="1"/>
    <x v="26"/>
    <x v="3"/>
    <s v="London Ontario"/>
    <x v="1"/>
    <n v="57.77"/>
    <n v="29.37"/>
  </r>
  <r>
    <s v="TXN-2023-000219"/>
    <s v="CUST-0104"/>
    <x v="91"/>
    <x v="4"/>
    <s v="F"/>
    <x v="54"/>
    <x v="63"/>
    <n v="4"/>
    <x v="91"/>
    <n v="26.91"/>
    <x v="1"/>
    <x v="90"/>
    <x v="1"/>
    <x v="52"/>
    <x v="0"/>
    <s v="Toronto (Ontario)"/>
    <x v="1"/>
    <n v="78.27"/>
    <n v="26.91"/>
  </r>
  <r>
    <s v="TXN-2023-000788"/>
    <s v="CUST-0065"/>
    <x v="92"/>
    <x v="4"/>
    <s v="F"/>
    <x v="29"/>
    <x v="89"/>
    <n v="1"/>
    <x v="92"/>
    <n v="7.14"/>
    <x v="1"/>
    <x v="91"/>
    <x v="1"/>
    <x v="29"/>
    <x v="2"/>
    <s v="Quebec City, Quebec"/>
    <x v="2"/>
    <n v="15.61"/>
    <n v="7.14"/>
  </r>
  <r>
    <s v="TXN-2024-000437"/>
    <s v="CUST-0120"/>
    <x v="93"/>
    <x v="2"/>
    <s v="male"/>
    <x v="3"/>
    <x v="90"/>
    <n v="2"/>
    <x v="93"/>
    <n v="11.91"/>
    <x v="1"/>
    <x v="92"/>
    <x v="2"/>
    <x v="3"/>
    <x v="3"/>
    <s v="Red Deer / Alberta"/>
    <x v="0"/>
    <n v="32.159999999999997"/>
    <n v="11.91"/>
  </r>
  <r>
    <s v="TXN-2023-000765"/>
    <s v="CUST-0165"/>
    <x v="94"/>
    <x v="3"/>
    <s v="FEMALE"/>
    <x v="15"/>
    <x v="91"/>
    <n v="1"/>
    <x v="94"/>
    <n v="5.37"/>
    <x v="1"/>
    <x v="13"/>
    <x v="1"/>
    <x v="15"/>
    <x v="3"/>
    <s v="Quebec - Sherbrooke"/>
    <x v="2"/>
    <n v="11.22"/>
    <n v="5.37"/>
  </r>
  <r>
    <s v="TXN-2024-000089"/>
    <s v="CUST-0195"/>
    <x v="95"/>
    <x v="2"/>
    <s v="male"/>
    <x v="44"/>
    <x v="92"/>
    <n v="2"/>
    <x v="95"/>
    <n v="23.54"/>
    <x v="0"/>
    <x v="93"/>
    <x v="2"/>
    <x v="43"/>
    <x v="3"/>
    <s v="Quebe - Longueuil"/>
    <x v="2"/>
    <n v="75.47"/>
    <n v="23.54"/>
  </r>
  <r>
    <s v="TXN-2023-000064"/>
    <s v="CUST-0076"/>
    <x v="96"/>
    <x v="3"/>
    <s v="male"/>
    <x v="19"/>
    <x v="93"/>
    <n v="2"/>
    <x v="96"/>
    <n v="12.86"/>
    <x v="1"/>
    <x v="94"/>
    <x v="2"/>
    <x v="19"/>
    <x v="0"/>
    <s v="Quebec City QUEBEC"/>
    <x v="2"/>
    <n v="26.89"/>
    <n v="12.86"/>
  </r>
  <r>
    <s v="TXN-2024-000827"/>
    <s v="CUST-0256"/>
    <x v="97"/>
    <x v="4"/>
    <m/>
    <x v="7"/>
    <x v="94"/>
    <n v="2"/>
    <x v="97"/>
    <n v="13.3"/>
    <x v="0"/>
    <x v="95"/>
    <x v="0"/>
    <x v="7"/>
    <x v="0"/>
    <s v="Vaughan, Ontario"/>
    <x v="1"/>
    <n v="21.78"/>
    <n v="13.3"/>
  </r>
  <r>
    <s v="TXN-2024-000717"/>
    <s v="CUST-0068"/>
    <x v="98"/>
    <x v="2"/>
    <s v="N/A"/>
    <x v="12"/>
    <x v="95"/>
    <n v="1"/>
    <x v="98"/>
    <n v="14.31"/>
    <x v="1"/>
    <x v="96"/>
    <x v="0"/>
    <x v="12"/>
    <x v="0"/>
    <s v="Richmond / BritishColumbia"/>
    <x v="4"/>
    <n v="24.11"/>
    <n v="14.31"/>
  </r>
  <r>
    <s v="TXN-2024-000352"/>
    <s v="CUST-0006"/>
    <x v="99"/>
    <x v="1"/>
    <s v="male"/>
    <x v="43"/>
    <x v="96"/>
    <n v="5"/>
    <x v="99"/>
    <n v="10.220000000000001"/>
    <x v="1"/>
    <x v="97"/>
    <x v="2"/>
    <x v="42"/>
    <x v="4"/>
    <s v="Kitchener / Ontario"/>
    <x v="1"/>
    <n v="21.22"/>
    <n v="10.220000000000001"/>
  </r>
  <r>
    <s v="TXN-2023-000937"/>
    <s v="CUST-0276"/>
    <x v="100"/>
    <x v="1"/>
    <s v="U"/>
    <x v="44"/>
    <x v="97"/>
    <n v="2"/>
    <x v="100"/>
    <n v="12.58"/>
    <x v="0"/>
    <x v="98"/>
    <x v="0"/>
    <x v="43"/>
    <x v="3"/>
    <s v="Surrey,British Columbia"/>
    <x v="4"/>
    <n v="35.729999999999997"/>
    <n v="12.58"/>
  </r>
  <r>
    <s v="TXN-2024-000257"/>
    <s v="CUST-0188"/>
    <x v="101"/>
    <x v="2"/>
    <s v="FEMALE"/>
    <x v="55"/>
    <x v="98"/>
    <n v="1"/>
    <x v="101"/>
    <n v="5.37"/>
    <x v="1"/>
    <x v="99"/>
    <x v="1"/>
    <x v="53"/>
    <x v="3"/>
    <s v="Laval, Quebec"/>
    <x v="2"/>
    <n v="19.72"/>
    <n v="5.37"/>
  </r>
  <r>
    <s v="TXN-2024-000636"/>
    <s v="CUST-0185"/>
    <x v="102"/>
    <x v="4"/>
    <s v="F"/>
    <x v="56"/>
    <x v="17"/>
    <n v="2"/>
    <x v="102"/>
    <n v="8.66"/>
    <x v="0"/>
    <x v="100"/>
    <x v="1"/>
    <x v="54"/>
    <x v="5"/>
    <s v="Laval QUEBEC"/>
    <x v="2"/>
    <n v="25.82"/>
    <n v="8.66"/>
  </r>
  <r>
    <s v="TXN-2023-000645"/>
    <s v="CUST-0227"/>
    <x v="103"/>
    <x v="4"/>
    <s v="male"/>
    <x v="47"/>
    <x v="99"/>
    <n v="1"/>
    <x v="103"/>
    <n v="4.72"/>
    <x v="1"/>
    <x v="101"/>
    <x v="2"/>
    <x v="46"/>
    <x v="2"/>
    <s v="St. John's, NL"/>
    <x v="7"/>
    <n v="13.13"/>
    <n v="4.72"/>
  </r>
  <r>
    <s v="TXN-2024-000555"/>
    <s v="CUST-0315"/>
    <x v="104"/>
    <x v="3"/>
    <s v="male"/>
    <x v="57"/>
    <x v="100"/>
    <n v="2"/>
    <x v="104"/>
    <n v="6.78"/>
    <x v="1"/>
    <x v="102"/>
    <x v="2"/>
    <x v="1"/>
    <x v="1"/>
    <s v="Lethbridge Albert"/>
    <x v="0"/>
    <n v="16.55"/>
    <n v="6.78"/>
  </r>
  <r>
    <s v="Txn-2024-000125"/>
    <s v="CUST-0197"/>
    <x v="90"/>
    <x v="2"/>
    <s v="F"/>
    <x v="23"/>
    <x v="101"/>
    <n v="3"/>
    <x v="105"/>
    <n v="11.88"/>
    <x v="1"/>
    <x v="89"/>
    <x v="1"/>
    <x v="23"/>
    <x v="0"/>
    <s v="Brampton  Ontario"/>
    <x v="1"/>
    <n v="24.02"/>
    <n v="11.88"/>
  </r>
  <r>
    <s v="TXN-2023-000169"/>
    <s v="CUST-0180"/>
    <x v="105"/>
    <x v="1"/>
    <s v="FEMALE"/>
    <x v="58"/>
    <x v="102"/>
    <n v="2"/>
    <x v="106"/>
    <s v="CAD 17.11"/>
    <x v="0"/>
    <x v="103"/>
    <x v="1"/>
    <x v="55"/>
    <x v="0"/>
    <s v="Edmonton / Alberta"/>
    <x v="0"/>
    <n v="39.89"/>
    <n v="17.11"/>
  </r>
  <r>
    <s v="TXN-2024-000918"/>
    <s v="CUST-0160"/>
    <x v="106"/>
    <x v="2"/>
    <s v="FEMALE"/>
    <x v="54"/>
    <x v="103"/>
    <n v="2"/>
    <x v="107"/>
    <n v="13.27"/>
    <x v="0"/>
    <x v="104"/>
    <x v="1"/>
    <x v="52"/>
    <x v="0"/>
    <s v="Markham,Ontario"/>
    <x v="1"/>
    <n v="25.44"/>
    <n v="13.27"/>
  </r>
  <r>
    <s v="TXN-2023-000529"/>
    <s v="CUST-0286"/>
    <x v="107"/>
    <x v="1"/>
    <s v="FEMALE"/>
    <x v="47"/>
    <x v="104"/>
    <n v="1"/>
    <x v="108"/>
    <n v="9.18"/>
    <x v="1"/>
    <x v="82"/>
    <x v="1"/>
    <x v="46"/>
    <x v="2"/>
    <s v="Sydney / NovaScotia"/>
    <x v="6"/>
    <n v="13.88"/>
    <n v="9.18"/>
  </r>
  <r>
    <s v="TXN-2024-000824"/>
    <s v="CUST-0091"/>
    <x v="108"/>
    <x v="3"/>
    <s v="male"/>
    <x v="37"/>
    <x v="105"/>
    <n v="1"/>
    <x v="109"/>
    <s v="CAD 18.58"/>
    <x v="1"/>
    <x v="105"/>
    <x v="2"/>
    <x v="36"/>
    <x v="0"/>
    <s v="Sherbrooke,Quebec"/>
    <x v="2"/>
    <n v="52.53"/>
    <n v="18.579999999999998"/>
  </r>
  <r>
    <s v="TXN-2023-000407"/>
    <s v="CUST-0060"/>
    <x v="109"/>
    <x v="2"/>
    <s v="F"/>
    <x v="54"/>
    <x v="106"/>
    <n v="2"/>
    <x v="110"/>
    <n v="13.7"/>
    <x v="1"/>
    <x v="106"/>
    <x v="1"/>
    <x v="52"/>
    <x v="0"/>
    <s v="Ottawa, ON"/>
    <x v="1"/>
    <n v="31.64"/>
    <n v="13.7"/>
  </r>
  <r>
    <s v="TXN-2024-000817"/>
    <s v="CUST-0056"/>
    <x v="110"/>
    <x v="0"/>
    <s v="FEMALE"/>
    <x v="40"/>
    <x v="107"/>
    <n v="2"/>
    <x v="111"/>
    <s v="CAD 15.13"/>
    <x v="1"/>
    <x v="107"/>
    <x v="1"/>
    <x v="39"/>
    <x v="3"/>
    <s v="Mississauga on"/>
    <x v="1"/>
    <n v="34.19"/>
    <n v="15.13"/>
  </r>
  <r>
    <s v="TXN-2024-000087"/>
    <s v="CUST-0139"/>
    <x v="111"/>
    <x v="2"/>
    <s v="male"/>
    <x v="36"/>
    <x v="108"/>
    <n v="1"/>
    <x v="112"/>
    <n v="11.48"/>
    <x v="0"/>
    <x v="108"/>
    <x v="2"/>
    <x v="35"/>
    <x v="3"/>
    <s v="Sherbrooke (Quebe)"/>
    <x v="2"/>
    <n v="30.43"/>
    <n v="11.48"/>
  </r>
  <r>
    <s v="TXN-2024-000433"/>
    <s v="CUST-0045"/>
    <x v="112"/>
    <x v="1"/>
    <s v="male"/>
    <x v="44"/>
    <x v="109"/>
    <n v="5"/>
    <x v="113"/>
    <s v="38,23"/>
    <x v="0"/>
    <x v="109"/>
    <x v="2"/>
    <x v="43"/>
    <x v="3"/>
    <s v="Lethbridge / ALBERTA"/>
    <x v="0"/>
    <n v="72.209999999999994"/>
    <n v="38.229999999999997"/>
  </r>
  <r>
    <s v="TXN-2023-000185"/>
    <s v="CUST-0262"/>
    <x v="113"/>
    <x v="1"/>
    <s v="N/A"/>
    <x v="6"/>
    <x v="110"/>
    <n v="3"/>
    <x v="114"/>
    <n v="20.67"/>
    <x v="1"/>
    <x v="110"/>
    <x v="0"/>
    <x v="6"/>
    <x v="0"/>
    <s v="Albert - Edmonton"/>
    <x v="0"/>
    <n v="56.12"/>
    <n v="20.67"/>
  </r>
  <r>
    <s v="TXN-2024-000251"/>
    <s v="CUST-0255"/>
    <x v="114"/>
    <x v="4"/>
    <s v="FEMALE"/>
    <x v="59"/>
    <x v="111"/>
    <n v="1"/>
    <x v="115"/>
    <n v="1.65"/>
    <x v="1"/>
    <x v="111"/>
    <x v="1"/>
    <x v="56"/>
    <x v="3"/>
    <s v="Gatineau  Qu3b3c"/>
    <x v="2"/>
    <n v="4.4800000000000004"/>
    <n v="1.65"/>
  </r>
  <r>
    <s v="TXN-2024-000535"/>
    <s v="CUST-0064"/>
    <x v="46"/>
    <x v="2"/>
    <s v="male"/>
    <x v="18"/>
    <x v="41"/>
    <n v="2"/>
    <x v="116"/>
    <n v="6.38"/>
    <x v="0"/>
    <x v="46"/>
    <x v="2"/>
    <x v="18"/>
    <x v="0"/>
    <s v="Vancouver, BRITISH COLUMBIA"/>
    <x v="4"/>
    <n v="15.89"/>
    <n v="6.38"/>
  </r>
  <r>
    <s v="TXN-2023-000295"/>
    <s v="CUST-0196"/>
    <x v="115"/>
    <x v="4"/>
    <s v="FEMALE"/>
    <x v="60"/>
    <x v="81"/>
    <n v="2"/>
    <x v="117"/>
    <s v=" 16.24 CAD "/>
    <x v="0"/>
    <x v="112"/>
    <x v="1"/>
    <x v="57"/>
    <x v="5"/>
    <s v="Kitchener-ON"/>
    <x v="1"/>
    <n v="42.6"/>
    <n v="16.239999999999998"/>
  </r>
  <r>
    <s v="TXN-2024-000893"/>
    <s v="CUST-0238"/>
    <x v="116"/>
    <x v="2"/>
    <s v="F"/>
    <x v="33"/>
    <x v="112"/>
    <n v="1"/>
    <x v="118"/>
    <n v="3.78"/>
    <x v="1"/>
    <x v="113"/>
    <x v="1"/>
    <x v="33"/>
    <x v="0"/>
    <s v="Markham (on)"/>
    <x v="1"/>
    <n v="8.25"/>
    <n v="3.78"/>
  </r>
  <r>
    <s v="TXN-2024-000426"/>
    <s v="CUST-0232"/>
    <x v="117"/>
    <x v="0"/>
    <s v="U"/>
    <x v="18"/>
    <x v="113"/>
    <n v="1"/>
    <x v="119"/>
    <n v="7.02"/>
    <x v="1"/>
    <x v="114"/>
    <x v="0"/>
    <x v="18"/>
    <x v="0"/>
    <s v="Toronto-ON"/>
    <x v="1"/>
    <n v="22.65"/>
    <n v="7.02"/>
  </r>
  <r>
    <s v="TXN-2023-000714"/>
    <s v="CUST-0199"/>
    <x v="118"/>
    <x v="4"/>
    <s v="FEMALE"/>
    <x v="55"/>
    <x v="114"/>
    <n v="1"/>
    <x v="120"/>
    <n v="6.17"/>
    <x v="1"/>
    <x v="115"/>
    <x v="1"/>
    <x v="53"/>
    <x v="3"/>
    <s v="Calgary-ab"/>
    <x v="0"/>
    <n v="14.5"/>
    <n v="6.17"/>
  </r>
  <r>
    <s v="TXN-2024-000261"/>
    <s v="CUST-0057"/>
    <x v="119"/>
    <x v="4"/>
    <s v="FEMALE"/>
    <x v="4"/>
    <x v="115"/>
    <n v="2"/>
    <x v="121"/>
    <s v="CAD 7.01"/>
    <x v="0"/>
    <x v="116"/>
    <x v="1"/>
    <x v="4"/>
    <x v="0"/>
    <s v="Burnaby, British Columbi"/>
    <x v="4"/>
    <n v="25.58"/>
    <n v="7.01"/>
  </r>
  <r>
    <s v="TXN-2023-000238"/>
    <s v="CUST-0066"/>
    <x v="94"/>
    <x v="4"/>
    <s v="FEMALE"/>
    <x v="61"/>
    <x v="94"/>
    <n v="1"/>
    <x v="122"/>
    <n v="6.78"/>
    <x v="1"/>
    <x v="13"/>
    <x v="1"/>
    <x v="58"/>
    <x v="0"/>
    <s v="Vaughan, Ontario"/>
    <x v="1"/>
    <n v="13.61"/>
    <n v="6.78"/>
  </r>
  <r>
    <s v="TXN-2023-000560"/>
    <s v="CUST-0020"/>
    <x v="120"/>
    <x v="4"/>
    <s v="M"/>
    <x v="51"/>
    <x v="116"/>
    <n v="2"/>
    <x v="123"/>
    <n v="8.42"/>
    <x v="1"/>
    <x v="45"/>
    <x v="2"/>
    <x v="49"/>
    <x v="2"/>
    <s v="Sherbrooke (qc)"/>
    <x v="2"/>
    <n v="18.62"/>
    <n v="8.42"/>
  </r>
  <r>
    <s v="TXN-2024-000584"/>
    <s v="CUST-0135"/>
    <x v="121"/>
    <x v="4"/>
    <s v="male"/>
    <x v="6"/>
    <x v="117"/>
    <n v="1"/>
    <x v="124"/>
    <n v="1.76"/>
    <x v="1"/>
    <x v="37"/>
    <x v="2"/>
    <x v="6"/>
    <x v="0"/>
    <s v="Vaughan Ontario"/>
    <x v="1"/>
    <n v="2.92"/>
    <n v="1.76"/>
  </r>
  <r>
    <s v="TXN-2024-000446"/>
    <s v="CUST-0288"/>
    <x v="122"/>
    <x v="3"/>
    <s v="N/A"/>
    <x v="25"/>
    <x v="118"/>
    <n v="1"/>
    <x v="125"/>
    <n v="13.52"/>
    <x v="0"/>
    <x v="117"/>
    <x v="0"/>
    <x v="25"/>
    <x v="3"/>
    <s v="Regina (SASKATCHEWAN)"/>
    <x v="3"/>
    <n v="36.549999999999997"/>
    <n v="13.52"/>
  </r>
  <r>
    <s v="TXN-2024-000868"/>
    <s v="CUST-0189"/>
    <x v="123"/>
    <x v="2"/>
    <s v="FEMALE"/>
    <x v="38"/>
    <x v="119"/>
    <n v="2"/>
    <x v="126"/>
    <n v="3.85"/>
    <x v="1"/>
    <x v="118"/>
    <x v="1"/>
    <x v="37"/>
    <x v="3"/>
    <s v="Lethbridge AB"/>
    <x v="0"/>
    <n v="13.68"/>
    <n v="3.85"/>
  </r>
  <r>
    <s v="TXN-2023-000801"/>
    <s v="CUST-0303"/>
    <x v="124"/>
    <x v="3"/>
    <s v="male"/>
    <x v="2"/>
    <x v="120"/>
    <n v="1"/>
    <x v="127"/>
    <n v="4.07"/>
    <x v="1"/>
    <x v="119"/>
    <x v="2"/>
    <x v="2"/>
    <x v="2"/>
    <s v="Victoria-British Columbia"/>
    <x v="4"/>
    <n v="9.8000000000000007"/>
    <n v="4.07"/>
  </r>
  <r>
    <s v="TXN-2023-000600"/>
    <s v="CUST-0296"/>
    <x v="125"/>
    <x v="1"/>
    <m/>
    <x v="13"/>
    <x v="121"/>
    <n v="1"/>
    <x v="128"/>
    <s v=" 6.15 CAD "/>
    <x v="1"/>
    <x v="120"/>
    <x v="0"/>
    <x v="13"/>
    <x v="0"/>
    <s v="Montreal / QUEBEC"/>
    <x v="2"/>
    <n v="17.059999999999999"/>
    <n v="6.15"/>
  </r>
  <r>
    <s v="TXN-2024-000850"/>
    <s v="CUST-0100 "/>
    <x v="126"/>
    <x v="0"/>
    <s v="FEMALE"/>
    <x v="34"/>
    <x v="122"/>
    <n v="4"/>
    <x v="129"/>
    <s v=" 28.53 CAD "/>
    <x v="0"/>
    <x v="121"/>
    <x v="1"/>
    <x v="34"/>
    <x v="0"/>
    <s v="Mississauga-Ontario"/>
    <x v="1"/>
    <n v="99.43"/>
    <n v="28.53"/>
  </r>
  <r>
    <s v="TXN-2024-000266"/>
    <s v="CUST-0288"/>
    <x v="127"/>
    <x v="3"/>
    <s v="male"/>
    <x v="57"/>
    <x v="123"/>
    <n v="1"/>
    <x v="130"/>
    <n v="15.89"/>
    <x v="0"/>
    <x v="122"/>
    <x v="2"/>
    <x v="1"/>
    <x v="1"/>
    <s v="Vaughan-Ontario"/>
    <x v="1"/>
    <n v="33.659999999999997"/>
    <n v="15.89"/>
  </r>
  <r>
    <s v="TXN-2023-000473"/>
    <s v="cust-0138"/>
    <x v="128"/>
    <x v="0"/>
    <s v="MALE "/>
    <x v="17"/>
    <x v="124"/>
    <n v="1"/>
    <x v="131"/>
    <s v="CAD 6.68"/>
    <x v="0"/>
    <x v="123"/>
    <x v="2"/>
    <x v="17"/>
    <x v="4"/>
    <s v="Halifax (Nova Scoti)"/>
    <x v="6"/>
    <n v="14.16"/>
    <n v="6.68"/>
  </r>
  <r>
    <s v="TXN-2023-000530"/>
    <s v="CUST-0187"/>
    <x v="129"/>
    <x v="4"/>
    <s v="FEMALE"/>
    <x v="21"/>
    <x v="125"/>
    <n v="2"/>
    <x v="132"/>
    <n v="4.21"/>
    <x v="1"/>
    <x v="26"/>
    <x v="1"/>
    <x v="21"/>
    <x v="3"/>
    <s v="Markham  Ontario"/>
    <x v="1"/>
    <n v="8.4700000000000006"/>
    <n v="4.21"/>
  </r>
  <r>
    <s v="TXN-2023-000056"/>
    <s v="CUST-0262"/>
    <x v="130"/>
    <x v="2"/>
    <s v="FEMALE"/>
    <x v="11"/>
    <x v="126"/>
    <n v="5"/>
    <x v="133"/>
    <n v="26.48"/>
    <x v="1"/>
    <x v="124"/>
    <x v="1"/>
    <x v="11"/>
    <x v="5"/>
    <s v="Gatineau, Quebec"/>
    <x v="2"/>
    <n v="64.98"/>
    <n v="26.48"/>
  </r>
  <r>
    <s v="TXN-2024-000121"/>
    <s v="CUST-0242"/>
    <x v="131"/>
    <x v="0"/>
    <s v="N/A"/>
    <x v="57"/>
    <x v="81"/>
    <n v="2"/>
    <x v="134"/>
    <n v="33.57"/>
    <x v="1"/>
    <x v="125"/>
    <x v="0"/>
    <x v="1"/>
    <x v="1"/>
    <s v="Kitchener-on"/>
    <x v="1"/>
    <n v="62.83"/>
    <n v="33.57"/>
  </r>
  <r>
    <s v="TXN-2024-000216"/>
    <s v="CUST-0192"/>
    <x v="132"/>
    <x v="0"/>
    <s v="F"/>
    <x v="37"/>
    <x v="127"/>
    <n v="3"/>
    <x v="135"/>
    <n v="17.010000000000002"/>
    <x v="0"/>
    <x v="126"/>
    <x v="1"/>
    <x v="36"/>
    <x v="0"/>
    <s v="Vancouver British Columbia"/>
    <x v="4"/>
    <n v="37.159999999999997"/>
    <n v="17.010000000000002"/>
  </r>
  <r>
    <s v="TXN-2023-000026"/>
    <s v="CUST-0035"/>
    <x v="133"/>
    <x v="3"/>
    <s v="F"/>
    <x v="42"/>
    <x v="128"/>
    <n v="2"/>
    <x v="136"/>
    <n v="49.12"/>
    <x v="1"/>
    <x v="4"/>
    <x v="1"/>
    <x v="41"/>
    <x v="4"/>
    <s v="Toronto / Ontario"/>
    <x v="1"/>
    <n v="105.45"/>
    <n v="49.12"/>
  </r>
  <r>
    <s v="TXN-2024-000073"/>
    <s v="CUST-0106 "/>
    <x v="134"/>
    <x v="1"/>
    <s v="M"/>
    <x v="39"/>
    <x v="129"/>
    <n v="1"/>
    <x v="137"/>
    <n v="1.93"/>
    <x v="0"/>
    <x v="127"/>
    <x v="2"/>
    <x v="38"/>
    <x v="2"/>
    <s v="Kitchener,Ontari"/>
    <x v="1"/>
    <n v="6.35"/>
    <n v="1.93"/>
  </r>
  <r>
    <s v="TXN-2024-000045"/>
    <s v="CUST-0142"/>
    <x v="135"/>
    <x v="0"/>
    <s v="Prefer not to say"/>
    <x v="35"/>
    <x v="130"/>
    <n v="1"/>
    <x v="138"/>
    <s v="10,60"/>
    <x v="1"/>
    <x v="128"/>
    <x v="3"/>
    <x v="10"/>
    <x v="4"/>
    <s v="Ottawa-Ontari"/>
    <x v="1"/>
    <n v="19.079999999999998"/>
    <n v="10.6"/>
  </r>
  <r>
    <s v="TXN-2024-000248"/>
    <s v="CUST-0239 "/>
    <x v="136"/>
    <x v="3"/>
    <s v="male"/>
    <x v="22"/>
    <x v="20"/>
    <n v="3"/>
    <x v="139"/>
    <n v="38"/>
    <x v="1"/>
    <x v="129"/>
    <x v="2"/>
    <x v="22"/>
    <x v="3"/>
    <s v="Red Deer-ab"/>
    <x v="0"/>
    <n v="102.93"/>
    <n v="38"/>
  </r>
  <r>
    <s v="TXN-2024-000722"/>
    <s v="CUST-0314"/>
    <x v="137"/>
    <x v="2"/>
    <s v="male"/>
    <x v="31"/>
    <x v="131"/>
    <n v="1"/>
    <x v="140"/>
    <s v="N/A"/>
    <x v="1"/>
    <x v="130"/>
    <x v="2"/>
    <x v="31"/>
    <x v="2"/>
    <s v="Longueuil, qc"/>
    <x v="2"/>
    <n v="35.18"/>
    <m/>
  </r>
  <r>
    <s v="TXN-2023-000282"/>
    <s v="CUST-0045"/>
    <x v="138"/>
    <x v="4"/>
    <s v="F"/>
    <x v="3"/>
    <x v="132"/>
    <n v="1"/>
    <x v="141"/>
    <n v="4.33"/>
    <x v="0"/>
    <x v="131"/>
    <x v="1"/>
    <x v="3"/>
    <x v="3"/>
    <s v="Vaughan-0n"/>
    <x v="1"/>
    <n v="11.16"/>
    <n v="4.33"/>
  </r>
  <r>
    <s v="TXN-2024-000894"/>
    <s v="CUST-0064"/>
    <x v="139"/>
    <x v="0"/>
    <s v="male"/>
    <x v="54"/>
    <x v="133"/>
    <n v="4"/>
    <x v="142"/>
    <n v="25.28"/>
    <x v="0"/>
    <x v="132"/>
    <x v="2"/>
    <x v="52"/>
    <x v="0"/>
    <s v="Laval / QUEBEC"/>
    <x v="2"/>
    <n v="58.47"/>
    <n v="25.28"/>
  </r>
  <r>
    <s v="TXN-2024-000915"/>
    <s v="CUST-0195"/>
    <x v="122"/>
    <x v="4"/>
    <s v="FEMALE"/>
    <x v="35"/>
    <x v="134"/>
    <n v="1"/>
    <x v="143"/>
    <n v="4.12"/>
    <x v="0"/>
    <x v="117"/>
    <x v="1"/>
    <x v="10"/>
    <x v="4"/>
    <s v="Mississauga ONTARIO"/>
    <x v="1"/>
    <n v="13.58"/>
    <n v="4.12"/>
  </r>
  <r>
    <s v="TXN-2024-000811"/>
    <s v="CUST-0113"/>
    <x v="140"/>
    <x v="4"/>
    <s v="FEMALE"/>
    <x v="55"/>
    <x v="135"/>
    <n v="4"/>
    <x v="144"/>
    <s v="CAD 3.81"/>
    <x v="0"/>
    <x v="133"/>
    <x v="1"/>
    <x v="53"/>
    <x v="3"/>
    <s v="Sydney, NS"/>
    <x v="6"/>
    <n v="10.09"/>
    <n v="3.81"/>
  </r>
  <r>
    <s v="TXN-2023-000245"/>
    <s v="CUST-0153"/>
    <x v="141"/>
    <x v="0"/>
    <s v="F"/>
    <x v="62"/>
    <x v="136"/>
    <n v="1"/>
    <x v="145"/>
    <s v=" 4.32 CAD "/>
    <x v="0"/>
    <x v="134"/>
    <x v="1"/>
    <x v="59"/>
    <x v="3"/>
    <s v="Sherbrooke  qc"/>
    <x v="2"/>
    <n v="13.55"/>
    <n v="4.32"/>
  </r>
  <r>
    <s v="TXN-2023-000823"/>
    <s v="CUST-0274"/>
    <x v="142"/>
    <x v="4"/>
    <s v="U"/>
    <x v="53"/>
    <x v="137"/>
    <n v="2"/>
    <x v="146"/>
    <s v=" 2.72 CAD "/>
    <x v="0"/>
    <x v="135"/>
    <x v="0"/>
    <x v="51"/>
    <x v="3"/>
    <s v="St. John's (Newfoundland and Labrado)"/>
    <x v="7"/>
    <n v="10.14"/>
    <n v="2.72"/>
  </r>
  <r>
    <s v="TXN-2023-000322"/>
    <s v="CUST-0318"/>
    <x v="143"/>
    <x v="3"/>
    <s v="FEMALE"/>
    <x v="11"/>
    <x v="138"/>
    <n v="6"/>
    <x v="147"/>
    <n v="126.37"/>
    <x v="0"/>
    <x v="21"/>
    <x v="1"/>
    <x v="11"/>
    <x v="5"/>
    <s v="Brampton,Ontari"/>
    <x v="1"/>
    <n v="332.85"/>
    <n v="126.37"/>
  </r>
  <r>
    <s v="TXN-2023-000644"/>
    <s v="CUST-0317"/>
    <x v="82"/>
    <x v="4"/>
    <s v="FEMALE"/>
    <x v="23"/>
    <x v="139"/>
    <n v="3"/>
    <x v="148"/>
    <n v="23.44"/>
    <x v="1"/>
    <x v="81"/>
    <x v="1"/>
    <x v="23"/>
    <x v="0"/>
    <s v="Ottawa / Ontario"/>
    <x v="1"/>
    <n v="45.36"/>
    <n v="23.44"/>
  </r>
  <r>
    <s v="TXN-2023-000159"/>
    <s v="CUST-0155"/>
    <x v="144"/>
    <x v="2"/>
    <s v="F"/>
    <x v="7"/>
    <x v="140"/>
    <n v="1"/>
    <x v="149"/>
    <s v=" 9.07 CAD "/>
    <x v="0"/>
    <x v="136"/>
    <x v="1"/>
    <x v="7"/>
    <x v="0"/>
    <s v="Kelowna  BC"/>
    <x v="4"/>
    <n v="18.809999999999999"/>
    <n v="9.07"/>
  </r>
  <r>
    <s v="TXN-2024-000029"/>
    <s v="CUST-0028"/>
    <x v="145"/>
    <x v="0"/>
    <s v="FEMALE"/>
    <x v="15"/>
    <x v="70"/>
    <n v="1"/>
    <x v="150"/>
    <s v=" 3.62 CAD "/>
    <x v="1"/>
    <x v="137"/>
    <x v="1"/>
    <x v="15"/>
    <x v="3"/>
    <s v="Ontario - Kitchener"/>
    <x v="1"/>
    <n v="15.14"/>
    <n v="3.62"/>
  </r>
  <r>
    <s v="TXN-2023-000430"/>
    <s v="CUST-0222 "/>
    <x v="146"/>
    <x v="2"/>
    <s v="M"/>
    <x v="51"/>
    <x v="141"/>
    <n v="3"/>
    <x v="151"/>
    <n v="46.17"/>
    <x v="0"/>
    <x v="138"/>
    <x v="2"/>
    <x v="49"/>
    <x v="2"/>
    <s v="Quebec City,QUEBEC"/>
    <x v="2"/>
    <n v="120.81"/>
    <n v="46.17"/>
  </r>
  <r>
    <s v="TXN-2024-000942"/>
    <s v="CUST-0153"/>
    <x v="147"/>
    <x v="1"/>
    <s v="F"/>
    <x v="29"/>
    <x v="142"/>
    <n v="1"/>
    <x v="152"/>
    <n v="2.2799999999999998"/>
    <x v="0"/>
    <x v="139"/>
    <x v="1"/>
    <x v="29"/>
    <x v="2"/>
    <s v="Brandon Manitoba"/>
    <x v="5"/>
    <n v="9.14"/>
    <n v="2.2799999999999998"/>
  </r>
  <r>
    <s v="TXN-2024-000463"/>
    <s v="CUST-0138"/>
    <x v="148"/>
    <x v="3"/>
    <s v="F"/>
    <x v="23"/>
    <x v="143"/>
    <n v="3"/>
    <x v="153"/>
    <s v="CAD 32.19"/>
    <x v="1"/>
    <x v="0"/>
    <x v="1"/>
    <x v="23"/>
    <x v="0"/>
    <s v="QC - Laval"/>
    <x v="2"/>
    <n v="53.52"/>
    <n v="32.19"/>
  </r>
  <r>
    <s v="TXN-2024-000310"/>
    <s v="Cust-0125"/>
    <x v="28"/>
    <x v="0"/>
    <s v="FEMALE"/>
    <x v="37"/>
    <x v="144"/>
    <n v="2"/>
    <x v="154"/>
    <n v="10.25"/>
    <x v="1"/>
    <x v="28"/>
    <x v="1"/>
    <x v="36"/>
    <x v="0"/>
    <s v="Quebec - Sherbrooke"/>
    <x v="2"/>
    <n v="18.96"/>
    <n v="10.25"/>
  </r>
  <r>
    <s v="TXN-2023-000698"/>
    <s v="CUST-0205"/>
    <x v="149"/>
    <x v="1"/>
    <s v="male"/>
    <x v="3"/>
    <x v="145"/>
    <n v="1"/>
    <x v="155"/>
    <n v="10.41"/>
    <x v="0"/>
    <x v="140"/>
    <x v="2"/>
    <x v="3"/>
    <x v="3"/>
    <s v="Brandon-Manitob"/>
    <x v="5"/>
    <n v="23.59"/>
    <n v="10.41"/>
  </r>
  <r>
    <s v="TXN-2024-000061"/>
    <s v="CUST-0108"/>
    <x v="39"/>
    <x v="4"/>
    <s v="male"/>
    <x v="63"/>
    <x v="146"/>
    <n v="1"/>
    <x v="156"/>
    <n v="3.81"/>
    <x v="0"/>
    <x v="39"/>
    <x v="2"/>
    <x v="60"/>
    <x v="0"/>
    <s v="Hamilton  ONTARIO"/>
    <x v="1"/>
    <n v="14.22"/>
    <n v="3.81"/>
  </r>
  <r>
    <s v="TXN-2023-000885"/>
    <s v="CUST-0100"/>
    <x v="150"/>
    <x v="0"/>
    <s v="M"/>
    <x v="20"/>
    <x v="147"/>
    <n v="3"/>
    <x v="157"/>
    <n v="5.64"/>
    <x v="0"/>
    <x v="141"/>
    <x v="2"/>
    <x v="20"/>
    <x v="4"/>
    <s v="Ontario - Vaughan"/>
    <x v="1"/>
    <n v="11.59"/>
    <n v="5.64"/>
  </r>
  <r>
    <s v="TXN-2023-000596"/>
    <s v="CUST-0020"/>
    <x v="151"/>
    <x v="2"/>
    <s v="male"/>
    <x v="47"/>
    <x v="148"/>
    <n v="2"/>
    <x v="158"/>
    <n v="24.97"/>
    <x v="1"/>
    <x v="142"/>
    <x v="2"/>
    <x v="46"/>
    <x v="2"/>
    <s v="Longueuil-Quebec"/>
    <x v="2"/>
    <n v="92.74"/>
    <n v="24.97"/>
  </r>
  <r>
    <s v="TXN-2023-000768"/>
    <s v="CUST-0146"/>
    <x v="152"/>
    <x v="3"/>
    <s v="F"/>
    <x v="51"/>
    <x v="149"/>
    <n v="1"/>
    <x v="43"/>
    <s v="N/A"/>
    <x v="1"/>
    <x v="143"/>
    <x v="1"/>
    <x v="49"/>
    <x v="2"/>
    <s v="Quebec - Laval"/>
    <x v="2"/>
    <m/>
    <m/>
  </r>
  <r>
    <s v="TXN-2024-000650"/>
    <s v="CUST-0241"/>
    <x v="153"/>
    <x v="4"/>
    <s v="male"/>
    <x v="48"/>
    <x v="150"/>
    <n v="2"/>
    <x v="159"/>
    <s v="CAD 4.05"/>
    <x v="1"/>
    <x v="139"/>
    <x v="2"/>
    <x v="1"/>
    <x v="1"/>
    <s v="Red Deer, Alberta"/>
    <x v="0"/>
    <n v="11.07"/>
    <n v="4.05"/>
  </r>
  <r>
    <s v="TXN-2024-000651"/>
    <s v="CUST-0306"/>
    <x v="154"/>
    <x v="4"/>
    <s v="male"/>
    <x v="49"/>
    <x v="151"/>
    <n v="2"/>
    <x v="160"/>
    <n v="3.98"/>
    <x v="1"/>
    <x v="144"/>
    <x v="2"/>
    <x v="47"/>
    <x v="0"/>
    <s v="Gatineau,qc"/>
    <x v="2"/>
    <n v="11.27"/>
    <n v="3.98"/>
  </r>
  <r>
    <s v="TXN-2023-000866"/>
    <s v="CUST-0165"/>
    <x v="12"/>
    <x v="3"/>
    <s v="male"/>
    <x v="41"/>
    <x v="152"/>
    <n v="1"/>
    <x v="161"/>
    <n v="15.79"/>
    <x v="0"/>
    <x v="12"/>
    <x v="2"/>
    <x v="40"/>
    <x v="5"/>
    <s v="Kelowna, British Columbia"/>
    <x v="4"/>
    <n v="34.31"/>
    <n v="15.79"/>
  </r>
  <r>
    <s v="TXN-2024-000669"/>
    <s v="CUST-0099"/>
    <x v="155"/>
    <x v="0"/>
    <s v="male"/>
    <x v="56"/>
    <x v="153"/>
    <n v="1"/>
    <x v="162"/>
    <n v="3.6"/>
    <x v="1"/>
    <x v="145"/>
    <x v="2"/>
    <x v="54"/>
    <x v="5"/>
    <s v="Red Deer-Alberta"/>
    <x v="0"/>
    <n v="9.32"/>
    <n v="3.6"/>
  </r>
  <r>
    <s v="TXN-2023-000299"/>
    <s v="CUST-0315"/>
    <x v="156"/>
    <x v="0"/>
    <s v="male"/>
    <x v="32"/>
    <x v="154"/>
    <n v="2"/>
    <x v="163"/>
    <s v="CAD 13.18"/>
    <x v="1"/>
    <x v="146"/>
    <x v="2"/>
    <x v="32"/>
    <x v="2"/>
    <s v="Montreal QC"/>
    <x v="2"/>
    <n v="29.15"/>
    <n v="13.18"/>
  </r>
  <r>
    <s v="TXN-2024-000690"/>
    <s v="CUST-0071"/>
    <x v="157"/>
    <x v="3"/>
    <s v="male"/>
    <x v="54"/>
    <x v="155"/>
    <n v="1"/>
    <x v="164"/>
    <n v="15.64"/>
    <x v="0"/>
    <x v="125"/>
    <x v="2"/>
    <x v="52"/>
    <x v="0"/>
    <s v="Laval (qc)"/>
    <x v="2"/>
    <n v="34.590000000000003"/>
    <n v="15.64"/>
  </r>
  <r>
    <s v="TXN-2023-000315"/>
    <s v="CUST-0292"/>
    <x v="158"/>
    <x v="0"/>
    <s v="male"/>
    <x v="18"/>
    <x v="156"/>
    <n v="2"/>
    <x v="165"/>
    <n v="4.8099999999999996"/>
    <x v="1"/>
    <x v="147"/>
    <x v="2"/>
    <x v="18"/>
    <x v="0"/>
    <s v="Quebec City  Quebec"/>
    <x v="2"/>
    <n v="10.86"/>
    <n v="4.8099999999999996"/>
  </r>
  <r>
    <s v="TXN-2024-000311"/>
    <s v="CUST-0239"/>
    <x v="159"/>
    <x v="0"/>
    <s v="FEMALE"/>
    <x v="7"/>
    <x v="157"/>
    <n v="2"/>
    <x v="166"/>
    <n v="7.91"/>
    <x v="0"/>
    <x v="148"/>
    <x v="1"/>
    <x v="7"/>
    <x v="0"/>
    <s v="Quebec - Laval"/>
    <x v="2"/>
    <n v="30.39"/>
    <n v="7.91"/>
  </r>
  <r>
    <s v="TXN-2023-000362"/>
    <s v="CUST-0313"/>
    <x v="160"/>
    <x v="0"/>
    <s v="M"/>
    <x v="16"/>
    <x v="158"/>
    <n v="1"/>
    <x v="167"/>
    <n v="5.61"/>
    <x v="0"/>
    <x v="149"/>
    <x v="2"/>
    <x v="16"/>
    <x v="4"/>
    <s v="British Columbia - Victoria"/>
    <x v="4"/>
    <n v="21.57"/>
    <n v="5.61"/>
  </r>
  <r>
    <s v="TXN-2023-000480"/>
    <s v="CUST-0251"/>
    <x v="161"/>
    <x v="4"/>
    <s v="FEMALE"/>
    <x v="4"/>
    <x v="159"/>
    <n v="1"/>
    <x v="168"/>
    <n v="5.16"/>
    <x v="0"/>
    <x v="150"/>
    <x v="1"/>
    <x v="4"/>
    <x v="0"/>
    <s v="BritishColumbia - Surrey"/>
    <x v="4"/>
    <n v="15.18"/>
    <n v="5.16"/>
  </r>
  <r>
    <s v="TXN-2023-000111"/>
    <s v="CUST-0301"/>
    <x v="162"/>
    <x v="2"/>
    <s v="FEMALE"/>
    <x v="0"/>
    <x v="160"/>
    <n v="1"/>
    <x v="169"/>
    <n v="9.39"/>
    <x v="1"/>
    <x v="151"/>
    <x v="1"/>
    <x v="0"/>
    <x v="0"/>
    <s v="Brampton, Ontario"/>
    <x v="1"/>
    <n v="27.77"/>
    <n v="9.39"/>
  </r>
  <r>
    <s v="TXN-2024-000884"/>
    <s v="CUST-0012"/>
    <x v="17"/>
    <x v="3"/>
    <s v="FEMALE"/>
    <x v="16"/>
    <x v="17"/>
    <n v="2"/>
    <x v="17"/>
    <n v="28.76"/>
    <x v="1"/>
    <x v="17"/>
    <x v="1"/>
    <x v="16"/>
    <x v="4"/>
    <s v="Laval Quebec"/>
    <x v="2"/>
    <n v="54.5"/>
    <n v="28.76"/>
  </r>
  <r>
    <s v="TXN-2023-000487"/>
    <s v="CUST-0056"/>
    <x v="39"/>
    <x v="4"/>
    <s v="F"/>
    <x v="19"/>
    <x v="161"/>
    <n v="1"/>
    <x v="170"/>
    <n v="3.76"/>
    <x v="0"/>
    <x v="39"/>
    <x v="1"/>
    <x v="19"/>
    <x v="0"/>
    <s v="Brandon (Manit0ba)"/>
    <x v="5"/>
    <n v="9.1300000000000008"/>
    <n v="3.76"/>
  </r>
  <r>
    <s v="TXN-2023-000364"/>
    <s v="CUST-0157 "/>
    <x v="163"/>
    <x v="3"/>
    <s v="FEMALE"/>
    <x v="6"/>
    <x v="75"/>
    <n v="1"/>
    <x v="171"/>
    <n v="12.82"/>
    <x v="1"/>
    <x v="65"/>
    <x v="1"/>
    <x v="6"/>
    <x v="0"/>
    <s v="Montreal-Quebec"/>
    <x v="2"/>
    <n v="25.47"/>
    <n v="12.82"/>
  </r>
  <r>
    <s v="TXN-2024-000255"/>
    <s v="CUST-0148"/>
    <x v="164"/>
    <x v="2"/>
    <s v="male"/>
    <x v="0"/>
    <x v="162"/>
    <n v="3"/>
    <x v="172"/>
    <n v="19.399999999999999"/>
    <x v="1"/>
    <x v="152"/>
    <x v="2"/>
    <x v="0"/>
    <x v="0"/>
    <s v="London (Ontari)"/>
    <x v="1"/>
    <n v="46.58"/>
    <n v="19.399999999999999"/>
  </r>
  <r>
    <s v="TXN-2024-000260"/>
    <s v="CUST-0273"/>
    <x v="165"/>
    <x v="2"/>
    <s v="FEMALE"/>
    <x v="64"/>
    <x v="163"/>
    <n v="1"/>
    <x v="173"/>
    <n v="17.39"/>
    <x v="0"/>
    <x v="153"/>
    <x v="1"/>
    <x v="61"/>
    <x v="0"/>
    <s v="Victoria, BRITISH COLUMBIA"/>
    <x v="4"/>
    <n v="32.93"/>
    <n v="17.39"/>
  </r>
  <r>
    <s v="TXN-2024-000803"/>
    <s v="CUST-0254"/>
    <x v="166"/>
    <x v="3"/>
    <s v="FEMALE"/>
    <x v="18"/>
    <x v="164"/>
    <n v="2"/>
    <x v="174"/>
    <s v="CAD 21.74"/>
    <x v="0"/>
    <x v="154"/>
    <x v="1"/>
    <x v="18"/>
    <x v="0"/>
    <s v="Victoria  British Columbia"/>
    <x v="4"/>
    <n v="90.23"/>
    <n v="21.74"/>
  </r>
  <r>
    <s v="TXN-2023-000678"/>
    <s v="CUST-0270"/>
    <x v="167"/>
    <x v="0"/>
    <s v="Prefer not to say"/>
    <x v="37"/>
    <x v="165"/>
    <n v="2"/>
    <x v="175"/>
    <n v="7.21"/>
    <x v="0"/>
    <x v="155"/>
    <x v="3"/>
    <x v="36"/>
    <x v="0"/>
    <s v="Sherbrooke qc"/>
    <x v="2"/>
    <n v="20.11"/>
    <n v="7.21"/>
  </r>
  <r>
    <s v="TXN-2023-000495"/>
    <s v="CUST-0238"/>
    <x v="168"/>
    <x v="4"/>
    <s v="F"/>
    <x v="35"/>
    <x v="166"/>
    <n v="2"/>
    <x v="1"/>
    <n v="4.29"/>
    <x v="1"/>
    <x v="156"/>
    <x v="1"/>
    <x v="10"/>
    <x v="4"/>
    <s v="Windsor Ontari"/>
    <x v="1"/>
    <m/>
    <n v="4.29"/>
  </r>
  <r>
    <s v="TXN-2023-000671"/>
    <s v="CUST-0096"/>
    <x v="169"/>
    <x v="2"/>
    <s v="male"/>
    <x v="51"/>
    <x v="167"/>
    <n v="2"/>
    <x v="176"/>
    <s v="CAD 37.47"/>
    <x v="0"/>
    <x v="157"/>
    <x v="2"/>
    <x v="49"/>
    <x v="2"/>
    <s v="Brampton-Ontario"/>
    <x v="1"/>
    <n v="61.81"/>
    <n v="37.47"/>
  </r>
  <r>
    <s v="TXN-2024-000378"/>
    <s v="CUST-0251"/>
    <x v="170"/>
    <x v="0"/>
    <s v="FEMALE"/>
    <x v="50"/>
    <x v="97"/>
    <n v="1"/>
    <x v="177"/>
    <n v="4.38"/>
    <x v="1"/>
    <x v="158"/>
    <x v="1"/>
    <x v="48"/>
    <x v="2"/>
    <s v="Surrey,British Columbia"/>
    <x v="4"/>
    <n v="13.48"/>
    <n v="4.38"/>
  </r>
  <r>
    <s v="TXN-2023-000527"/>
    <s v="CUST-0041"/>
    <x v="171"/>
    <x v="3"/>
    <s v="male"/>
    <x v="18"/>
    <x v="168"/>
    <n v="3"/>
    <x v="178"/>
    <s v=" 81.01 CAD "/>
    <x v="0"/>
    <x v="159"/>
    <x v="2"/>
    <x v="18"/>
    <x v="0"/>
    <s v="Gatineau  QC"/>
    <x v="2"/>
    <n v="139.51"/>
    <n v="81.010000000000005"/>
  </r>
  <r>
    <s v="TXN-2023-000846"/>
    <s v="CUST-0167"/>
    <x v="172"/>
    <x v="2"/>
    <s v="male"/>
    <x v="46"/>
    <x v="169"/>
    <n v="1"/>
    <x v="179"/>
    <n v="11.84"/>
    <x v="0"/>
    <x v="160"/>
    <x v="2"/>
    <x v="45"/>
    <x v="3"/>
    <s v="Victoria bc"/>
    <x v="4"/>
    <n v="20.43"/>
    <n v="11.84"/>
  </r>
  <r>
    <s v="TXN-2024-000138"/>
    <s v="CUST-0152"/>
    <x v="173"/>
    <x v="4"/>
    <s v="male"/>
    <x v="54"/>
    <x v="170"/>
    <n v="2"/>
    <x v="180"/>
    <s v="4,64"/>
    <x v="1"/>
    <x v="161"/>
    <x v="2"/>
    <x v="52"/>
    <x v="0"/>
    <s v="Fredericton, New Brunswick"/>
    <x v="8"/>
    <n v="11.48"/>
    <n v="4.6399999999999997"/>
  </r>
  <r>
    <s v="TXN-2023-000356"/>
    <s v="CUST-0035"/>
    <x v="141"/>
    <x v="4"/>
    <m/>
    <x v="38"/>
    <x v="171"/>
    <n v="1"/>
    <x v="181"/>
    <s v="0,45"/>
    <x v="0"/>
    <x v="134"/>
    <x v="0"/>
    <x v="37"/>
    <x v="3"/>
    <s v="ON - Markham"/>
    <x v="1"/>
    <n v="2.2200000000000002"/>
    <n v="0.45"/>
  </r>
  <r>
    <s v="TXN-2023-000366"/>
    <s v="CUST-0089"/>
    <x v="174"/>
    <x v="2"/>
    <s v="male"/>
    <x v="50"/>
    <x v="172"/>
    <n v="1"/>
    <x v="182"/>
    <s v=" 6.96 CAD "/>
    <x v="1"/>
    <x v="162"/>
    <x v="2"/>
    <x v="48"/>
    <x v="2"/>
    <s v="Richmond-bc"/>
    <x v="4"/>
    <n v="19.809999999999999"/>
    <n v="6.96"/>
  </r>
  <r>
    <s v="TXN-2023-000943"/>
    <s v="CUST-0140"/>
    <x v="175"/>
    <x v="4"/>
    <s v="male"/>
    <x v="24"/>
    <x v="173"/>
    <n v="1"/>
    <x v="183"/>
    <n v="3.17"/>
    <x v="1"/>
    <x v="163"/>
    <x v="2"/>
    <x v="24"/>
    <x v="3"/>
    <s v="Windsor / ONTARIO"/>
    <x v="1"/>
    <n v="10.91"/>
    <n v="3.17"/>
  </r>
  <r>
    <s v="TXN-2023-000750"/>
    <s v="CUST-0171"/>
    <x v="176"/>
    <x v="1"/>
    <s v="male"/>
    <x v="19"/>
    <x v="174"/>
    <n v="3"/>
    <x v="184"/>
    <s v="CAD 10.40"/>
    <x v="0"/>
    <x v="141"/>
    <x v="2"/>
    <x v="19"/>
    <x v="0"/>
    <s v="Sydney / NS"/>
    <x v="6"/>
    <n v="28.19"/>
    <n v="10.4"/>
  </r>
  <r>
    <s v="TXN-2023-000949"/>
    <s v="CUST-0083"/>
    <x v="177"/>
    <x v="4"/>
    <s v="male"/>
    <x v="18"/>
    <x v="175"/>
    <n v="1"/>
    <x v="185"/>
    <s v=" 6.02 CAD "/>
    <x v="0"/>
    <x v="30"/>
    <x v="2"/>
    <x v="18"/>
    <x v="0"/>
    <s v="Burnaby / BRITISH COLUMBIA"/>
    <x v="4"/>
    <n v="13.44"/>
    <n v="6.02"/>
  </r>
  <r>
    <s v="TXN-2023-000830"/>
    <s v="CUST-0024"/>
    <x v="178"/>
    <x v="2"/>
    <s v="N/A"/>
    <x v="56"/>
    <x v="176"/>
    <n v="1"/>
    <x v="186"/>
    <n v="7.34"/>
    <x v="1"/>
    <x v="164"/>
    <x v="0"/>
    <x v="54"/>
    <x v="5"/>
    <s v="Gatineau-QC"/>
    <x v="2"/>
    <n v="15.3"/>
    <n v="7.34"/>
  </r>
  <r>
    <s v="TXN-2023-000657"/>
    <s v="CUST-0005"/>
    <x v="179"/>
    <x v="0"/>
    <s v="FEMALE"/>
    <x v="15"/>
    <x v="177"/>
    <n v="4"/>
    <x v="187"/>
    <n v="12.43"/>
    <x v="1"/>
    <x v="165"/>
    <x v="1"/>
    <x v="15"/>
    <x v="3"/>
    <s v="Mississauga  ON"/>
    <x v="1"/>
    <n v="30.68"/>
    <n v="12.43"/>
  </r>
  <r>
    <s v="TXN-2023-000200"/>
    <s v="CUST-0260"/>
    <x v="180"/>
    <x v="1"/>
    <s v="male"/>
    <x v="54"/>
    <x v="178"/>
    <n v="2"/>
    <x v="188"/>
    <n v="3.68"/>
    <x v="1"/>
    <x v="166"/>
    <x v="2"/>
    <x v="52"/>
    <x v="0"/>
    <s v="Sydney-Nova Scoti"/>
    <x v="6"/>
    <n v="16.23"/>
    <n v="3.68"/>
  </r>
  <r>
    <s v="TXN-2024-000214"/>
    <s v="CUST-0001"/>
    <x v="181"/>
    <x v="0"/>
    <s v="FEMALE"/>
    <x v="7"/>
    <x v="179"/>
    <n v="1"/>
    <x v="189"/>
    <s v="CAD 3.89"/>
    <x v="0"/>
    <x v="93"/>
    <x v="1"/>
    <x v="7"/>
    <x v="0"/>
    <s v="Hamilton on"/>
    <x v="1"/>
    <n v="8.98"/>
    <n v="3.89"/>
  </r>
  <r>
    <s v="TXN-2023-000409"/>
    <s v="CUST-0115"/>
    <x v="182"/>
    <x v="0"/>
    <s v="male"/>
    <x v="9"/>
    <x v="147"/>
    <n v="2"/>
    <x v="190"/>
    <n v="19.21"/>
    <x v="0"/>
    <x v="55"/>
    <x v="2"/>
    <x v="9"/>
    <x v="3"/>
    <s v="Ontario - Vaughan"/>
    <x v="1"/>
    <n v="44.47"/>
    <n v="19.21"/>
  </r>
  <r>
    <s v="TXN-2024-000333"/>
    <s v="CUST-0317"/>
    <x v="183"/>
    <x v="1"/>
    <s v="F"/>
    <x v="35"/>
    <x v="180"/>
    <n v="1"/>
    <x v="191"/>
    <n v="5.61"/>
    <x v="0"/>
    <x v="167"/>
    <x v="1"/>
    <x v="10"/>
    <x v="4"/>
    <s v="Brandon (MB)"/>
    <x v="5"/>
    <n v="10.5"/>
    <n v="5.61"/>
  </r>
  <r>
    <s v="TXN-2023-000209"/>
    <s v="CUST-0172"/>
    <x v="184"/>
    <x v="1"/>
    <s v="F"/>
    <x v="25"/>
    <x v="181"/>
    <n v="1"/>
    <x v="192"/>
    <n v="6.54"/>
    <x v="1"/>
    <x v="124"/>
    <x v="1"/>
    <x v="25"/>
    <x v="3"/>
    <s v="London  Ontario"/>
    <x v="1"/>
    <n v="15.26"/>
    <n v="6.54"/>
  </r>
  <r>
    <s v="TXN-2024-000614"/>
    <s v="CUST-0116"/>
    <x v="185"/>
    <x v="4"/>
    <s v="male"/>
    <x v="47"/>
    <x v="98"/>
    <n v="3"/>
    <x v="193"/>
    <n v="20.5"/>
    <x v="1"/>
    <x v="168"/>
    <x v="2"/>
    <x v="46"/>
    <x v="2"/>
    <s v="Laval, Quebec"/>
    <x v="2"/>
    <n v="58.12"/>
    <n v="20.5"/>
  </r>
  <r>
    <s v="TXN-2023-000079"/>
    <s v="CUST-0241"/>
    <x v="186"/>
    <x v="1"/>
    <s v="F"/>
    <x v="48"/>
    <x v="182"/>
    <n v="1"/>
    <x v="194"/>
    <n v="6.97"/>
    <x v="1"/>
    <x v="169"/>
    <x v="1"/>
    <x v="1"/>
    <x v="1"/>
    <s v="Laval qc"/>
    <x v="2"/>
    <n v="22.63"/>
    <n v="6.97"/>
  </r>
  <r>
    <s v="TXN-2023-000030"/>
    <s v="CUST-0099"/>
    <x v="187"/>
    <x v="3"/>
    <s v="FEMALE"/>
    <x v="59"/>
    <x v="46"/>
    <n v="4"/>
    <x v="195"/>
    <n v="26.87"/>
    <x v="1"/>
    <x v="170"/>
    <x v="1"/>
    <x v="56"/>
    <x v="3"/>
    <s v="Montreal,qc"/>
    <x v="2"/>
    <n v="51.3"/>
    <n v="26.87"/>
  </r>
  <r>
    <s v="TXN-2023-000536"/>
    <s v="CUST-0284"/>
    <x v="188"/>
    <x v="1"/>
    <s v="FEMALE"/>
    <x v="42"/>
    <x v="183"/>
    <n v="1"/>
    <x v="196"/>
    <n v="9.59"/>
    <x v="0"/>
    <x v="171"/>
    <x v="1"/>
    <x v="41"/>
    <x v="4"/>
    <s v="Fredericton-NewBrunswick"/>
    <x v="8"/>
    <n v="21.87"/>
    <n v="9.59"/>
  </r>
  <r>
    <s v="Txn-2023-000696"/>
    <s v="CUST-0305"/>
    <x v="36"/>
    <x v="0"/>
    <s v="U"/>
    <x v="48"/>
    <x v="184"/>
    <n v="3"/>
    <x v="197"/>
    <n v="56.94"/>
    <x v="1"/>
    <x v="36"/>
    <x v="0"/>
    <x v="1"/>
    <x v="1"/>
    <s v="Kitchener,Ontari"/>
    <x v="1"/>
    <n v="109.58"/>
    <n v="56.94"/>
  </r>
  <r>
    <s v="TXN-2024-000558"/>
    <s v="CUST-0108"/>
    <x v="189"/>
    <x v="1"/>
    <s v="male"/>
    <x v="9"/>
    <x v="185"/>
    <n v="1"/>
    <x v="198"/>
    <n v="7.77"/>
    <x v="1"/>
    <x v="172"/>
    <x v="2"/>
    <x v="9"/>
    <x v="3"/>
    <s v="Kelowna British Columbi"/>
    <x v="4"/>
    <n v="14.9"/>
    <n v="7.77"/>
  </r>
  <r>
    <s v="TXN-2024-000837"/>
    <s v="CUST-0092"/>
    <x v="190"/>
    <x v="1"/>
    <s v="FEMALE"/>
    <x v="61"/>
    <x v="186"/>
    <n v="1"/>
    <x v="199"/>
    <n v="3.16"/>
    <x v="1"/>
    <x v="173"/>
    <x v="1"/>
    <x v="58"/>
    <x v="0"/>
    <s v="Toronto  ONTARIO"/>
    <x v="1"/>
    <n v="11.52"/>
    <n v="3.16"/>
  </r>
  <r>
    <s v="TXN-2024-000597"/>
    <s v="CUST-0268"/>
    <x v="191"/>
    <x v="0"/>
    <s v="F"/>
    <x v="28"/>
    <x v="187"/>
    <n v="2"/>
    <x v="200"/>
    <n v="17.18"/>
    <x v="0"/>
    <x v="174"/>
    <x v="1"/>
    <x v="28"/>
    <x v="2"/>
    <s v="Halifax,Nova Scotia"/>
    <x v="6"/>
    <n v="52.23"/>
    <n v="17.18"/>
  </r>
  <r>
    <s v="TXN-2023-000166"/>
    <s v="CUST-0050"/>
    <x v="192"/>
    <x v="0"/>
    <s v="M"/>
    <x v="23"/>
    <x v="15"/>
    <n v="1"/>
    <x v="201"/>
    <n v="9.09"/>
    <x v="0"/>
    <x v="175"/>
    <x v="2"/>
    <x v="23"/>
    <x v="0"/>
    <s v="Ontario - Ottawa"/>
    <x v="1"/>
    <n v="18.12"/>
    <n v="9.09"/>
  </r>
  <r>
    <s v="TXN-2023-000919"/>
    <s v="CUST-0244"/>
    <x v="193"/>
    <x v="1"/>
    <s v="M"/>
    <x v="54"/>
    <x v="188"/>
    <n v="1"/>
    <x v="202"/>
    <n v="8.65"/>
    <x v="0"/>
    <x v="176"/>
    <x v="2"/>
    <x v="52"/>
    <x v="0"/>
    <s v="Edmonton  Alberta"/>
    <x v="0"/>
    <n v="16.64"/>
    <n v="8.65"/>
  </r>
  <r>
    <s v="TXN-2023-000496"/>
    <s v="CUST-0062"/>
    <x v="194"/>
    <x v="2"/>
    <s v="FEMALE"/>
    <x v="11"/>
    <x v="189"/>
    <n v="2"/>
    <x v="203"/>
    <s v="CAD 13.14"/>
    <x v="0"/>
    <x v="177"/>
    <x v="1"/>
    <x v="11"/>
    <x v="5"/>
    <s v="Brampton, ONTARIO"/>
    <x v="1"/>
    <n v="57.34"/>
    <n v="13.14"/>
  </r>
  <r>
    <s v="TXN-2024-000825"/>
    <s v="CUST-0250"/>
    <x v="195"/>
    <x v="4"/>
    <s v="male"/>
    <x v="6"/>
    <x v="139"/>
    <n v="1"/>
    <x v="204"/>
    <n v="4.43"/>
    <x v="1"/>
    <x v="178"/>
    <x v="2"/>
    <x v="6"/>
    <x v="0"/>
    <s v="Ottawa / Ontario"/>
    <x v="1"/>
    <n v="17.739999999999998"/>
    <n v="4.43"/>
  </r>
  <r>
    <s v="TXN-2023-000066"/>
    <s v="CUST-0003"/>
    <x v="196"/>
    <x v="3"/>
    <s v="N/A"/>
    <x v="40"/>
    <x v="190"/>
    <n v="3"/>
    <x v="205"/>
    <s v="53,02"/>
    <x v="1"/>
    <x v="179"/>
    <x v="0"/>
    <x v="39"/>
    <x v="3"/>
    <s v="Edmonton  ab"/>
    <x v="0"/>
    <n v="104.84"/>
    <n v="53.02"/>
  </r>
  <r>
    <s v="TXN-2024-000142"/>
    <s v="CUST-0068"/>
    <x v="197"/>
    <x v="3"/>
    <s v="male"/>
    <x v="12"/>
    <x v="191"/>
    <n v="4"/>
    <x v="206"/>
    <n v="51.53"/>
    <x v="0"/>
    <x v="180"/>
    <x v="2"/>
    <x v="12"/>
    <x v="0"/>
    <s v="Moncton-New Brunswic"/>
    <x v="8"/>
    <n v="133.74"/>
    <n v="51.53"/>
  </r>
  <r>
    <s v="TXN-2024-000926"/>
    <s v="CUST-0079"/>
    <x v="198"/>
    <x v="4"/>
    <s v="F"/>
    <x v="63"/>
    <x v="192"/>
    <n v="1"/>
    <x v="207"/>
    <s v=" 2.90 CAD "/>
    <x v="0"/>
    <x v="181"/>
    <x v="1"/>
    <x v="60"/>
    <x v="0"/>
    <s v="Victoria British Columbi"/>
    <x v="4"/>
    <n v="7.62"/>
    <n v="2.9"/>
  </r>
  <r>
    <s v="TXN-2023-000828"/>
    <s v="CUST-0208"/>
    <x v="199"/>
    <x v="1"/>
    <s v="U"/>
    <x v="54"/>
    <x v="193"/>
    <n v="1"/>
    <x v="208"/>
    <s v=" 9.37 CAD "/>
    <x v="1"/>
    <x v="182"/>
    <x v="0"/>
    <x v="52"/>
    <x v="0"/>
    <s v="Laval-Quebec"/>
    <x v="2"/>
    <n v="23.7"/>
    <n v="9.3699999999999992"/>
  </r>
  <r>
    <s v="TXN-2024-000656"/>
    <s v="CUST-0026"/>
    <x v="200"/>
    <x v="3"/>
    <s v="F"/>
    <x v="56"/>
    <x v="63"/>
    <n v="1"/>
    <x v="209"/>
    <n v="23.3"/>
    <x v="1"/>
    <x v="92"/>
    <x v="1"/>
    <x v="54"/>
    <x v="5"/>
    <s v="Toronto (Ontario)"/>
    <x v="1"/>
    <n v="54.64"/>
    <n v="23.3"/>
  </r>
  <r>
    <s v="TXN-2023-000332"/>
    <s v="CUST-0117"/>
    <x v="125"/>
    <x v="0"/>
    <s v="FEMALE"/>
    <x v="44"/>
    <x v="194"/>
    <n v="1"/>
    <x v="210"/>
    <n v="7.53"/>
    <x v="0"/>
    <x v="120"/>
    <x v="1"/>
    <x v="43"/>
    <x v="3"/>
    <s v="Markham-ONTARIO"/>
    <x v="1"/>
    <n v="17.28"/>
    <n v="7.53"/>
  </r>
  <r>
    <s v="TXN-2024-000665"/>
    <s v="CUST-0086"/>
    <x v="201"/>
    <x v="1"/>
    <m/>
    <x v="4"/>
    <x v="133"/>
    <n v="1"/>
    <x v="211"/>
    <n v="17.63"/>
    <x v="0"/>
    <x v="148"/>
    <x v="0"/>
    <x v="4"/>
    <x v="0"/>
    <s v="Laval / QUEBEC"/>
    <x v="2"/>
    <n v="36.65"/>
    <n v="17.63"/>
  </r>
  <r>
    <s v="TXN-2024-000250"/>
    <s v="CUST-0161"/>
    <x v="202"/>
    <x v="2"/>
    <s v="FEMALE"/>
    <x v="65"/>
    <x v="181"/>
    <n v="1"/>
    <x v="212"/>
    <n v="8.33"/>
    <x v="1"/>
    <x v="183"/>
    <x v="1"/>
    <x v="30"/>
    <x v="2"/>
    <s v="London  Ontario"/>
    <x v="1"/>
    <n v="19.29"/>
    <n v="8.33"/>
  </r>
  <r>
    <s v="TXN-2024-000908"/>
    <s v="CUST-0056"/>
    <x v="203"/>
    <x v="3"/>
    <m/>
    <x v="3"/>
    <x v="195"/>
    <n v="3"/>
    <x v="213"/>
    <n v="70.08"/>
    <x v="1"/>
    <x v="184"/>
    <x v="0"/>
    <x v="3"/>
    <x v="3"/>
    <s v="Toronto ONTARIO"/>
    <x v="1"/>
    <n v="186.48"/>
    <n v="70.08"/>
  </r>
  <r>
    <s v="TXN-2023-000709"/>
    <s v="CUST-0185"/>
    <x v="204"/>
    <x v="4"/>
    <s v="FEMALE"/>
    <x v="45"/>
    <x v="196"/>
    <n v="1"/>
    <x v="214"/>
    <n v="3.28"/>
    <x v="1"/>
    <x v="185"/>
    <x v="1"/>
    <x v="44"/>
    <x v="5"/>
    <s v="Kelowna,British Columbi"/>
    <x v="4"/>
    <n v="11.78"/>
    <n v="3.28"/>
  </r>
  <r>
    <s v="TXN-2024-000306"/>
    <s v="CUST-0288"/>
    <x v="205"/>
    <x v="1"/>
    <s v="male"/>
    <x v="66"/>
    <x v="197"/>
    <n v="1"/>
    <x v="215"/>
    <n v="10.119999999999999"/>
    <x v="0"/>
    <x v="148"/>
    <x v="2"/>
    <x v="62"/>
    <x v="4"/>
    <s v="Richmond / BRITISH COLUMBIA"/>
    <x v="4"/>
    <n v="32.99"/>
    <n v="10.119999999999999"/>
  </r>
  <r>
    <s v="TXN-2024-000735"/>
    <s v="CUST-0172"/>
    <x v="206"/>
    <x v="3"/>
    <s v="male"/>
    <x v="13"/>
    <x v="198"/>
    <n v="1"/>
    <x v="216"/>
    <s v="CAD 14.10"/>
    <x v="1"/>
    <x v="186"/>
    <x v="2"/>
    <x v="13"/>
    <x v="0"/>
    <s v="Toronto, on"/>
    <x v="1"/>
    <n v="37"/>
    <n v="14.1"/>
  </r>
  <r>
    <s v="TXN-2024-000091"/>
    <s v="Cust-0265"/>
    <x v="207"/>
    <x v="1"/>
    <s v="FEMALE"/>
    <x v="19"/>
    <x v="25"/>
    <n v="2"/>
    <x v="217"/>
    <s v="CAD 14.81"/>
    <x v="1"/>
    <x v="187"/>
    <x v="1"/>
    <x v="19"/>
    <x v="0"/>
    <s v="Longueuil,Quebec"/>
    <x v="2"/>
    <n v="40.4"/>
    <n v="14.81"/>
  </r>
  <r>
    <s v="TXN-2023-000050"/>
    <s v="CUST-0013"/>
    <x v="208"/>
    <x v="0"/>
    <s v="male"/>
    <x v="64"/>
    <x v="199"/>
    <n v="1"/>
    <x v="218"/>
    <n v="7.62"/>
    <x v="1"/>
    <x v="188"/>
    <x v="2"/>
    <x v="61"/>
    <x v="0"/>
    <s v="Quebec City,Quebe"/>
    <x v="2"/>
    <n v="17.18"/>
    <n v="7.62"/>
  </r>
  <r>
    <s v="TXN-2023-000897"/>
    <s v="CUST-0298"/>
    <x v="209"/>
    <x v="3"/>
    <s v="FEMALE"/>
    <x v="15"/>
    <x v="193"/>
    <n v="4"/>
    <x v="219"/>
    <n v="21.25"/>
    <x v="1"/>
    <x v="189"/>
    <x v="1"/>
    <x v="15"/>
    <x v="3"/>
    <s v="Laval-QUEBEC"/>
    <x v="2"/>
    <n v="50.59"/>
    <n v="21.25"/>
  </r>
  <r>
    <s v="TXN-2023-000003"/>
    <s v="CUST-0309"/>
    <x v="210"/>
    <x v="2"/>
    <s v="FEMALE"/>
    <x v="23"/>
    <x v="141"/>
    <n v="1"/>
    <x v="220"/>
    <s v=" 3.61 CAD "/>
    <x v="1"/>
    <x v="190"/>
    <x v="1"/>
    <x v="23"/>
    <x v="0"/>
    <s v="Quebec City,Quebec"/>
    <x v="2"/>
    <n v="10.55"/>
    <n v="3.61"/>
  </r>
  <r>
    <s v="TXN-2024-000545"/>
    <s v="CUST-0200"/>
    <x v="211"/>
    <x v="2"/>
    <s v="FEMALE"/>
    <x v="28"/>
    <x v="170"/>
    <n v="3"/>
    <x v="221"/>
    <n v="34.67"/>
    <x v="1"/>
    <x v="125"/>
    <x v="1"/>
    <x v="28"/>
    <x v="2"/>
    <s v="Fredericton, New Brunswick"/>
    <x v="8"/>
    <n v="94.09"/>
    <n v="34.67"/>
  </r>
  <r>
    <s v="TXN-2023-000351"/>
    <s v="CUST-0314"/>
    <x v="212"/>
    <x v="3"/>
    <s v="U"/>
    <x v="66"/>
    <x v="200"/>
    <n v="1"/>
    <x v="222"/>
    <n v="6.5"/>
    <x v="1"/>
    <x v="123"/>
    <x v="0"/>
    <x v="62"/>
    <x v="4"/>
    <s v="Ontari - London"/>
    <x v="1"/>
    <n v="12.84"/>
    <n v="6.5"/>
  </r>
  <r>
    <s v="TXN-2024-000905"/>
    <s v="CUST-0176"/>
    <x v="213"/>
    <x v="2"/>
    <s v="FEMALE"/>
    <x v="61"/>
    <x v="201"/>
    <n v="1"/>
    <x v="223"/>
    <n v="5.84"/>
    <x v="1"/>
    <x v="191"/>
    <x v="1"/>
    <x v="58"/>
    <x v="0"/>
    <s v="Victoria BC"/>
    <x v="4"/>
    <n v="16.75"/>
    <n v="5.84"/>
  </r>
  <r>
    <s v="TXN-2024-000537"/>
    <s v="CUST-0066"/>
    <x v="214"/>
    <x v="3"/>
    <s v="male"/>
    <x v="57"/>
    <x v="173"/>
    <n v="2"/>
    <x v="224"/>
    <n v="31.1"/>
    <x v="1"/>
    <x v="192"/>
    <x v="2"/>
    <x v="1"/>
    <x v="1"/>
    <s v="Windsor / ONTARIO"/>
    <x v="1"/>
    <n v="70.75"/>
    <n v="31.1"/>
  </r>
  <r>
    <s v="TXN-2023-000345"/>
    <s v="CUST-0167"/>
    <x v="215"/>
    <x v="3"/>
    <s v="male"/>
    <x v="59"/>
    <x v="202"/>
    <n v="3"/>
    <x v="225"/>
    <n v="32.840000000000003"/>
    <x v="0"/>
    <x v="34"/>
    <x v="2"/>
    <x v="56"/>
    <x v="3"/>
    <s v="Windsor Ontario"/>
    <x v="1"/>
    <n v="92.73"/>
    <n v="32.840000000000003"/>
  </r>
  <r>
    <s v="TXN-2024-000869"/>
    <s v="cust-0148"/>
    <x v="216"/>
    <x v="3"/>
    <s v="MALE "/>
    <x v="62"/>
    <x v="203"/>
    <n v="2"/>
    <x v="226"/>
    <n v="12.68"/>
    <x v="1"/>
    <x v="193"/>
    <x v="2"/>
    <x v="59"/>
    <x v="3"/>
    <s v="Lethbridge Alberta"/>
    <x v="0"/>
    <n v="31.71"/>
    <n v="12.68"/>
  </r>
  <r>
    <s v="TXN-2024-000482"/>
    <s v="CUST-0110"/>
    <x v="112"/>
    <x v="2"/>
    <s v="male"/>
    <x v="18"/>
    <x v="204"/>
    <n v="2"/>
    <x v="227"/>
    <n v="22.91"/>
    <x v="1"/>
    <x v="109"/>
    <x v="2"/>
    <x v="18"/>
    <x v="0"/>
    <s v="Mississauga / Ontario"/>
    <x v="1"/>
    <n v="77.239999999999995"/>
    <n v="22.91"/>
  </r>
  <r>
    <s v="TXN-2024-000576"/>
    <s v="CUST-0042 "/>
    <x v="217"/>
    <x v="2"/>
    <s v="male"/>
    <x v="61"/>
    <x v="93"/>
    <n v="1"/>
    <x v="228"/>
    <n v="5.0599999999999996"/>
    <x v="0"/>
    <x v="194"/>
    <x v="2"/>
    <x v="58"/>
    <x v="0"/>
    <s v="Quebec City Quebec"/>
    <x v="2"/>
    <n v="8.6"/>
    <n v="5.0599999999999996"/>
  </r>
  <r>
    <s v="TXN-2024-000034"/>
    <s v="Cust-0147"/>
    <x v="218"/>
    <x v="0"/>
    <s v="FEMALE"/>
    <x v="18"/>
    <x v="205"/>
    <n v="1"/>
    <x v="229"/>
    <n v="6.74"/>
    <x v="0"/>
    <x v="195"/>
    <x v="1"/>
    <x v="18"/>
    <x v="0"/>
    <s v="Laval / qc"/>
    <x v="2"/>
    <n v="14.64"/>
    <n v="6.74"/>
  </r>
  <r>
    <s v="TXN-2024-000032"/>
    <s v="CUST-0008"/>
    <x v="219"/>
    <x v="2"/>
    <s v="N/A"/>
    <x v="13"/>
    <x v="206"/>
    <n v="1"/>
    <x v="230"/>
    <n v="6.03"/>
    <x v="1"/>
    <x v="196"/>
    <x v="0"/>
    <x v="13"/>
    <x v="0"/>
    <s v="Vancouver  BRITISH COLUMBIA"/>
    <x v="4"/>
    <n v="9.65"/>
    <n v="6.03"/>
  </r>
  <r>
    <s v="TXN-2023-000232"/>
    <s v="CUST-0063"/>
    <x v="220"/>
    <x v="3"/>
    <s v="male"/>
    <x v="12"/>
    <x v="207"/>
    <n v="1"/>
    <x v="231"/>
    <n v="8.0399999999999991"/>
    <x v="1"/>
    <x v="190"/>
    <x v="2"/>
    <x v="12"/>
    <x v="0"/>
    <s v="Markham  on"/>
    <x v="1"/>
    <n v="20.99"/>
    <n v="8.0399999999999991"/>
  </r>
  <r>
    <s v="TXN-2023-000874"/>
    <s v="CUST-0134 "/>
    <x v="221"/>
    <x v="3"/>
    <s v="U"/>
    <x v="48"/>
    <x v="208"/>
    <n v="1"/>
    <x v="232"/>
    <n v="10.91"/>
    <x v="1"/>
    <x v="197"/>
    <x v="0"/>
    <x v="1"/>
    <x v="1"/>
    <s v="Burnaby, British Columbia"/>
    <x v="4"/>
    <n v="20.09"/>
    <n v="10.91"/>
  </r>
  <r>
    <s v="TXN-2023-000193"/>
    <s v="CUST-0089"/>
    <x v="222"/>
    <x v="2"/>
    <s v="U"/>
    <x v="53"/>
    <x v="209"/>
    <n v="1"/>
    <x v="233"/>
    <n v="4.9800000000000004"/>
    <x v="1"/>
    <x v="198"/>
    <x v="0"/>
    <x v="51"/>
    <x v="3"/>
    <s v="Ottawa-ONTARIO"/>
    <x v="1"/>
    <n v="10.63"/>
    <n v="4.9800000000000004"/>
  </r>
  <r>
    <s v="TXN-2023-000334"/>
    <s v="CUST-0079"/>
    <x v="223"/>
    <x v="0"/>
    <s v="FEMALE"/>
    <x v="56"/>
    <x v="210"/>
    <n v="1"/>
    <x v="234"/>
    <n v="8.6999999999999993"/>
    <x v="0"/>
    <x v="182"/>
    <x v="1"/>
    <x v="54"/>
    <x v="5"/>
    <s v="Quebec City QC"/>
    <x v="2"/>
    <n v="14.69"/>
    <n v="8.6999999999999993"/>
  </r>
  <r>
    <s v="TXN-2024-000004"/>
    <s v="CUST-0302"/>
    <x v="224"/>
    <x v="0"/>
    <s v="male"/>
    <x v="59"/>
    <x v="141"/>
    <n v="1"/>
    <x v="235"/>
    <s v="CAD 22.16"/>
    <x v="0"/>
    <x v="199"/>
    <x v="2"/>
    <x v="56"/>
    <x v="3"/>
    <s v="Quebec City,Quebec"/>
    <x v="2"/>
    <n v="41.13"/>
    <n v="22.16"/>
  </r>
  <r>
    <s v="TXN-2024-000205"/>
    <s v="CUST-0247"/>
    <x v="225"/>
    <x v="1"/>
    <s v="M"/>
    <x v="20"/>
    <x v="211"/>
    <n v="2"/>
    <x v="236"/>
    <n v="8.44"/>
    <x v="0"/>
    <x v="200"/>
    <x v="2"/>
    <x v="20"/>
    <x v="4"/>
    <s v="Sydney Nova Scotia"/>
    <x v="6"/>
    <n v="21.2"/>
    <n v="8.44"/>
  </r>
  <r>
    <s v="TXN-2024-000515"/>
    <s v="CUST-0234"/>
    <x v="226"/>
    <x v="3"/>
    <s v="male"/>
    <x v="33"/>
    <x v="179"/>
    <n v="2"/>
    <x v="47"/>
    <n v="67.349999999999994"/>
    <x v="0"/>
    <x v="201"/>
    <x v="2"/>
    <x v="33"/>
    <x v="0"/>
    <s v="Hamilton ON"/>
    <x v="1"/>
    <m/>
    <n v="67.349999999999994"/>
  </r>
  <r>
    <s v="TXN-2023-000800"/>
    <s v="CUST-0316"/>
    <x v="227"/>
    <x v="3"/>
    <s v="Prefer not to say"/>
    <x v="36"/>
    <x v="179"/>
    <n v="1"/>
    <x v="237"/>
    <s v=" 21.10 CAD "/>
    <x v="0"/>
    <x v="202"/>
    <x v="3"/>
    <x v="35"/>
    <x v="3"/>
    <s v="Hamilton ON"/>
    <x v="1"/>
    <n v="42.48"/>
    <n v="21.1"/>
  </r>
  <r>
    <s v="TXN-2024-000307"/>
    <s v="CUST-0170"/>
    <x v="228"/>
    <x v="3"/>
    <s v="male"/>
    <x v="17"/>
    <x v="66"/>
    <n v="2"/>
    <x v="238"/>
    <n v="26.48"/>
    <x v="1"/>
    <x v="118"/>
    <x v="2"/>
    <x v="17"/>
    <x v="4"/>
    <s v="Hamilton / ON"/>
    <x v="1"/>
    <n v="63.93"/>
    <n v="26.48"/>
  </r>
  <r>
    <s v="TXN-2024-000110"/>
    <s v="CUST-0222"/>
    <x v="229"/>
    <x v="1"/>
    <s v="FEMALE"/>
    <x v="58"/>
    <x v="212"/>
    <n v="1"/>
    <x v="239"/>
    <s v="CAD 1.93"/>
    <x v="0"/>
    <x v="203"/>
    <x v="1"/>
    <x v="55"/>
    <x v="0"/>
    <s v="Windsor ON"/>
    <x v="1"/>
    <n v="5.09"/>
    <n v="1.93"/>
  </r>
  <r>
    <s v="TXN-2023-000431"/>
    <s v="CUST-0110"/>
    <x v="230"/>
    <x v="4"/>
    <s v="Prefer not to say"/>
    <x v="28"/>
    <x v="122"/>
    <n v="2"/>
    <x v="240"/>
    <n v="9.3800000000000008"/>
    <x v="1"/>
    <x v="204"/>
    <x v="3"/>
    <x v="28"/>
    <x v="2"/>
    <s v="Mississauga-ONTARIO"/>
    <x v="1"/>
    <n v="25.83"/>
    <n v="9.3800000000000008"/>
  </r>
  <r>
    <s v="TXN-2023-000078"/>
    <s v="CUST-0168"/>
    <x v="231"/>
    <x v="0"/>
    <s v="Prefer not to say"/>
    <x v="56"/>
    <x v="213"/>
    <n v="1"/>
    <x v="241"/>
    <n v="7.72"/>
    <x v="0"/>
    <x v="205"/>
    <x v="3"/>
    <x v="54"/>
    <x v="5"/>
    <s v="Saskatoon,Saskatchewa"/>
    <x v="3"/>
    <n v="15.51"/>
    <n v="7.72"/>
  </r>
  <r>
    <s v="TXN-2024-000085"/>
    <s v="CUST-0260"/>
    <x v="232"/>
    <x v="1"/>
    <s v="FEMALE"/>
    <x v="3"/>
    <x v="214"/>
    <n v="2"/>
    <x v="242"/>
    <n v="2.72"/>
    <x v="0"/>
    <x v="206"/>
    <x v="1"/>
    <x v="3"/>
    <x v="3"/>
    <s v="London  Ontari"/>
    <x v="1"/>
    <n v="9.84"/>
    <n v="2.72"/>
  </r>
  <r>
    <s v="TXN-2023-000287"/>
    <s v="CUST-0233"/>
    <x v="233"/>
    <x v="3"/>
    <s v="male"/>
    <x v="6"/>
    <x v="215"/>
    <n v="2"/>
    <x v="243"/>
    <n v="48.27"/>
    <x v="0"/>
    <x v="207"/>
    <x v="2"/>
    <x v="6"/>
    <x v="0"/>
    <s v="Saint John / New Brunswic"/>
    <x v="8"/>
    <n v="85.47"/>
    <n v="48.27"/>
  </r>
  <r>
    <s v="TXN-2024-000083"/>
    <s v="CUST-0193"/>
    <x v="234"/>
    <x v="2"/>
    <s v="N/A"/>
    <x v="46"/>
    <x v="66"/>
    <n v="2"/>
    <x v="244"/>
    <n v="28.56"/>
    <x v="0"/>
    <x v="20"/>
    <x v="0"/>
    <x v="45"/>
    <x v="3"/>
    <s v="Hamilton / ON"/>
    <x v="1"/>
    <n v="62.57"/>
    <n v="28.56"/>
  </r>
  <r>
    <s v="TXN-2023-000419"/>
    <s v="cust-0291"/>
    <x v="235"/>
    <x v="2"/>
    <s v="MALE "/>
    <x v="27"/>
    <x v="216"/>
    <n v="1"/>
    <x v="245"/>
    <n v="8.5"/>
    <x v="1"/>
    <x v="208"/>
    <x v="2"/>
    <x v="27"/>
    <x v="0"/>
    <s v="Montreal (qc)"/>
    <x v="2"/>
    <n v="25.71"/>
    <n v="8.5"/>
  </r>
  <r>
    <s v="TXN-2023-000790"/>
    <s v="CUST-0218"/>
    <x v="236"/>
    <x v="2"/>
    <s v="FEMALE"/>
    <x v="34"/>
    <x v="125"/>
    <n v="1"/>
    <x v="246"/>
    <s v="N/A"/>
    <x v="1"/>
    <x v="209"/>
    <x v="1"/>
    <x v="34"/>
    <x v="0"/>
    <s v="Markham  Ontario"/>
    <x v="1"/>
    <n v="8.94"/>
    <m/>
  </r>
  <r>
    <s v="TXN-2023-000895"/>
    <s v="CUST-0142"/>
    <x v="237"/>
    <x v="1"/>
    <s v="male"/>
    <x v="67"/>
    <x v="217"/>
    <n v="1"/>
    <x v="247"/>
    <s v="11,07"/>
    <x v="0"/>
    <x v="210"/>
    <x v="2"/>
    <x v="63"/>
    <x v="0"/>
    <s v="Toronto  Ontario"/>
    <x v="1"/>
    <n v="26.59"/>
    <n v="11.07"/>
  </r>
  <r>
    <s v="TXN-2023-000399"/>
    <s v="CUST-0276"/>
    <x v="39"/>
    <x v="2"/>
    <s v="FEMALE"/>
    <x v="26"/>
    <x v="218"/>
    <n v="2"/>
    <x v="248"/>
    <s v="CAD 14.12"/>
    <x v="1"/>
    <x v="39"/>
    <x v="1"/>
    <x v="26"/>
    <x v="3"/>
    <s v="Ottawa (ON)"/>
    <x v="1"/>
    <n v="28.4"/>
    <n v="14.12"/>
  </r>
  <r>
    <s v="TXN-2023-000324"/>
    <s v="CUST-0017"/>
    <x v="238"/>
    <x v="1"/>
    <s v="U"/>
    <x v="24"/>
    <x v="45"/>
    <n v="-1"/>
    <x v="249"/>
    <n v="-6.83"/>
    <x v="1"/>
    <x v="211"/>
    <x v="0"/>
    <x v="24"/>
    <x v="3"/>
    <s v="Red Deer  ALBERTA"/>
    <x v="0"/>
    <n v="-18.12"/>
    <n v="-6.83"/>
  </r>
  <r>
    <s v="TXN-2023-000520"/>
    <s v="CUST-0082"/>
    <x v="239"/>
    <x v="1"/>
    <s v="FEMALE"/>
    <x v="17"/>
    <x v="219"/>
    <n v="1"/>
    <x v="167"/>
    <n v="10.46"/>
    <x v="1"/>
    <x v="212"/>
    <x v="1"/>
    <x v="17"/>
    <x v="4"/>
    <s v="Kelowna  British Columbi"/>
    <x v="4"/>
    <n v="21.57"/>
    <n v="10.46"/>
  </r>
  <r>
    <s v="TXN-2023-000917"/>
    <s v="CUST-0021"/>
    <x v="240"/>
    <x v="2"/>
    <s v="male"/>
    <x v="32"/>
    <x v="220"/>
    <n v="2"/>
    <x v="250"/>
    <s v="N/A"/>
    <x v="1"/>
    <x v="213"/>
    <x v="2"/>
    <x v="32"/>
    <x v="2"/>
    <s v="Hamilton,ON"/>
    <x v="1"/>
    <n v="58.56"/>
    <m/>
  </r>
  <r>
    <s v="TXN-2024-000923"/>
    <s v="CUST-0244"/>
    <x v="241"/>
    <x v="4"/>
    <s v="FEMALE"/>
    <x v="34"/>
    <x v="221"/>
    <n v="1"/>
    <x v="251"/>
    <s v="CAD 0.76"/>
    <x v="0"/>
    <x v="214"/>
    <x v="1"/>
    <x v="34"/>
    <x v="0"/>
    <s v="Lethbridge  ab"/>
    <x v="0"/>
    <n v="2.2999999999999998"/>
    <n v="0.76"/>
  </r>
  <r>
    <s v="TXN-2024-000006"/>
    <s v="CUST-0177"/>
    <x v="95"/>
    <x v="4"/>
    <s v="FEMALE"/>
    <x v="34"/>
    <x v="222"/>
    <n v="1"/>
    <x v="252"/>
    <n v="2.67"/>
    <x v="0"/>
    <x v="93"/>
    <x v="1"/>
    <x v="34"/>
    <x v="0"/>
    <s v="Winnipeg Manitoba"/>
    <x v="5"/>
    <n v="5.35"/>
    <n v="2.67"/>
  </r>
  <r>
    <s v="TXN-2024-000732"/>
    <s v="CUST-0166"/>
    <x v="242"/>
    <x v="0"/>
    <s v="FEMALE"/>
    <x v="11"/>
    <x v="96"/>
    <n v="1"/>
    <x v="253"/>
    <n v="2.77"/>
    <x v="0"/>
    <x v="215"/>
    <x v="1"/>
    <x v="11"/>
    <x v="5"/>
    <s v="Kitchener / ONTARIO"/>
    <x v="1"/>
    <n v="7.7"/>
    <n v="2.77"/>
  </r>
  <r>
    <s v="TXN-2024-000466"/>
    <s v="CUST-0293"/>
    <x v="243"/>
    <x v="2"/>
    <s v="male"/>
    <x v="30"/>
    <x v="223"/>
    <n v="2"/>
    <x v="254"/>
    <n v="40.78"/>
    <x v="1"/>
    <x v="216"/>
    <x v="2"/>
    <x v="30"/>
    <x v="2"/>
    <s v="Toronto / on"/>
    <x v="1"/>
    <n v="93.45"/>
    <n v="40.78"/>
  </r>
  <r>
    <s v="TXN-2024-000098"/>
    <s v="CUST-0065"/>
    <x v="244"/>
    <x v="2"/>
    <s v="F"/>
    <x v="49"/>
    <x v="224"/>
    <n v="2"/>
    <x v="85"/>
    <n v="6.81"/>
    <x v="0"/>
    <x v="217"/>
    <x v="1"/>
    <x v="47"/>
    <x v="0"/>
    <s v="Sherbrooke (Quebec)"/>
    <x v="2"/>
    <n v="25.04"/>
    <n v="6.81"/>
  </r>
  <r>
    <s v="TXN-2023-000267"/>
    <s v="CUST-0176"/>
    <x v="245"/>
    <x v="2"/>
    <s v="male"/>
    <x v="53"/>
    <x v="125"/>
    <n v="2"/>
    <x v="255"/>
    <s v="28,18"/>
    <x v="0"/>
    <x v="218"/>
    <x v="2"/>
    <x v="51"/>
    <x v="3"/>
    <s v="Markham  Ontario"/>
    <x v="1"/>
    <n v="53.69"/>
    <n v="28.18"/>
  </r>
  <r>
    <s v="TXN-2024-000358"/>
    <s v="CUST-0208"/>
    <x v="246"/>
    <x v="3"/>
    <s v="male"/>
    <x v="24"/>
    <x v="225"/>
    <n v="2"/>
    <x v="256"/>
    <n v="10.06"/>
    <x v="1"/>
    <x v="47"/>
    <x v="2"/>
    <x v="24"/>
    <x v="3"/>
    <s v="Markham, ONTARIO"/>
    <x v="1"/>
    <n v="30.08"/>
    <n v="10.06"/>
  </r>
  <r>
    <s v="TXN-2024-000869"/>
    <s v="CUST-0148"/>
    <x v="216"/>
    <x v="3"/>
    <s v="male"/>
    <x v="62"/>
    <x v="226"/>
    <n v="2"/>
    <x v="226"/>
    <n v="12.68"/>
    <x v="1"/>
    <x v="193"/>
    <x v="2"/>
    <x v="59"/>
    <x v="3"/>
    <s v="Lethbridge Alberta"/>
    <x v="0"/>
    <n v="31.71"/>
    <n v="12.68"/>
  </r>
  <r>
    <s v="TXN-2023-000799"/>
    <s v="CUST-0249 "/>
    <x v="247"/>
    <x v="4"/>
    <s v="F"/>
    <x v="2"/>
    <x v="227"/>
    <n v="1"/>
    <x v="257"/>
    <n v="2.35"/>
    <x v="1"/>
    <x v="219"/>
    <x v="1"/>
    <x v="2"/>
    <x v="2"/>
    <s v="Winnipeg (Manitob)"/>
    <x v="5"/>
    <n v="4.9800000000000004"/>
    <n v="2.35"/>
  </r>
  <r>
    <s v="TXN-2024-000381"/>
    <s v="CUST-0033"/>
    <x v="248"/>
    <x v="4"/>
    <s v="male"/>
    <x v="16"/>
    <x v="228"/>
    <n v="2"/>
    <x v="258"/>
    <n v="8.41"/>
    <x v="0"/>
    <x v="220"/>
    <x v="2"/>
    <x v="16"/>
    <x v="4"/>
    <s v="Sherbrooke / Quebe"/>
    <x v="2"/>
    <n v="22.87"/>
    <n v="8.41"/>
  </r>
  <r>
    <s v="TXN-2024-000632"/>
    <s v="CUST-0121"/>
    <x v="249"/>
    <x v="4"/>
    <s v="N/A"/>
    <x v="64"/>
    <x v="229"/>
    <n v="1"/>
    <x v="259"/>
    <n v="14.03"/>
    <x v="0"/>
    <x v="221"/>
    <x v="0"/>
    <x v="61"/>
    <x v="0"/>
    <s v="Ottawa-on"/>
    <x v="1"/>
    <n v="26.24"/>
    <n v="14.03"/>
  </r>
  <r>
    <s v="TXN-2023-000382"/>
    <s v="CUST-0166"/>
    <x v="250"/>
    <x v="4"/>
    <s v="FEMALE"/>
    <x v="29"/>
    <x v="230"/>
    <n v="1"/>
    <x v="260"/>
    <s v="CAD 2.77"/>
    <x v="0"/>
    <x v="222"/>
    <x v="1"/>
    <x v="29"/>
    <x v="2"/>
    <s v="Gatineau  Quebec"/>
    <x v="2"/>
    <n v="5.53"/>
    <n v="2.77"/>
  </r>
  <r>
    <s v="TXN-2024-000491"/>
    <s v="CUST-0098"/>
    <x v="39"/>
    <x v="2"/>
    <s v="N/A"/>
    <x v="31"/>
    <x v="231"/>
    <n v="1"/>
    <x v="261"/>
    <n v="7.11"/>
    <x v="0"/>
    <x v="39"/>
    <x v="0"/>
    <x v="31"/>
    <x v="2"/>
    <s v="Longueuil  Quebec"/>
    <x v="2"/>
    <n v="17.14"/>
    <n v="7.11"/>
  </r>
  <r>
    <s v="TXN-2023-000119"/>
    <s v="CUST-0008"/>
    <x v="75"/>
    <x v="2"/>
    <s v="FEMALE"/>
    <x v="43"/>
    <x v="232"/>
    <n v="2"/>
    <x v="262"/>
    <s v="CAD 8.43"/>
    <x v="0"/>
    <x v="74"/>
    <x v="1"/>
    <x v="42"/>
    <x v="4"/>
    <s v="Laval Quebe"/>
    <x v="2"/>
    <n v="25.72"/>
    <n v="8.43"/>
  </r>
  <r>
    <s v="TXN-2023-000901"/>
    <s v="CUST-0297"/>
    <x v="251"/>
    <x v="2"/>
    <s v="M"/>
    <x v="51"/>
    <x v="233"/>
    <n v="4"/>
    <x v="263"/>
    <n v="52.43"/>
    <x v="0"/>
    <x v="223"/>
    <x v="2"/>
    <x v="49"/>
    <x v="2"/>
    <s v="St. John's (nl)"/>
    <x v="7"/>
    <n v="134.85"/>
    <n v="52.43"/>
  </r>
  <r>
    <s v="TXN-2024-000251"/>
    <s v="CUST-0255"/>
    <x v="114"/>
    <x v="4"/>
    <s v="FEMALE"/>
    <x v="59"/>
    <x v="111"/>
    <n v="1"/>
    <x v="115"/>
    <n v="1.65"/>
    <x v="1"/>
    <x v="111"/>
    <x v="1"/>
    <x v="56"/>
    <x v="3"/>
    <s v="Gatineau  Qu3b3c"/>
    <x v="2"/>
    <n v="4.4800000000000004"/>
    <n v="1.65"/>
  </r>
  <r>
    <s v="TXN-2024-000524"/>
    <s v="CUST-0247"/>
    <x v="252"/>
    <x v="3"/>
    <s v="FEMALE"/>
    <x v="63"/>
    <x v="234"/>
    <n v="1"/>
    <x v="264"/>
    <n v="8.64"/>
    <x v="0"/>
    <x v="224"/>
    <x v="1"/>
    <x v="60"/>
    <x v="0"/>
    <s v="Kitchener, on"/>
    <x v="1"/>
    <n v="17.57"/>
    <n v="8.64"/>
  </r>
  <r>
    <s v="TXN-2023-000010"/>
    <s v="CUST-0088 "/>
    <x v="253"/>
    <x v="2"/>
    <s v="male"/>
    <x v="45"/>
    <x v="74"/>
    <n v="2"/>
    <x v="265"/>
    <s v=" 24.89 CAD "/>
    <x v="1"/>
    <x v="77"/>
    <x v="2"/>
    <x v="44"/>
    <x v="5"/>
    <s v="Ottawa (ONTARIO)"/>
    <x v="1"/>
    <n v="58.21"/>
    <n v="24.89"/>
  </r>
  <r>
    <s v="TXN-2024-000197"/>
    <s v="CUST-0305"/>
    <x v="254"/>
    <x v="3"/>
    <s v="male"/>
    <x v="49"/>
    <x v="235"/>
    <n v="2"/>
    <x v="266"/>
    <n v="32.799999999999997"/>
    <x v="1"/>
    <x v="8"/>
    <x v="2"/>
    <x v="47"/>
    <x v="0"/>
    <s v="Ontario - Kitchener"/>
    <x v="1"/>
    <n v="95.03"/>
    <n v="32.799999999999997"/>
  </r>
  <r>
    <s v="Txn-2023-000604"/>
    <s v="CUST-0296"/>
    <x v="255"/>
    <x v="4"/>
    <s v="FEMALE"/>
    <x v="59"/>
    <x v="236"/>
    <n v="1"/>
    <x v="267"/>
    <s v=" 7.39 CAD "/>
    <x v="0"/>
    <x v="225"/>
    <x v="1"/>
    <x v="56"/>
    <x v="3"/>
    <s v="Burnaby-British C0lumbia"/>
    <x v="4"/>
    <n v="20.62"/>
    <n v="7.39"/>
  </r>
  <r>
    <s v="TXN-2023-000082"/>
    <s v="CUST-0311"/>
    <x v="256"/>
    <x v="2"/>
    <s v="FEMALE"/>
    <x v="63"/>
    <x v="60"/>
    <n v="3"/>
    <x v="268"/>
    <n v="50.64"/>
    <x v="1"/>
    <x v="212"/>
    <x v="1"/>
    <x v="60"/>
    <x v="0"/>
    <s v="Surrey, BC"/>
    <x v="4"/>
    <n v="74.48"/>
    <n v="50.64"/>
  </r>
  <r>
    <s v="TXN-2023-000784"/>
    <s v="CUST-0207"/>
    <x v="257"/>
    <x v="2"/>
    <m/>
    <x v="7"/>
    <x v="237"/>
    <n v="2"/>
    <x v="269"/>
    <n v="32"/>
    <x v="1"/>
    <x v="226"/>
    <x v="0"/>
    <x v="7"/>
    <x v="0"/>
    <s v="Windsor, Ontario"/>
    <x v="1"/>
    <n v="63.83"/>
    <n v="32"/>
  </r>
  <r>
    <s v="TXN-2024-000588"/>
    <s v="CUST-0118"/>
    <x v="258"/>
    <x v="1"/>
    <s v="M"/>
    <x v="7"/>
    <x v="31"/>
    <n v="-3"/>
    <x v="270"/>
    <n v="-27.68"/>
    <x v="0"/>
    <x v="224"/>
    <x v="2"/>
    <x v="7"/>
    <x v="0"/>
    <s v="Windsor  ONTARIO"/>
    <x v="1"/>
    <n v="-26.82"/>
    <n v="-27.68"/>
  </r>
  <r>
    <s v="TXN-2024-000798"/>
    <s v="CUST-0297"/>
    <x v="259"/>
    <x v="0"/>
    <s v="M"/>
    <x v="28"/>
    <x v="51"/>
    <n v="1"/>
    <x v="271"/>
    <s v=" 4.40 CAD "/>
    <x v="1"/>
    <x v="227"/>
    <x v="2"/>
    <x v="28"/>
    <x v="2"/>
    <s v="Vancouver (British Columbia)"/>
    <x v="4"/>
    <n v="11.56"/>
    <n v="4.4000000000000004"/>
  </r>
  <r>
    <s v="TXN-2024-000240"/>
    <s v="CUST-0146"/>
    <x v="260"/>
    <x v="2"/>
    <s v="FEMALE"/>
    <x v="17"/>
    <x v="238"/>
    <n v="4"/>
    <x v="272"/>
    <n v="26.37"/>
    <x v="1"/>
    <x v="228"/>
    <x v="1"/>
    <x v="17"/>
    <x v="4"/>
    <s v="London (Ontario)"/>
    <x v="1"/>
    <n v="98.59"/>
    <n v="26.37"/>
  </r>
  <r>
    <s v="TXN-2023-000291"/>
    <s v="CUST-0068"/>
    <x v="261"/>
    <x v="0"/>
    <s v="M"/>
    <x v="41"/>
    <x v="239"/>
    <n v="5"/>
    <x v="273"/>
    <n v="94.41"/>
    <x v="0"/>
    <x v="88"/>
    <x v="2"/>
    <x v="40"/>
    <x v="5"/>
    <s v="Calgary  Alberta"/>
    <x v="0"/>
    <n v="181.01"/>
    <n v="94.41"/>
  </r>
  <r>
    <s v="TXN-2024-000212"/>
    <s v="CUST-0123"/>
    <x v="116"/>
    <x v="1"/>
    <s v="male"/>
    <x v="55"/>
    <x v="240"/>
    <n v="1"/>
    <x v="274"/>
    <n v="6.92"/>
    <x v="0"/>
    <x v="113"/>
    <x v="2"/>
    <x v="53"/>
    <x v="3"/>
    <s v="Halifax NS"/>
    <x v="6"/>
    <n v="15.39"/>
    <n v="6.92"/>
  </r>
  <r>
    <s v="TXN-2023-000718"/>
    <s v="CUST-0269"/>
    <x v="262"/>
    <x v="4"/>
    <s v="FEMALE"/>
    <x v="47"/>
    <x v="122"/>
    <n v="2"/>
    <x v="275"/>
    <n v="8.6199999999999992"/>
    <x v="1"/>
    <x v="177"/>
    <x v="1"/>
    <x v="46"/>
    <x v="2"/>
    <s v="Mississauga-Ontario"/>
    <x v="1"/>
    <n v="23.09"/>
    <n v="8.6199999999999992"/>
  </r>
  <r>
    <s v="TXN-2023-000360"/>
    <s v="CUST-0033"/>
    <x v="263"/>
    <x v="4"/>
    <s v="FEMALE"/>
    <x v="31"/>
    <x v="241"/>
    <n v="1"/>
    <x v="276"/>
    <n v="6.23"/>
    <x v="1"/>
    <x v="229"/>
    <x v="1"/>
    <x v="31"/>
    <x v="2"/>
    <s v="Ontario - Brampton"/>
    <x v="1"/>
    <n v="11.7"/>
    <n v="6.23"/>
  </r>
  <r>
    <s v="TXN-2024-000450"/>
    <s v="CUST-0229"/>
    <x v="258"/>
    <x v="4"/>
    <s v="FEMALE"/>
    <x v="30"/>
    <x v="242"/>
    <n v="1"/>
    <x v="277"/>
    <n v="2.2000000000000002"/>
    <x v="1"/>
    <x v="224"/>
    <x v="1"/>
    <x v="30"/>
    <x v="2"/>
    <s v="Fredericton N3w Brunswick"/>
    <x v="8"/>
    <n v="7.97"/>
    <n v="2.2000000000000002"/>
  </r>
  <r>
    <s v="TXN-2023-000228"/>
    <s v="CUST-0188"/>
    <x v="264"/>
    <x v="3"/>
    <s v="F"/>
    <x v="28"/>
    <x v="243"/>
    <n v="1"/>
    <x v="278"/>
    <n v="2.88"/>
    <x v="0"/>
    <x v="230"/>
    <x v="1"/>
    <x v="28"/>
    <x v="2"/>
    <s v="Vancouver-BritishColumbia"/>
    <x v="4"/>
    <n v="8.6300000000000008"/>
    <n v="2.88"/>
  </r>
  <r>
    <s v="TXN-2023-000315"/>
    <s v="CUST-0292"/>
    <x v="158"/>
    <x v="0"/>
    <s v="male"/>
    <x v="18"/>
    <x v="156"/>
    <n v="2"/>
    <x v="165"/>
    <n v="4.8099999999999996"/>
    <x v="1"/>
    <x v="147"/>
    <x v="2"/>
    <x v="18"/>
    <x v="0"/>
    <s v="Quebec City  Quebec"/>
    <x v="2"/>
    <n v="10.86"/>
    <n v="4.8099999999999996"/>
  </r>
  <r>
    <s v="TXN-2023-000947"/>
    <s v="CUST-0187"/>
    <x v="265"/>
    <x v="3"/>
    <s v="FEMALE"/>
    <x v="20"/>
    <x v="244"/>
    <n v="1"/>
    <x v="279"/>
    <s v=" 16.34 CAD "/>
    <x v="0"/>
    <x v="231"/>
    <x v="1"/>
    <x v="20"/>
    <x v="4"/>
    <s v="Victoria (bc)"/>
    <x v="4"/>
    <n v="49.42"/>
    <n v="16.34"/>
  </r>
  <r>
    <s v="TXN-2023-000797"/>
    <s v="CUST-0086"/>
    <x v="266"/>
    <x v="4"/>
    <s v="FEMALE"/>
    <x v="60"/>
    <x v="245"/>
    <n v="1"/>
    <x v="280"/>
    <n v="2.39"/>
    <x v="1"/>
    <x v="232"/>
    <x v="1"/>
    <x v="57"/>
    <x v="5"/>
    <s v="Hamilton (Ontario)"/>
    <x v="1"/>
    <n v="4.22"/>
    <n v="2.39"/>
  </r>
  <r>
    <s v="TXN-2024-000502"/>
    <s v="CUST-0010"/>
    <x v="267"/>
    <x v="3"/>
    <s v="N/A"/>
    <x v="35"/>
    <x v="246"/>
    <n v="1"/>
    <x v="281"/>
    <n v="7.99"/>
    <x v="1"/>
    <x v="83"/>
    <x v="0"/>
    <x v="10"/>
    <x v="4"/>
    <s v="on - Vaughan"/>
    <x v="1"/>
    <n v="18.989999999999998"/>
    <n v="7.99"/>
  </r>
  <r>
    <s v="TXN-2024-000465"/>
    <s v="CUST-0244"/>
    <x v="268"/>
    <x v="2"/>
    <s v="male"/>
    <x v="50"/>
    <x v="247"/>
    <n v="-2"/>
    <x v="282"/>
    <n v="-20.48"/>
    <x v="1"/>
    <x v="233"/>
    <x v="2"/>
    <x v="48"/>
    <x v="2"/>
    <s v="Lethbridge,AB"/>
    <x v="0"/>
    <n v="-11.63"/>
    <n v="-20.48"/>
  </r>
  <r>
    <s v="TXN-2023-000363"/>
    <s v="CUST-0089"/>
    <x v="269"/>
    <x v="2"/>
    <s v="M"/>
    <x v="35"/>
    <x v="248"/>
    <n v="4"/>
    <x v="283"/>
    <s v="N/A"/>
    <x v="0"/>
    <x v="234"/>
    <x v="2"/>
    <x v="10"/>
    <x v="4"/>
    <s v="Gatineau-Quebec"/>
    <x v="2"/>
    <n v="26.37"/>
    <m/>
  </r>
  <r>
    <s v="TXN-2023-000469"/>
    <s v="CUST-0235 "/>
    <x v="270"/>
    <x v="2"/>
    <s v="male"/>
    <x v="62"/>
    <x v="249"/>
    <n v="1"/>
    <x v="284"/>
    <n v="17.52"/>
    <x v="1"/>
    <x v="235"/>
    <x v="2"/>
    <x v="59"/>
    <x v="3"/>
    <s v="Laval,QC"/>
    <x v="2"/>
    <n v="41.88"/>
    <n v="17.52"/>
  </r>
  <r>
    <s v="TXN-2023-000936"/>
    <s v="CUST-0304"/>
    <x v="271"/>
    <x v="4"/>
    <m/>
    <x v="68"/>
    <x v="250"/>
    <n v="1"/>
    <x v="285"/>
    <n v="8.19"/>
    <x v="1"/>
    <x v="236"/>
    <x v="0"/>
    <x v="20"/>
    <x v="4"/>
    <s v="QC - Sherbrooke"/>
    <x v="2"/>
    <n v="18.55"/>
    <n v="8.19"/>
  </r>
  <r>
    <s v="TXN-2023-000429"/>
    <s v="CUST-0048"/>
    <x v="96"/>
    <x v="3"/>
    <s v="M"/>
    <x v="3"/>
    <x v="251"/>
    <n v="3"/>
    <x v="286"/>
    <n v="52.32"/>
    <x v="0"/>
    <x v="94"/>
    <x v="2"/>
    <x v="3"/>
    <x v="3"/>
    <s v="Markham, ONTARIO"/>
    <x v="1"/>
    <n v="108.94"/>
    <n v="52.32"/>
  </r>
  <r>
    <s v="TXN-2024-000008"/>
    <s v="CUST-0117"/>
    <x v="272"/>
    <x v="1"/>
    <s v="male"/>
    <x v="0"/>
    <x v="252"/>
    <n v="1"/>
    <x v="287"/>
    <n v="15.44"/>
    <x v="0"/>
    <x v="43"/>
    <x v="2"/>
    <x v="0"/>
    <x v="0"/>
    <s v="Ottawa Ontari"/>
    <x v="1"/>
    <n v="33.97"/>
    <n v="15.44"/>
  </r>
  <r>
    <s v="TXN-2024-000156"/>
    <s v="CUST-0302"/>
    <x v="273"/>
    <x v="3"/>
    <s v="N/A"/>
    <x v="19"/>
    <x v="253"/>
    <n v="1"/>
    <x v="288"/>
    <n v="13.83"/>
    <x v="0"/>
    <x v="237"/>
    <x v="0"/>
    <x v="19"/>
    <x v="0"/>
    <s v="Corner Brook, Newfoundland and Labrador"/>
    <x v="7"/>
    <n v="24.92"/>
    <n v="13.83"/>
  </r>
  <r>
    <s v="TXN-2024-000542"/>
    <s v="CUST-0055"/>
    <x v="274"/>
    <x v="2"/>
    <s v="male"/>
    <x v="41"/>
    <x v="254"/>
    <n v="1"/>
    <x v="289"/>
    <n v="16.55"/>
    <x v="1"/>
    <x v="238"/>
    <x v="2"/>
    <x v="40"/>
    <x v="5"/>
    <s v="Toronto, ON"/>
    <x v="1"/>
    <n v="35.24"/>
    <n v="16.55"/>
  </r>
  <r>
    <s v="TXN-2023-000441"/>
    <s v="CUST-0252"/>
    <x v="275"/>
    <x v="3"/>
    <s v="F"/>
    <x v="4"/>
    <x v="255"/>
    <n v="3"/>
    <x v="290"/>
    <n v="34.89"/>
    <x v="1"/>
    <x v="239"/>
    <x v="1"/>
    <x v="4"/>
    <x v="0"/>
    <s v="Brandon / mb"/>
    <x v="5"/>
    <n v="79.099999999999994"/>
    <n v="34.89"/>
  </r>
  <r>
    <s v="TXN-2024-000483"/>
    <s v="CUST-0263"/>
    <x v="276"/>
    <x v="0"/>
    <s v="F"/>
    <x v="66"/>
    <x v="256"/>
    <n v="4"/>
    <x v="291"/>
    <n v="33.159999999999997"/>
    <x v="1"/>
    <x v="240"/>
    <x v="1"/>
    <x v="62"/>
    <x v="4"/>
    <s v="Saint John-NEW BRUNSWICK"/>
    <x v="8"/>
    <n v="81.92"/>
    <n v="33.159999999999997"/>
  </r>
  <r>
    <s v="TXN-2024-000423"/>
    <s v="CUST-0238"/>
    <x v="277"/>
    <x v="4"/>
    <s v="M"/>
    <x v="43"/>
    <x v="257"/>
    <n v="2"/>
    <x v="292"/>
    <n v="19.32"/>
    <x v="0"/>
    <x v="241"/>
    <x v="2"/>
    <x v="42"/>
    <x v="4"/>
    <s v="Gatineau (qc)"/>
    <x v="2"/>
    <n v="41.51"/>
    <n v="19.32"/>
  </r>
  <r>
    <s v="TXN-2023-000779"/>
    <s v="CUST-0294"/>
    <x v="278"/>
    <x v="1"/>
    <s v="FEMALE"/>
    <x v="45"/>
    <x v="93"/>
    <n v="4"/>
    <x v="293"/>
    <n v="45.53"/>
    <x v="0"/>
    <x v="242"/>
    <x v="1"/>
    <x v="44"/>
    <x v="5"/>
    <s v="Quebec City Quebec"/>
    <x v="2"/>
    <n v="96.38"/>
    <n v="45.53"/>
  </r>
  <r>
    <s v="TXN-2024-000950"/>
    <s v="CUST-0099"/>
    <x v="279"/>
    <x v="3"/>
    <s v="FEMALE"/>
    <x v="45"/>
    <x v="258"/>
    <n v="1"/>
    <x v="294"/>
    <n v="13.76"/>
    <x v="1"/>
    <x v="243"/>
    <x v="1"/>
    <x v="44"/>
    <x v="5"/>
    <s v="Ottawa  ONTARIO"/>
    <x v="1"/>
    <n v="35.24"/>
    <n v="13.76"/>
  </r>
  <r>
    <s v="TXN-2024-000335"/>
    <s v="CUST-0228"/>
    <x v="280"/>
    <x v="4"/>
    <s v="M"/>
    <x v="62"/>
    <x v="154"/>
    <n v="1"/>
    <x v="295"/>
    <n v="4.12"/>
    <x v="0"/>
    <x v="128"/>
    <x v="2"/>
    <x v="59"/>
    <x v="3"/>
    <s v="Montreal qc"/>
    <x v="2"/>
    <n v="7.46"/>
    <n v="4.12"/>
  </r>
  <r>
    <s v="TXN-2024-000577"/>
    <s v="CUST-0010 "/>
    <x v="281"/>
    <x v="1"/>
    <s v="FEMALE"/>
    <x v="41"/>
    <x v="259"/>
    <n v="1"/>
    <x v="296"/>
    <s v=" 8.53 CAD "/>
    <x v="1"/>
    <x v="244"/>
    <x v="1"/>
    <x v="40"/>
    <x v="5"/>
    <s v="Sherbrooke / Qu3b3"/>
    <x v="2"/>
    <n v="21.84"/>
    <n v="8.5299999999999994"/>
  </r>
  <r>
    <s v="TXN-2024-000935"/>
    <s v="CUST-0180"/>
    <x v="282"/>
    <x v="0"/>
    <s v="N/A"/>
    <x v="38"/>
    <x v="260"/>
    <n v="1"/>
    <x v="297"/>
    <s v="CAD 5.70"/>
    <x v="1"/>
    <x v="245"/>
    <x v="0"/>
    <x v="37"/>
    <x v="3"/>
    <s v="London / on"/>
    <x v="1"/>
    <n v="16.25"/>
    <n v="5.7"/>
  </r>
  <r>
    <s v="TXN-2023-000568"/>
    <s v="CUST-0109"/>
    <x v="283"/>
    <x v="4"/>
    <s v="male"/>
    <x v="30"/>
    <x v="261"/>
    <n v="-2"/>
    <x v="298"/>
    <n v="-5.73"/>
    <x v="0"/>
    <x v="246"/>
    <x v="2"/>
    <x v="30"/>
    <x v="2"/>
    <s v="Fredericton / nb"/>
    <x v="8"/>
    <n v="-27.43"/>
    <n v="-5.73"/>
  </r>
  <r>
    <s v="TXN-2023-000595"/>
    <s v="CUST-0104"/>
    <x v="284"/>
    <x v="1"/>
    <s v="M"/>
    <x v="46"/>
    <x v="262"/>
    <n v="1"/>
    <x v="299"/>
    <n v="7.12"/>
    <x v="0"/>
    <x v="247"/>
    <x v="2"/>
    <x v="45"/>
    <x v="3"/>
    <s v="Ottawa  on"/>
    <x v="1"/>
    <n v="15.63"/>
    <n v="7.12"/>
  </r>
  <r>
    <s v="TXN-2023-000531"/>
    <s v="CUST-0059"/>
    <x v="6"/>
    <x v="0"/>
    <s v="male"/>
    <x v="62"/>
    <x v="263"/>
    <n v="3"/>
    <x v="300"/>
    <s v="CAD 20.38"/>
    <x v="1"/>
    <x v="6"/>
    <x v="2"/>
    <x v="59"/>
    <x v="3"/>
    <s v="ON - London"/>
    <x v="1"/>
    <n v="33.51"/>
    <n v="20.38"/>
  </r>
  <r>
    <s v="TXN-2024-000582"/>
    <s v="CUST-0033"/>
    <x v="258"/>
    <x v="3"/>
    <s v="FEMALE"/>
    <x v="50"/>
    <x v="264"/>
    <n v="1"/>
    <x v="301"/>
    <n v="15.59"/>
    <x v="0"/>
    <x v="224"/>
    <x v="1"/>
    <x v="48"/>
    <x v="2"/>
    <s v="Gatineau / QC"/>
    <x v="2"/>
    <n v="31.06"/>
    <n v="15.59"/>
  </r>
  <r>
    <s v="TXN-2024-000708"/>
    <s v="CUST-0139"/>
    <x v="285"/>
    <x v="2"/>
    <s v="M"/>
    <x v="20"/>
    <x v="265"/>
    <n v="2"/>
    <x v="302"/>
    <n v="16.809999999999999"/>
    <x v="1"/>
    <x v="248"/>
    <x v="2"/>
    <x v="20"/>
    <x v="4"/>
    <s v="Brampton,ON"/>
    <x v="1"/>
    <n v="44.49"/>
    <n v="16.809999999999999"/>
  </r>
  <r>
    <s v="TXN-2023-000449"/>
    <s v="CUST-0122"/>
    <x v="286"/>
    <x v="1"/>
    <s v="FEMALE"/>
    <x v="53"/>
    <x v="88"/>
    <n v="6"/>
    <x v="303"/>
    <n v="25.65"/>
    <x v="0"/>
    <x v="205"/>
    <x v="1"/>
    <x v="51"/>
    <x v="3"/>
    <s v="London Ontario"/>
    <x v="1"/>
    <n v="46.77"/>
    <n v="25.65"/>
  </r>
  <r>
    <s v="TXN-2024-000454"/>
    <s v="CUST-0038"/>
    <x v="287"/>
    <x v="1"/>
    <s v="FEMALE"/>
    <x v="30"/>
    <x v="266"/>
    <n v="2"/>
    <x v="304"/>
    <s v="CAD 16.19"/>
    <x v="0"/>
    <x v="249"/>
    <x v="1"/>
    <x v="30"/>
    <x v="2"/>
    <s v="Regina Saskatchewan"/>
    <x v="3"/>
    <n v="35.159999999999997"/>
    <n v="16.190000000000001"/>
  </r>
  <r>
    <s v="TXN-2023-000229"/>
    <s v="CUST-0191"/>
    <x v="288"/>
    <x v="4"/>
    <s v="N/A"/>
    <x v="68"/>
    <x v="267"/>
    <n v="1"/>
    <x v="305"/>
    <s v="3,25"/>
    <x v="0"/>
    <x v="250"/>
    <x v="0"/>
    <x v="20"/>
    <x v="4"/>
    <s v="ALBERTA - Lethbridge"/>
    <x v="0"/>
    <n v="5.88"/>
    <n v="3.25"/>
  </r>
  <r>
    <s v="TXN-2023-000353"/>
    <s v="CUST-0201"/>
    <x v="289"/>
    <x v="4"/>
    <s v="FEMALE"/>
    <x v="33"/>
    <x v="225"/>
    <n v="2"/>
    <x v="306"/>
    <n v="12.27"/>
    <x v="0"/>
    <x v="251"/>
    <x v="1"/>
    <x v="33"/>
    <x v="0"/>
    <s v="Markham, Ontario"/>
    <x v="1"/>
    <n v="25.37"/>
    <n v="12.27"/>
  </r>
  <r>
    <s v="TXN-2024-000729"/>
    <s v="CUST-0199"/>
    <x v="290"/>
    <x v="2"/>
    <s v="Prefer not to say"/>
    <x v="57"/>
    <x v="63"/>
    <n v="1"/>
    <x v="307"/>
    <n v="18.64"/>
    <x v="1"/>
    <x v="8"/>
    <x v="3"/>
    <x v="1"/>
    <x v="1"/>
    <s v="Toronto (ONTARIO)"/>
    <x v="1"/>
    <n v="35.64"/>
    <n v="18.64"/>
  </r>
  <r>
    <s v="TXN-2024-000213"/>
    <s v="CUST-0275"/>
    <x v="268"/>
    <x v="2"/>
    <s v="FEMALE"/>
    <x v="11"/>
    <x v="268"/>
    <n v="1"/>
    <x v="308"/>
    <s v="CAD 9.30"/>
    <x v="1"/>
    <x v="233"/>
    <x v="1"/>
    <x v="11"/>
    <x v="5"/>
    <s v="Lethbridge-Alberta"/>
    <x v="0"/>
    <n v="28.77"/>
    <n v="9.3000000000000007"/>
  </r>
  <r>
    <s v="TXN-2024-000080"/>
    <s v="CUST-0127 "/>
    <x v="291"/>
    <x v="1"/>
    <s v="male"/>
    <x v="0"/>
    <x v="113"/>
    <n v="3"/>
    <x v="309"/>
    <n v="11.21"/>
    <x v="1"/>
    <x v="252"/>
    <x v="2"/>
    <x v="0"/>
    <x v="0"/>
    <s v="Toronto-on"/>
    <x v="1"/>
    <n v="39.909999999999997"/>
    <n v="11.21"/>
  </r>
  <r>
    <s v="TXN-2024-000149"/>
    <s v="CUST-0190"/>
    <x v="292"/>
    <x v="0"/>
    <s v="male"/>
    <x v="39"/>
    <x v="269"/>
    <n v="1"/>
    <x v="310"/>
    <n v="20.03"/>
    <x v="0"/>
    <x v="93"/>
    <x v="2"/>
    <x v="38"/>
    <x v="2"/>
    <s v="Richmond BRITISH COLUMBIA"/>
    <x v="4"/>
    <n v="37.61"/>
    <n v="20.03"/>
  </r>
  <r>
    <s v="TXN-2024-000303"/>
    <s v="CUST-0286"/>
    <x v="293"/>
    <x v="1"/>
    <s v="male"/>
    <x v="45"/>
    <x v="270"/>
    <n v="1"/>
    <x v="311"/>
    <n v="9.5500000000000007"/>
    <x v="1"/>
    <x v="253"/>
    <x v="2"/>
    <x v="44"/>
    <x v="5"/>
    <s v="Laval  Quebec"/>
    <x v="2"/>
    <n v="30.71"/>
    <n v="9.5500000000000007"/>
  </r>
  <r>
    <s v="TXN-2024-000629"/>
    <s v="CUST-0135"/>
    <x v="294"/>
    <x v="2"/>
    <s v="male"/>
    <x v="4"/>
    <x v="271"/>
    <n v="2"/>
    <x v="312"/>
    <s v="11,23"/>
    <x v="1"/>
    <x v="254"/>
    <x v="2"/>
    <x v="4"/>
    <x v="0"/>
    <s v="BritishColumbia - Surrey"/>
    <x v="4"/>
    <n v="29.99"/>
    <n v="11.23"/>
  </r>
  <r>
    <s v="TXN-2023-000778"/>
    <s v="CUST-0221"/>
    <x v="295"/>
    <x v="2"/>
    <s v="FEMALE"/>
    <x v="50"/>
    <x v="102"/>
    <n v="2"/>
    <x v="313"/>
    <n v="27.75"/>
    <x v="0"/>
    <x v="175"/>
    <x v="1"/>
    <x v="48"/>
    <x v="2"/>
    <s v="Edmonton / Alberta"/>
    <x v="0"/>
    <n v="83.98"/>
    <n v="27.75"/>
  </r>
  <r>
    <s v="TXN-2023-000507"/>
    <s v="CUST-0131"/>
    <x v="296"/>
    <x v="0"/>
    <s v="F"/>
    <x v="29"/>
    <x v="195"/>
    <n v="1"/>
    <x v="314"/>
    <s v="CAD 8.52"/>
    <x v="1"/>
    <x v="255"/>
    <x v="1"/>
    <x v="29"/>
    <x v="2"/>
    <s v="Toronto Ontario"/>
    <x v="1"/>
    <n v="15.7"/>
    <n v="8.52"/>
  </r>
  <r>
    <s v="TXN-2024-000343"/>
    <s v="CUST-0221"/>
    <x v="297"/>
    <x v="4"/>
    <s v="Prefer not to say"/>
    <x v="0"/>
    <x v="272"/>
    <n v="1"/>
    <x v="315"/>
    <s v="1,08"/>
    <x v="1"/>
    <x v="5"/>
    <x v="3"/>
    <x v="0"/>
    <x v="0"/>
    <s v="Markham / Ontario"/>
    <x v="1"/>
    <n v="2.52"/>
    <n v="1.08"/>
  </r>
  <r>
    <s v="TXN-2023-000486"/>
    <s v="CUST-0320"/>
    <x v="194"/>
    <x v="2"/>
    <s v="F"/>
    <x v="65"/>
    <x v="143"/>
    <n v="4"/>
    <x v="316"/>
    <n v="59.74"/>
    <x v="0"/>
    <x v="177"/>
    <x v="1"/>
    <x v="30"/>
    <x v="2"/>
    <s v="QC - Laval"/>
    <x v="2"/>
    <n v="156.93"/>
    <n v="59.74"/>
  </r>
  <r>
    <s v="TXN-2024-000712"/>
    <s v="CUST-0171"/>
    <x v="298"/>
    <x v="4"/>
    <s v="male"/>
    <x v="0"/>
    <x v="273"/>
    <n v="1"/>
    <x v="317"/>
    <n v="3.02"/>
    <x v="0"/>
    <x v="256"/>
    <x v="2"/>
    <x v="0"/>
    <x v="0"/>
    <s v="QC - Longueuil"/>
    <x v="2"/>
    <n v="6.11"/>
    <n v="3.02"/>
  </r>
  <r>
    <s v="TXN-2024-000134"/>
    <s v="CUST-0299"/>
    <x v="299"/>
    <x v="0"/>
    <s v="FEMALE"/>
    <x v="6"/>
    <x v="274"/>
    <n v="1"/>
    <x v="318"/>
    <n v="7.94"/>
    <x v="1"/>
    <x v="257"/>
    <x v="1"/>
    <x v="6"/>
    <x v="0"/>
    <s v="Edmonton (Alberta)"/>
    <x v="0"/>
    <n v="17.63"/>
    <n v="7.94"/>
  </r>
  <r>
    <s v="TXN-2023-000704"/>
    <s v="CUST-0076"/>
    <x v="65"/>
    <x v="2"/>
    <s v="male"/>
    <x v="65"/>
    <x v="275"/>
    <n v="1"/>
    <x v="319"/>
    <n v="11.55"/>
    <x v="0"/>
    <x v="65"/>
    <x v="2"/>
    <x v="30"/>
    <x v="2"/>
    <s v="Brampton Ontario"/>
    <x v="1"/>
    <n v="34.11"/>
    <n v="11.55"/>
  </r>
  <r>
    <s v="TXN-2023-000312"/>
    <s v="CUST-0239"/>
    <x v="300"/>
    <x v="0"/>
    <s v="male"/>
    <x v="50"/>
    <x v="276"/>
    <n v="1"/>
    <x v="320"/>
    <n v="2.2400000000000002"/>
    <x v="1"/>
    <x v="258"/>
    <x v="2"/>
    <x v="48"/>
    <x v="2"/>
    <s v="British Columbi - Victoria"/>
    <x v="4"/>
    <n v="6.83"/>
    <n v="2.2400000000000002"/>
  </r>
  <r>
    <s v="TXN-2024-000723"/>
    <s v="CUST-0069"/>
    <x v="301"/>
    <x v="0"/>
    <s v="male"/>
    <x v="62"/>
    <x v="277"/>
    <n v="5"/>
    <x v="321"/>
    <n v="22.92"/>
    <x v="0"/>
    <x v="259"/>
    <x v="2"/>
    <x v="59"/>
    <x v="3"/>
    <s v="Calgary,ab"/>
    <x v="0"/>
    <n v="57.62"/>
    <n v="22.92"/>
  </r>
  <r>
    <s v="TXN-2023-000630"/>
    <s v="CUST-0256"/>
    <x v="302"/>
    <x v="3"/>
    <s v="FEMALE"/>
    <x v="37"/>
    <x v="278"/>
    <n v="1"/>
    <x v="322"/>
    <n v="12.2"/>
    <x v="0"/>
    <x v="103"/>
    <x v="1"/>
    <x v="36"/>
    <x v="0"/>
    <s v="Alberta - Red Deer"/>
    <x v="0"/>
    <n v="25.8"/>
    <n v="12.2"/>
  </r>
  <r>
    <s v="TXN-2023-000001"/>
    <s v="CUST-0141"/>
    <x v="303"/>
    <x v="1"/>
    <s v="FEMALE"/>
    <x v="36"/>
    <x v="279"/>
    <n v="1"/>
    <x v="323"/>
    <n v="17.350000000000001"/>
    <x v="1"/>
    <x v="260"/>
    <x v="1"/>
    <x v="35"/>
    <x v="3"/>
    <s v="Calgary Alberta"/>
    <x v="0"/>
    <n v="27.36"/>
    <n v="17.350000000000001"/>
  </r>
  <r>
    <s v="TXN-2023-000317"/>
    <s v="CUST-0031"/>
    <x v="304"/>
    <x v="2"/>
    <m/>
    <x v="10"/>
    <x v="40"/>
    <n v="1"/>
    <x v="324"/>
    <n v="9.5"/>
    <x v="1"/>
    <x v="261"/>
    <x v="0"/>
    <x v="10"/>
    <x v="4"/>
    <s v="Surrey-BRITISH COLUMBIA"/>
    <x v="4"/>
    <n v="29.37"/>
    <n v="9.5"/>
  </r>
  <r>
    <s v="TXN-2023-000707"/>
    <s v="CUST-0299"/>
    <x v="305"/>
    <x v="0"/>
    <s v="N/A"/>
    <x v="64"/>
    <x v="280"/>
    <n v="1"/>
    <x v="325"/>
    <n v="13.84"/>
    <x v="1"/>
    <x v="262"/>
    <x v="0"/>
    <x v="61"/>
    <x v="0"/>
    <s v="Toronto (ON)"/>
    <x v="1"/>
    <n v="27.07"/>
    <n v="13.84"/>
  </r>
  <r>
    <s v="TXN-2024-000548"/>
    <s v="CUST-0230"/>
    <x v="306"/>
    <x v="4"/>
    <s v="M"/>
    <x v="1"/>
    <x v="28"/>
    <n v="1"/>
    <x v="326"/>
    <n v="2.7"/>
    <x v="1"/>
    <x v="263"/>
    <x v="2"/>
    <x v="1"/>
    <x v="1"/>
    <s v="Edmonton ab"/>
    <x v="0"/>
    <n v="5.51"/>
    <n v="2.7"/>
  </r>
  <r>
    <s v="TXN-2024-000873"/>
    <s v="CUST-0249"/>
    <x v="307"/>
    <x v="4"/>
    <s v="male"/>
    <x v="11"/>
    <x v="281"/>
    <n v="1"/>
    <x v="327"/>
    <n v="4.99"/>
    <x v="0"/>
    <x v="67"/>
    <x v="2"/>
    <x v="11"/>
    <x v="5"/>
    <s v="Kelowna-BritishC0lumbia"/>
    <x v="4"/>
    <n v="12.99"/>
    <n v="4.99"/>
  </r>
  <r>
    <s v="TXN-2024-000533"/>
    <s v="CUST-0210"/>
    <x v="106"/>
    <x v="3"/>
    <s v="male"/>
    <x v="42"/>
    <x v="282"/>
    <n v="-2"/>
    <x v="328"/>
    <n v="-18.190000000000001"/>
    <x v="1"/>
    <x v="104"/>
    <x v="2"/>
    <x v="41"/>
    <x v="4"/>
    <s v="Gatineau qc"/>
    <x v="2"/>
    <n v="-59.71"/>
    <n v="-18.190000000000001"/>
  </r>
  <r>
    <s v="Txn-2024-000478"/>
    <s v="CUST-0128 "/>
    <x v="308"/>
    <x v="1"/>
    <s v="F"/>
    <x v="21"/>
    <x v="283"/>
    <n v="4"/>
    <x v="329"/>
    <n v="32.21"/>
    <x v="1"/>
    <x v="264"/>
    <x v="1"/>
    <x v="21"/>
    <x v="3"/>
    <s v="Surrey / British Columbia"/>
    <x v="4"/>
    <n v="63.6"/>
    <n v="32.21"/>
  </r>
  <r>
    <s v="TXN-2023-000405"/>
    <s v="CUST-0140"/>
    <x v="309"/>
    <x v="0"/>
    <s v="M"/>
    <x v="40"/>
    <x v="270"/>
    <n v="2"/>
    <x v="330"/>
    <n v="19.77"/>
    <x v="1"/>
    <x v="265"/>
    <x v="2"/>
    <x v="39"/>
    <x v="3"/>
    <s v="Laval  QUEBEC"/>
    <x v="2"/>
    <n v="49.06"/>
    <n v="19.77"/>
  </r>
  <r>
    <s v="TXN-2023-000173"/>
    <s v="CUST-0175"/>
    <x v="310"/>
    <x v="0"/>
    <s v="male"/>
    <x v="0"/>
    <x v="284"/>
    <n v="4"/>
    <x v="331"/>
    <n v="9.26"/>
    <x v="1"/>
    <x v="69"/>
    <x v="2"/>
    <x v="0"/>
    <x v="0"/>
    <s v="Nova Scotia - Sydney"/>
    <x v="6"/>
    <n v="22.26"/>
    <n v="9.26"/>
  </r>
  <r>
    <s v="TXN-2023-000126"/>
    <s v="CUST-0198"/>
    <x v="311"/>
    <x v="0"/>
    <s v="M"/>
    <x v="67"/>
    <x v="250"/>
    <n v="1"/>
    <x v="332"/>
    <n v="9.2100000000000009"/>
    <x v="1"/>
    <x v="266"/>
    <x v="2"/>
    <x v="63"/>
    <x v="0"/>
    <s v="qc - Sherbrooke"/>
    <x v="2"/>
    <n v="26.29"/>
    <n v="9.2100000000000009"/>
  </r>
  <r>
    <s v="TXN-2023-000395"/>
    <s v="CUST-0198"/>
    <x v="312"/>
    <x v="0"/>
    <s v="U"/>
    <x v="46"/>
    <x v="275"/>
    <n v="2"/>
    <x v="333"/>
    <n v="13.53"/>
    <x v="1"/>
    <x v="267"/>
    <x v="0"/>
    <x v="45"/>
    <x v="3"/>
    <s v="Brampton Ontario"/>
    <x v="1"/>
    <n v="32.35"/>
    <n v="13.53"/>
  </r>
  <r>
    <s v="TXN-2023-000421"/>
    <s v="CUST-0070"/>
    <x v="313"/>
    <x v="3"/>
    <s v="F"/>
    <x v="21"/>
    <x v="285"/>
    <n v="1"/>
    <x v="334"/>
    <n v="4.97"/>
    <x v="1"/>
    <x v="268"/>
    <x v="1"/>
    <x v="21"/>
    <x v="3"/>
    <s v="Montreal  qc"/>
    <x v="2"/>
    <n v="14.83"/>
    <n v="4.97"/>
  </r>
  <r>
    <s v="TXN-2024-000553"/>
    <s v="CUST-0114"/>
    <x v="314"/>
    <x v="4"/>
    <s v="male"/>
    <x v="50"/>
    <x v="15"/>
    <n v="1"/>
    <x v="335"/>
    <n v="2.5099999999999998"/>
    <x v="1"/>
    <x v="269"/>
    <x v="2"/>
    <x v="48"/>
    <x v="2"/>
    <s v="Ontario - Ottawa"/>
    <x v="1"/>
    <n v="5.78"/>
    <n v="2.5099999999999998"/>
  </r>
  <r>
    <s v="TXN-2024-000904"/>
    <s v="CUST-0246"/>
    <x v="315"/>
    <x v="1"/>
    <s v="male"/>
    <x v="21"/>
    <x v="190"/>
    <n v="2"/>
    <x v="336"/>
    <n v="10.41"/>
    <x v="0"/>
    <x v="178"/>
    <x v="2"/>
    <x v="21"/>
    <x v="3"/>
    <s v="Edmonton  ab"/>
    <x v="0"/>
    <n v="43.59"/>
    <n v="10.41"/>
  </r>
  <r>
    <s v="TXN-2024-000091"/>
    <s v="Cust-0265"/>
    <x v="207"/>
    <x v="1"/>
    <s v="FEMALE"/>
    <x v="19"/>
    <x v="25"/>
    <n v="2"/>
    <x v="217"/>
    <s v="CAD 14.81"/>
    <x v="1"/>
    <x v="187"/>
    <x v="1"/>
    <x v="19"/>
    <x v="0"/>
    <s v="Longueuil,Quebec"/>
    <x v="2"/>
    <n v="40.4"/>
    <n v="14.81"/>
  </r>
  <r>
    <s v="TXN-2024-000940"/>
    <s v="CUST-0173"/>
    <x v="39"/>
    <x v="3"/>
    <s v="FEMALE"/>
    <x v="5"/>
    <x v="218"/>
    <n v="1"/>
    <x v="337"/>
    <n v="4.38"/>
    <x v="0"/>
    <x v="39"/>
    <x v="1"/>
    <x v="5"/>
    <x v="0"/>
    <s v="Ottawa (on)"/>
    <x v="1"/>
    <n v="11.14"/>
    <n v="4.38"/>
  </r>
  <r>
    <s v="TXN-2023-000182"/>
    <s v="CUST-0059"/>
    <x v="316"/>
    <x v="4"/>
    <s v="FEMALE"/>
    <x v="44"/>
    <x v="221"/>
    <n v="1"/>
    <x v="338"/>
    <s v="CAD 9.77"/>
    <x v="0"/>
    <x v="70"/>
    <x v="1"/>
    <x v="43"/>
    <x v="3"/>
    <s v="Lethbridge  ab"/>
    <x v="0"/>
    <n v="17.989999999999998"/>
    <n v="9.77"/>
  </r>
  <r>
    <s v="TXN-2023-000275"/>
    <s v="CUST-0245"/>
    <x v="317"/>
    <x v="0"/>
    <s v="Prefer not to say"/>
    <x v="47"/>
    <x v="286"/>
    <n v="2"/>
    <x v="339"/>
    <n v="7.67"/>
    <x v="1"/>
    <x v="232"/>
    <x v="3"/>
    <x v="46"/>
    <x v="2"/>
    <s v="Richmond, British Columbia"/>
    <x v="4"/>
    <n v="17.850000000000001"/>
    <n v="7.67"/>
  </r>
  <r>
    <s v="Txn-2024-000896"/>
    <s v="CUST-0133"/>
    <x v="318"/>
    <x v="0"/>
    <s v="M"/>
    <x v="19"/>
    <x v="237"/>
    <n v="2"/>
    <x v="340"/>
    <n v="16.670000000000002"/>
    <x v="0"/>
    <x v="270"/>
    <x v="2"/>
    <x v="19"/>
    <x v="0"/>
    <s v="Windsor, Ontario"/>
    <x v="1"/>
    <n v="40.54"/>
    <n v="16.670000000000002"/>
  </r>
  <r>
    <s v="TXN-2024-000070"/>
    <s v="CUST-0226"/>
    <x v="319"/>
    <x v="4"/>
    <s v="FEMALE"/>
    <x v="0"/>
    <x v="287"/>
    <n v="1"/>
    <x v="341"/>
    <n v="5.12"/>
    <x v="1"/>
    <x v="271"/>
    <x v="1"/>
    <x v="0"/>
    <x v="0"/>
    <s v="Brampton (on)"/>
    <x v="1"/>
    <n v="16.350000000000001"/>
    <n v="5.12"/>
  </r>
  <r>
    <s v="TXN-2023-000292"/>
    <s v="CUST-0012 "/>
    <x v="320"/>
    <x v="4"/>
    <s v="F"/>
    <x v="11"/>
    <x v="288"/>
    <n v="2"/>
    <x v="342"/>
    <n v="4.55"/>
    <x v="0"/>
    <x v="272"/>
    <x v="1"/>
    <x v="11"/>
    <x v="5"/>
    <s v="Kelowna / British C0lumbia"/>
    <x v="4"/>
    <n v="12.03"/>
    <n v="4.55"/>
  </r>
  <r>
    <s v="TXN-2024-000132"/>
    <s v="CUST-0151"/>
    <x v="321"/>
    <x v="1"/>
    <s v="FEMALE"/>
    <x v="35"/>
    <x v="289"/>
    <n v="2"/>
    <x v="343"/>
    <n v="23.38"/>
    <x v="0"/>
    <x v="180"/>
    <x v="1"/>
    <x v="10"/>
    <x v="4"/>
    <s v="Red Deer / ab"/>
    <x v="0"/>
    <n v="54.77"/>
    <n v="23.38"/>
  </r>
  <r>
    <s v="TXN-2023-000301"/>
    <s v="CUST-0112"/>
    <x v="322"/>
    <x v="2"/>
    <s v="FEMALE"/>
    <x v="32"/>
    <x v="290"/>
    <n v="1"/>
    <x v="271"/>
    <n v="5.98"/>
    <x v="1"/>
    <x v="273"/>
    <x v="1"/>
    <x v="32"/>
    <x v="2"/>
    <s v="nl - St. John's"/>
    <x v="7"/>
    <n v="11.56"/>
    <n v="5.98"/>
  </r>
  <r>
    <s v="TXN-2024-000425"/>
    <s v="CUST-0263"/>
    <x v="323"/>
    <x v="0"/>
    <s v="Prefer not to say"/>
    <x v="17"/>
    <x v="291"/>
    <n v="1"/>
    <x v="20"/>
    <n v="9.75"/>
    <x v="1"/>
    <x v="274"/>
    <x v="3"/>
    <x v="17"/>
    <x v="4"/>
    <s v="Red Deer-Alberta"/>
    <x v="0"/>
    <n v="23.52"/>
    <n v="9.75"/>
  </r>
  <r>
    <s v="TXN-2024-000327"/>
    <s v="CUST-0039"/>
    <x v="324"/>
    <x v="1"/>
    <s v="F"/>
    <x v="46"/>
    <x v="292"/>
    <n v="1"/>
    <x v="344"/>
    <s v="CAD 1.93"/>
    <x v="0"/>
    <x v="275"/>
    <x v="1"/>
    <x v="45"/>
    <x v="3"/>
    <s v="on - Hamilton"/>
    <x v="1"/>
    <n v="6.5"/>
    <n v="1.93"/>
  </r>
  <r>
    <s v="TXN-2024-000145"/>
    <s v="CUST-0189"/>
    <x v="325"/>
    <x v="0"/>
    <s v="FEMALE"/>
    <x v="45"/>
    <x v="293"/>
    <n v="2"/>
    <x v="345"/>
    <n v="22.94"/>
    <x v="0"/>
    <x v="128"/>
    <x v="1"/>
    <x v="44"/>
    <x v="5"/>
    <s v="Albert - Calgary"/>
    <x v="0"/>
    <n v="43.53"/>
    <n v="22.94"/>
  </r>
  <r>
    <s v="TXN-2023-000424"/>
    <s v="CUST-0111"/>
    <x v="326"/>
    <x v="1"/>
    <s v="M"/>
    <x v="56"/>
    <x v="294"/>
    <n v="6"/>
    <x v="346"/>
    <n v="65.27"/>
    <x v="0"/>
    <x v="276"/>
    <x v="2"/>
    <x v="54"/>
    <x v="5"/>
    <s v="Windsor / Ontari0"/>
    <x v="1"/>
    <n v="151.43"/>
    <n v="65.27"/>
  </r>
  <r>
    <s v="TXN-2023-000581"/>
    <s v="CUST-0290"/>
    <x v="327"/>
    <x v="2"/>
    <s v="male"/>
    <x v="48"/>
    <x v="295"/>
    <n v="-1"/>
    <x v="347"/>
    <n v="-9.01"/>
    <x v="1"/>
    <x v="277"/>
    <x v="2"/>
    <x v="1"/>
    <x v="1"/>
    <s v="St. John's / NL"/>
    <x v="7"/>
    <n v="-17.34"/>
    <n v="-9.01"/>
  </r>
  <r>
    <s v="TXN-2024-000136"/>
    <s v="CUST-0154 "/>
    <x v="328"/>
    <x v="2"/>
    <s v="FEMALE"/>
    <x v="62"/>
    <x v="296"/>
    <n v="1"/>
    <x v="348"/>
    <n v="3.49"/>
    <x v="0"/>
    <x v="57"/>
    <x v="1"/>
    <x v="59"/>
    <x v="3"/>
    <s v="Laval (QUEBEC)"/>
    <x v="2"/>
    <n v="12.38"/>
    <n v="3.49"/>
  </r>
  <r>
    <s v="TXN-2024-000451"/>
    <s v="CUST-0056"/>
    <x v="329"/>
    <x v="4"/>
    <s v="U"/>
    <x v="26"/>
    <x v="297"/>
    <n v="1"/>
    <x v="207"/>
    <s v="CAD 3.40"/>
    <x v="1"/>
    <x v="278"/>
    <x v="0"/>
    <x v="26"/>
    <x v="3"/>
    <s v="London,ONTARIO"/>
    <x v="1"/>
    <n v="7.62"/>
    <n v="3.4"/>
  </r>
  <r>
    <s v="TXN-2024-000165"/>
    <s v="CUST-0243"/>
    <x v="39"/>
    <x v="3"/>
    <s v="F"/>
    <x v="52"/>
    <x v="298"/>
    <n v="1"/>
    <x v="349"/>
    <n v="28.09"/>
    <x v="1"/>
    <x v="39"/>
    <x v="1"/>
    <x v="50"/>
    <x v="3"/>
    <s v="Burnaby British Columbi"/>
    <x v="4"/>
    <n v="62.15"/>
    <n v="28.09"/>
  </r>
  <r>
    <s v="TXN-2024-000029"/>
    <s v="CUST-0028"/>
    <x v="145"/>
    <x v="0"/>
    <s v="FEMALE"/>
    <x v="15"/>
    <x v="70"/>
    <n v="1"/>
    <x v="150"/>
    <s v=" 3.62 CAD "/>
    <x v="1"/>
    <x v="137"/>
    <x v="1"/>
    <x v="15"/>
    <x v="3"/>
    <s v="Ontario - Kitchener"/>
    <x v="1"/>
    <n v="15.14"/>
    <n v="3.62"/>
  </r>
  <r>
    <s v="TXN-2023-000774"/>
    <s v="CUST-0016"/>
    <x v="330"/>
    <x v="0"/>
    <s v="F"/>
    <x v="54"/>
    <x v="299"/>
    <n v="2"/>
    <x v="86"/>
    <n v="9.92"/>
    <x v="1"/>
    <x v="279"/>
    <x v="1"/>
    <x v="52"/>
    <x v="0"/>
    <s v="Saint John  New Brunswick"/>
    <x v="8"/>
    <n v="26.81"/>
    <n v="9.92"/>
  </r>
  <r>
    <s v="TXN-2023-000194"/>
    <s v="CUST-0145"/>
    <x v="331"/>
    <x v="4"/>
    <s v="Prefer not to say"/>
    <x v="36"/>
    <x v="208"/>
    <n v="-5"/>
    <x v="350"/>
    <n v="-27.93"/>
    <x v="0"/>
    <x v="280"/>
    <x v="3"/>
    <x v="35"/>
    <x v="3"/>
    <s v="Burnaby, British Columbia"/>
    <x v="4"/>
    <n v="-52.03"/>
    <n v="-27.93"/>
  </r>
  <r>
    <s v="TXN-2023-000389"/>
    <s v="CUST-0046"/>
    <x v="332"/>
    <x v="0"/>
    <s v="Prefer not to say"/>
    <x v="0"/>
    <x v="300"/>
    <n v="5"/>
    <x v="351"/>
    <m/>
    <x v="1"/>
    <x v="281"/>
    <x v="3"/>
    <x v="0"/>
    <x v="0"/>
    <s v="Brampton (Ontario)"/>
    <x v="1"/>
    <n v="139.93"/>
    <m/>
  </r>
  <r>
    <s v="TXN-2023-000853"/>
    <s v="CUST-0088"/>
    <x v="333"/>
    <x v="2"/>
    <s v="FEMALE"/>
    <x v="57"/>
    <x v="301"/>
    <n v="1"/>
    <x v="352"/>
    <n v="12.1"/>
    <x v="1"/>
    <x v="282"/>
    <x v="1"/>
    <x v="1"/>
    <x v="1"/>
    <s v="Sherbrooke / Quebe"/>
    <x v="2"/>
    <n v="26.11"/>
    <n v="12.1"/>
  </r>
  <r>
    <s v="TXN-2024-000170"/>
    <s v="CUST-0319"/>
    <x v="334"/>
    <x v="2"/>
    <s v="FEMALE"/>
    <x v="50"/>
    <x v="172"/>
    <n v="3"/>
    <x v="353"/>
    <s v="CAD 29.16"/>
    <x v="1"/>
    <x v="283"/>
    <x v="1"/>
    <x v="48"/>
    <x v="2"/>
    <s v="Richmond-BC"/>
    <x v="4"/>
    <n v="68.760000000000005"/>
    <n v="29.16"/>
  </r>
  <r>
    <s v="TXN-2023-000706"/>
    <s v="CUST-0268"/>
    <x v="335"/>
    <x v="2"/>
    <s v="U"/>
    <x v="27"/>
    <x v="302"/>
    <n v="2"/>
    <x v="354"/>
    <n v="19.600000000000001"/>
    <x v="0"/>
    <x v="119"/>
    <x v="0"/>
    <x v="27"/>
    <x v="0"/>
    <s v="St. John's-NewfoundlandandLabrador"/>
    <x v="7"/>
    <n v="41.94"/>
    <n v="19.600000000000001"/>
  </r>
  <r>
    <s v="TXN-2023-000141"/>
    <s v="CUST-0187"/>
    <x v="336"/>
    <x v="2"/>
    <s v="FEMALE"/>
    <x v="44"/>
    <x v="11"/>
    <n v="1"/>
    <x v="355"/>
    <s v="15,40"/>
    <x v="1"/>
    <x v="4"/>
    <x v="1"/>
    <x v="43"/>
    <x v="3"/>
    <s v="Vancouver,British Columbia"/>
    <x v="4"/>
    <n v="34.43"/>
    <n v="15.4"/>
  </r>
  <r>
    <s v="TXN-2023-000174"/>
    <s v="CUST-0044"/>
    <x v="337"/>
    <x v="2"/>
    <s v="male"/>
    <x v="11"/>
    <x v="303"/>
    <n v="2"/>
    <x v="356"/>
    <n v="16.510000000000002"/>
    <x v="1"/>
    <x v="284"/>
    <x v="2"/>
    <x v="11"/>
    <x v="5"/>
    <s v="Victoria, British Columbi"/>
    <x v="4"/>
    <n v="52.68"/>
    <n v="16.510000000000002"/>
  </r>
  <r>
    <s v="TXN-2024-000007"/>
    <s v="CUST-0283"/>
    <x v="338"/>
    <x v="1"/>
    <s v="FEMALE"/>
    <x v="43"/>
    <x v="96"/>
    <n v="1"/>
    <x v="357"/>
    <s v="9,38"/>
    <x v="0"/>
    <x v="285"/>
    <x v="1"/>
    <x v="42"/>
    <x v="4"/>
    <s v="Kitchener / Ontario"/>
    <x v="1"/>
    <n v="25.37"/>
    <n v="9.3800000000000008"/>
  </r>
  <r>
    <s v="TXN-2023-000746"/>
    <s v="CUST-0045"/>
    <x v="339"/>
    <x v="2"/>
    <s v="male"/>
    <x v="50"/>
    <x v="304"/>
    <n v="2"/>
    <x v="358"/>
    <s v=" 17.18 CAD "/>
    <x v="0"/>
    <x v="286"/>
    <x v="2"/>
    <x v="48"/>
    <x v="2"/>
    <s v="ONTARIO - Windsor"/>
    <x v="1"/>
    <n v="39.22"/>
    <n v="17.18"/>
  </r>
  <r>
    <s v="TXN-2024-000479"/>
    <s v="CUST-0238"/>
    <x v="340"/>
    <x v="4"/>
    <s v="F"/>
    <x v="47"/>
    <x v="208"/>
    <n v="1"/>
    <x v="359"/>
    <s v=" 5.60 CAD "/>
    <x v="0"/>
    <x v="287"/>
    <x v="1"/>
    <x v="46"/>
    <x v="2"/>
    <s v="Burnaby, British Columbia"/>
    <x v="4"/>
    <n v="15.8"/>
    <n v="5.6"/>
  </r>
  <r>
    <s v="TXN-2023-000074"/>
    <s v="CUST-0181 "/>
    <x v="341"/>
    <x v="1"/>
    <s v="FEMALE"/>
    <x v="63"/>
    <x v="305"/>
    <n v="2"/>
    <x v="360"/>
    <s v="CAD 22.03"/>
    <x v="0"/>
    <x v="288"/>
    <x v="1"/>
    <x v="60"/>
    <x v="0"/>
    <s v="Gatineau / Quebec"/>
    <x v="2"/>
    <n v="58.68"/>
    <n v="22.03"/>
  </r>
  <r>
    <s v="TXN-2023-000911"/>
    <s v="CUST-0297"/>
    <x v="342"/>
    <x v="4"/>
    <s v="N/A"/>
    <x v="9"/>
    <x v="306"/>
    <n v="1"/>
    <x v="361"/>
    <n v="2.58"/>
    <x v="0"/>
    <x v="289"/>
    <x v="0"/>
    <x v="9"/>
    <x v="3"/>
    <s v="Mississauga / Ontari"/>
    <x v="1"/>
    <n v="7.93"/>
    <n v="2.58"/>
  </r>
  <r>
    <s v="TXN-2023-000814"/>
    <s v="CUST-0233"/>
    <x v="343"/>
    <x v="1"/>
    <s v="Prefer not to say"/>
    <x v="66"/>
    <x v="307"/>
    <n v="2"/>
    <x v="362"/>
    <n v="14.48"/>
    <x v="0"/>
    <x v="58"/>
    <x v="3"/>
    <x v="62"/>
    <x v="4"/>
    <s v="Sydney-Nova Scotia"/>
    <x v="6"/>
    <n v="42.72"/>
    <n v="14.48"/>
  </r>
  <r>
    <s v="TXN-2023-000239"/>
    <s v="CUST-0079"/>
    <x v="344"/>
    <x v="2"/>
    <s v="FEMALE"/>
    <x v="37"/>
    <x v="308"/>
    <n v="1"/>
    <x v="363"/>
    <n v="11.52"/>
    <x v="0"/>
    <x v="290"/>
    <x v="1"/>
    <x v="36"/>
    <x v="0"/>
    <s v="Calgary / Alb3rta"/>
    <x v="0"/>
    <n v="23.49"/>
    <n v="11.52"/>
  </r>
  <r>
    <s v="TXN-2023-000146"/>
    <s v="CUST-0242"/>
    <x v="345"/>
    <x v="3"/>
    <s v="FEMALE"/>
    <x v="35"/>
    <x v="121"/>
    <n v="1"/>
    <x v="364"/>
    <n v="4.04"/>
    <x v="1"/>
    <x v="182"/>
    <x v="1"/>
    <x v="10"/>
    <x v="4"/>
    <s v="Montreal / Quebec"/>
    <x v="2"/>
    <n v="9.6199999999999992"/>
    <n v="4.04"/>
  </r>
  <r>
    <s v="TXN-2023-000793"/>
    <s v="CUST-0189"/>
    <x v="346"/>
    <x v="0"/>
    <s v="FEMALE"/>
    <x v="32"/>
    <x v="202"/>
    <n v="4"/>
    <x v="47"/>
    <n v="11.46"/>
    <x v="1"/>
    <x v="291"/>
    <x v="1"/>
    <x v="32"/>
    <x v="2"/>
    <s v="Windsor Ontario"/>
    <x v="1"/>
    <m/>
    <n v="11.46"/>
  </r>
  <r>
    <s v="TXN-2023-000235"/>
    <s v="CUST-0014"/>
    <x v="347"/>
    <x v="0"/>
    <s v="male"/>
    <x v="40"/>
    <x v="40"/>
    <n v="2"/>
    <x v="365"/>
    <n v="10.68"/>
    <x v="0"/>
    <x v="268"/>
    <x v="2"/>
    <x v="39"/>
    <x v="3"/>
    <s v="Surrey-BRITISH COLUMBIA"/>
    <x v="4"/>
    <n v="24.6"/>
    <n v="10.68"/>
  </r>
  <r>
    <s v="TXN-2023-000221"/>
    <s v="CUST-0025"/>
    <x v="348"/>
    <x v="4"/>
    <s v="F"/>
    <x v="44"/>
    <x v="309"/>
    <n v="1"/>
    <x v="366"/>
    <s v="CAD 7.24"/>
    <x v="0"/>
    <x v="292"/>
    <x v="1"/>
    <x v="43"/>
    <x v="3"/>
    <s v="Ontari - Hamilton"/>
    <x v="1"/>
    <n v="20.329999999999998"/>
    <n v="7.24"/>
  </r>
  <r>
    <s v="TXN-2023-000924"/>
    <s v="CUST-0129"/>
    <x v="349"/>
    <x v="1"/>
    <s v="male"/>
    <x v="11"/>
    <x v="310"/>
    <n v="-1"/>
    <x v="367"/>
    <n v="-6.12"/>
    <x v="0"/>
    <x v="211"/>
    <x v="2"/>
    <x v="11"/>
    <x v="5"/>
    <s v="Halifax-Nova Scotia"/>
    <x v="6"/>
    <n v="-14.33"/>
    <n v="-6.12"/>
  </r>
  <r>
    <s v="Txn-2023-000501"/>
    <s v="CUST-0274"/>
    <x v="350"/>
    <x v="1"/>
    <s v="FEMALE"/>
    <x v="6"/>
    <x v="311"/>
    <n v="2"/>
    <x v="368"/>
    <n v="23.55"/>
    <x v="1"/>
    <x v="293"/>
    <x v="1"/>
    <x v="6"/>
    <x v="0"/>
    <s v="QC - Montreal"/>
    <x v="2"/>
    <n v="54.43"/>
    <n v="23.55"/>
  </r>
  <r>
    <s v="TXN-2023-000133"/>
    <s v="CUST-0290"/>
    <x v="351"/>
    <x v="0"/>
    <s v="male"/>
    <x v="4"/>
    <x v="312"/>
    <n v="5"/>
    <x v="369"/>
    <n v="45.59"/>
    <x v="1"/>
    <x v="294"/>
    <x v="2"/>
    <x v="4"/>
    <x v="0"/>
    <s v="Victoria,BC"/>
    <x v="4"/>
    <n v="96.27"/>
    <n v="45.59"/>
  </r>
  <r>
    <s v="TXN-2024-000217"/>
    <s v="cust-0054"/>
    <x v="352"/>
    <x v="3"/>
    <s v="F "/>
    <x v="18"/>
    <x v="313"/>
    <n v="6"/>
    <x v="370"/>
    <n v="59.09"/>
    <x v="0"/>
    <x v="295"/>
    <x v="1"/>
    <x v="18"/>
    <x v="0"/>
    <s v="Ontario - London"/>
    <x v="1"/>
    <n v="173.7"/>
    <n v="59.09"/>
  </r>
  <r>
    <s v="TXN-2024-000775"/>
    <s v="CUST-0145"/>
    <x v="353"/>
    <x v="3"/>
    <s v="FEMALE"/>
    <x v="4"/>
    <x v="314"/>
    <n v="6"/>
    <x v="371"/>
    <s v="CAD 131.35"/>
    <x v="0"/>
    <x v="11"/>
    <x v="1"/>
    <x v="4"/>
    <x v="0"/>
    <s v="Sydney NovaScotia"/>
    <x v="6"/>
    <n v="364.3"/>
    <n v="131.35"/>
  </r>
  <r>
    <s v="TXN-2023-000186"/>
    <s v="CUST-0121"/>
    <x v="354"/>
    <x v="3"/>
    <s v="male"/>
    <x v="18"/>
    <x v="38"/>
    <n v="2"/>
    <x v="372"/>
    <s v="CAD 35.42"/>
    <x v="1"/>
    <x v="296"/>
    <x v="2"/>
    <x v="18"/>
    <x v="0"/>
    <s v="London-on"/>
    <x v="1"/>
    <n v="64"/>
    <n v="35.42"/>
  </r>
  <r>
    <s v="TXN-2024-000042"/>
    <s v="CUST-0271"/>
    <x v="112"/>
    <x v="2"/>
    <s v="Prefer not to say"/>
    <x v="14"/>
    <x v="315"/>
    <n v="4"/>
    <x v="373"/>
    <n v="51.39"/>
    <x v="1"/>
    <x v="109"/>
    <x v="3"/>
    <x v="14"/>
    <x v="3"/>
    <s v="Hamilton Ontario"/>
    <x v="1"/>
    <n v="104.95"/>
    <n v="51.39"/>
  </r>
  <r>
    <s v="TXN-2023-000697"/>
    <s v="CUST-0173"/>
    <x v="355"/>
    <x v="3"/>
    <s v="F"/>
    <x v="44"/>
    <x v="316"/>
    <n v="1"/>
    <x v="374"/>
    <s v="CAD 17.13"/>
    <x v="1"/>
    <x v="297"/>
    <x v="1"/>
    <x v="43"/>
    <x v="3"/>
    <s v="Edmonton,Alberta"/>
    <x v="0"/>
    <n v="57.64"/>
    <n v="17.13"/>
  </r>
  <r>
    <s v="TXN-2024-000109"/>
    <s v="CUST-0207"/>
    <x v="356"/>
    <x v="4"/>
    <s v="FEMALE"/>
    <x v="60"/>
    <x v="226"/>
    <n v="3"/>
    <x v="375"/>
    <n v="3.5"/>
    <x v="0"/>
    <x v="237"/>
    <x v="1"/>
    <x v="57"/>
    <x v="5"/>
    <s v="Lethbridge ALBERTA"/>
    <x v="0"/>
    <n v="7.01"/>
    <n v="3.5"/>
  </r>
  <r>
    <s v="TXN-2023-000589"/>
    <s v="CUST-0303"/>
    <x v="357"/>
    <x v="3"/>
    <s v="FEMALE"/>
    <x v="44"/>
    <x v="317"/>
    <n v="1"/>
    <x v="376"/>
    <s v=" 39.16 CAD "/>
    <x v="1"/>
    <x v="298"/>
    <x v="1"/>
    <x v="43"/>
    <x v="3"/>
    <s v="Richmond / BC"/>
    <x v="4"/>
    <n v="67.290000000000006"/>
    <n v="39.159999999999997"/>
  </r>
  <r>
    <s v="TXN-2024-000057"/>
    <s v="CUST-0001"/>
    <x v="183"/>
    <x v="0"/>
    <s v="FEMALE"/>
    <x v="1"/>
    <x v="91"/>
    <n v="1"/>
    <x v="377"/>
    <s v="11,38"/>
    <x v="1"/>
    <x v="167"/>
    <x v="1"/>
    <x v="1"/>
    <x v="1"/>
    <s v="Quebec - Sherbrooke"/>
    <x v="2"/>
    <n v="22.01"/>
    <n v="11.38"/>
  </r>
  <r>
    <s v="TXN-2023-000406"/>
    <s v="CUST-0256"/>
    <x v="358"/>
    <x v="1"/>
    <s v="FEMALE"/>
    <x v="15"/>
    <x v="318"/>
    <n v="2"/>
    <x v="378"/>
    <s v="CAD 14.61"/>
    <x v="1"/>
    <x v="289"/>
    <x v="1"/>
    <x v="15"/>
    <x v="3"/>
    <s v="Red Deer (ab)"/>
    <x v="0"/>
    <n v="34.049999999999997"/>
    <n v="14.61"/>
  </r>
  <r>
    <s v="TXN-2024-000443"/>
    <s v="CUST-0091"/>
    <x v="359"/>
    <x v="4"/>
    <s v="F"/>
    <x v="36"/>
    <x v="319"/>
    <n v="1"/>
    <x v="379"/>
    <n v="6.06"/>
    <x v="0"/>
    <x v="299"/>
    <x v="1"/>
    <x v="35"/>
    <x v="3"/>
    <s v="Mississauga-on"/>
    <x v="1"/>
    <n v="18.21"/>
    <n v="6.06"/>
  </r>
  <r>
    <s v="TXN-2024-000758"/>
    <s v="CUST-0017"/>
    <x v="360"/>
    <x v="4"/>
    <s v="male"/>
    <x v="56"/>
    <x v="140"/>
    <n v="2"/>
    <x v="380"/>
    <n v="14.15"/>
    <x v="0"/>
    <x v="300"/>
    <x v="2"/>
    <x v="54"/>
    <x v="5"/>
    <s v="Kelowna  BC"/>
    <x v="4"/>
    <n v="34.85"/>
    <n v="14.15"/>
  </r>
  <r>
    <s v="TXN-2023-000148"/>
    <s v="cust-0156"/>
    <x v="361"/>
    <x v="1"/>
    <s v="F "/>
    <x v="47"/>
    <x v="320"/>
    <n v="2"/>
    <x v="381"/>
    <n v="11.17"/>
    <x v="0"/>
    <x v="301"/>
    <x v="1"/>
    <x v="46"/>
    <x v="2"/>
    <s v="Calgary-ab"/>
    <x v="0"/>
    <n v="30.26"/>
    <n v="11.17"/>
  </r>
  <r>
    <s v="TXN-2023-000025"/>
    <s v="CUST-0302"/>
    <x v="362"/>
    <x v="1"/>
    <s v="male"/>
    <x v="55"/>
    <x v="321"/>
    <n v="6"/>
    <x v="382"/>
    <n v="17.46"/>
    <x v="1"/>
    <x v="91"/>
    <x v="2"/>
    <x v="53"/>
    <x v="3"/>
    <s v="Saint John NB"/>
    <x v="8"/>
    <n v="29.72"/>
    <n v="17.46"/>
  </r>
  <r>
    <s v="TXN-2024-000468"/>
    <s v="CUST-0035"/>
    <x v="0"/>
    <x v="4"/>
    <s v="FEMALE"/>
    <x v="19"/>
    <x v="322"/>
    <n v="3"/>
    <x v="383"/>
    <n v="23.46"/>
    <x v="1"/>
    <x v="0"/>
    <x v="1"/>
    <x v="19"/>
    <x v="0"/>
    <s v="Alberta - Red Deer"/>
    <x v="0"/>
    <n v="68.22"/>
    <n v="23.46"/>
  </r>
  <r>
    <s v="TXN-2023-000540"/>
    <s v="CUST-0068"/>
    <x v="34"/>
    <x v="4"/>
    <s v="FEMALE"/>
    <x v="46"/>
    <x v="323"/>
    <n v="1"/>
    <x v="384"/>
    <n v="4.78"/>
    <x v="1"/>
    <x v="34"/>
    <x v="1"/>
    <x v="45"/>
    <x v="3"/>
    <s v="Red Deer Alberta"/>
    <x v="0"/>
    <n v="11.46"/>
    <n v="4.78"/>
  </r>
  <r>
    <s v="TXN-2023-000532"/>
    <s v="CUST-0281"/>
    <x v="39"/>
    <x v="4"/>
    <s v="F"/>
    <x v="41"/>
    <x v="324"/>
    <n v="2"/>
    <x v="385"/>
    <s v="CAD 4.83"/>
    <x v="0"/>
    <x v="39"/>
    <x v="1"/>
    <x v="40"/>
    <x v="5"/>
    <s v="Laval-QC"/>
    <x v="2"/>
    <n v="12.03"/>
    <n v="4.83"/>
  </r>
  <r>
    <s v="Txn-2023-000619"/>
    <s v="CUST-0212"/>
    <x v="363"/>
    <x v="4"/>
    <m/>
    <x v="1"/>
    <x v="325"/>
    <n v="2"/>
    <x v="386"/>
    <m/>
    <x v="0"/>
    <x v="273"/>
    <x v="0"/>
    <x v="1"/>
    <x v="1"/>
    <s v="Brampton (Ontari)"/>
    <x v="1"/>
    <n v="16.12"/>
    <m/>
  </r>
  <r>
    <s v="TXN-2024-000695"/>
    <s v="CUST-0277"/>
    <x v="364"/>
    <x v="4"/>
    <s v="FEMALE"/>
    <x v="34"/>
    <x v="99"/>
    <n v="1"/>
    <x v="387"/>
    <n v="3.69"/>
    <x v="1"/>
    <x v="302"/>
    <x v="1"/>
    <x v="34"/>
    <x v="0"/>
    <s v="St. John's, nl"/>
    <x v="7"/>
    <n v="7.11"/>
    <n v="3.69"/>
  </r>
  <r>
    <s v="TXN-2023-000927"/>
    <s v="CUST-0104"/>
    <x v="365"/>
    <x v="0"/>
    <s v="male"/>
    <x v="12"/>
    <x v="326"/>
    <n v="1"/>
    <x v="388"/>
    <n v="12.56"/>
    <x v="0"/>
    <x v="303"/>
    <x v="2"/>
    <x v="12"/>
    <x v="0"/>
    <s v="Lethbridge (ALBERTA)"/>
    <x v="0"/>
    <n v="25.89"/>
    <n v="12.56"/>
  </r>
  <r>
    <s v="TXN-2023-000339"/>
    <s v="CUST-0138"/>
    <x v="366"/>
    <x v="3"/>
    <s v="FEMALE"/>
    <x v="8"/>
    <x v="28"/>
    <n v="1"/>
    <x v="389"/>
    <n v="22.61"/>
    <x v="0"/>
    <x v="288"/>
    <x v="1"/>
    <x v="8"/>
    <x v="3"/>
    <s v="Edmonton ab"/>
    <x v="0"/>
    <n v="45.3"/>
    <n v="22.61"/>
  </r>
  <r>
    <s v="TXN-2023-000052"/>
    <s v="CUST-0103"/>
    <x v="367"/>
    <x v="3"/>
    <s v="FEMALE"/>
    <x v="52"/>
    <x v="327"/>
    <n v="2"/>
    <x v="390"/>
    <n v="41.02"/>
    <x v="0"/>
    <x v="280"/>
    <x v="1"/>
    <x v="50"/>
    <x v="3"/>
    <s v="Richmond / British Columbi"/>
    <x v="4"/>
    <n v="79.52"/>
    <n v="41.02"/>
  </r>
  <r>
    <s v="TXN-2024-000508"/>
    <s v="CUST-0060"/>
    <x v="42"/>
    <x v="1"/>
    <s v="FEMALE"/>
    <x v="16"/>
    <x v="280"/>
    <n v="2"/>
    <x v="391"/>
    <s v="CAD 15.13"/>
    <x v="0"/>
    <x v="42"/>
    <x v="1"/>
    <x v="16"/>
    <x v="4"/>
    <s v="Toronto (ON)"/>
    <x v="1"/>
    <n v="30.44"/>
    <n v="15.13"/>
  </r>
  <r>
    <s v="TXN-2024-000517"/>
    <s v="CUST-0088"/>
    <x v="219"/>
    <x v="3"/>
    <s v="FEMALE"/>
    <x v="64"/>
    <x v="328"/>
    <n v="1"/>
    <x v="392"/>
    <n v="7.62"/>
    <x v="0"/>
    <x v="196"/>
    <x v="1"/>
    <x v="61"/>
    <x v="0"/>
    <s v="Calgary (Alberta)"/>
    <x v="0"/>
    <n v="24.1"/>
    <n v="7.62"/>
  </r>
  <r>
    <s v="TXN-2023-000921"/>
    <s v="CUST-0034"/>
    <x v="39"/>
    <x v="3"/>
    <s v="N/A"/>
    <x v="19"/>
    <x v="329"/>
    <n v="3"/>
    <x v="393"/>
    <n v="28.46"/>
    <x v="0"/>
    <x v="39"/>
    <x v="0"/>
    <x v="19"/>
    <x v="0"/>
    <s v="Calgary / Alberta"/>
    <x v="0"/>
    <n v="128.30000000000001"/>
    <n v="28.46"/>
  </r>
  <r>
    <s v="TXN-2023-000782"/>
    <s v="CUST-0232"/>
    <x v="368"/>
    <x v="3"/>
    <s v="male"/>
    <x v="56"/>
    <x v="330"/>
    <n v="1"/>
    <x v="394"/>
    <n v="14.83"/>
    <x v="0"/>
    <x v="304"/>
    <x v="2"/>
    <x v="54"/>
    <x v="5"/>
    <s v="St. John's / nl"/>
    <x v="7"/>
    <n v="28.18"/>
    <n v="14.83"/>
  </r>
  <r>
    <s v="TXN-2024-000265"/>
    <s v="CUST-0314"/>
    <x v="369"/>
    <x v="2"/>
    <s v="M"/>
    <x v="25"/>
    <x v="248"/>
    <n v="2"/>
    <x v="395"/>
    <n v="13.81"/>
    <x v="0"/>
    <x v="305"/>
    <x v="2"/>
    <x v="25"/>
    <x v="3"/>
    <s v="Gatineau-Quebec"/>
    <x v="2"/>
    <n v="33.799999999999997"/>
    <n v="13.81"/>
  </r>
  <r>
    <s v="TXN-2023-000818"/>
    <s v="CUST-0053"/>
    <x v="370"/>
    <x v="4"/>
    <s v="M"/>
    <x v="65"/>
    <x v="331"/>
    <n v="1"/>
    <x v="396"/>
    <n v="3.36"/>
    <x v="1"/>
    <x v="306"/>
    <x v="2"/>
    <x v="30"/>
    <x v="2"/>
    <s v="Markham (Ontario)"/>
    <x v="1"/>
    <n v="9.8699999999999992"/>
    <n v="3.36"/>
  </r>
  <r>
    <s v="TXN-2023-000711"/>
    <s v="CUST-0257"/>
    <x v="371"/>
    <x v="3"/>
    <s v="F"/>
    <x v="51"/>
    <x v="332"/>
    <n v="2"/>
    <x v="397"/>
    <n v="35.51"/>
    <x v="0"/>
    <x v="307"/>
    <x v="1"/>
    <x v="49"/>
    <x v="2"/>
    <s v="Surrey / BC"/>
    <x v="4"/>
    <n v="72.12"/>
    <n v="35.51"/>
  </r>
  <r>
    <s v="TXN-2024-000683"/>
    <s v="CUST-0296"/>
    <x v="372"/>
    <x v="1"/>
    <s v="FEMALE"/>
    <x v="15"/>
    <x v="333"/>
    <n v="4"/>
    <x v="398"/>
    <n v="56.39"/>
    <x v="0"/>
    <x v="308"/>
    <x v="1"/>
    <x v="15"/>
    <x v="3"/>
    <s v="Sherbrooke,Quebec"/>
    <x v="2"/>
    <n v="91.84"/>
    <n v="56.39"/>
  </r>
  <r>
    <s v="TXN-2023-000833"/>
    <s v="CUST-0062"/>
    <x v="39"/>
    <x v="4"/>
    <s v="male"/>
    <x v="65"/>
    <x v="334"/>
    <n v="1"/>
    <x v="399"/>
    <n v="5.76"/>
    <x v="1"/>
    <x v="39"/>
    <x v="2"/>
    <x v="30"/>
    <x v="2"/>
    <s v="Regina / Saskatchewa"/>
    <x v="3"/>
    <n v="10.87"/>
    <n v="5.76"/>
  </r>
  <r>
    <s v="TXN-2023-000519"/>
    <s v="CUST-0198"/>
    <x v="373"/>
    <x v="4"/>
    <s v="male"/>
    <x v="46"/>
    <x v="335"/>
    <n v="5"/>
    <x v="400"/>
    <n v="36.54"/>
    <x v="0"/>
    <x v="160"/>
    <x v="2"/>
    <x v="45"/>
    <x v="3"/>
    <s v="Markham-ON"/>
    <x v="1"/>
    <n v="63.49"/>
    <n v="36.54"/>
  </r>
  <r>
    <s v="TXN-2023-000448"/>
    <s v="CUST-0163"/>
    <x v="374"/>
    <x v="2"/>
    <s v="M"/>
    <x v="58"/>
    <x v="336"/>
    <n v="1"/>
    <x v="401"/>
    <n v="5.61"/>
    <x v="1"/>
    <x v="309"/>
    <x v="2"/>
    <x v="55"/>
    <x v="0"/>
    <s v="Quebec City-QUEBEC"/>
    <x v="2"/>
    <n v="18.670000000000002"/>
    <n v="5.61"/>
  </r>
  <r>
    <s v="TXN-2024-000019"/>
    <s v="CUST-0312"/>
    <x v="375"/>
    <x v="2"/>
    <s v="male"/>
    <x v="53"/>
    <x v="337"/>
    <n v="1"/>
    <x v="402"/>
    <n v="18.57"/>
    <x v="1"/>
    <x v="310"/>
    <x v="2"/>
    <x v="51"/>
    <x v="3"/>
    <s v="Kelowna-British Columbi"/>
    <x v="4"/>
    <n v="48.14"/>
    <n v="18.57"/>
  </r>
  <r>
    <s v="TXN-2024-000716"/>
    <s v="CUST-0294"/>
    <x v="376"/>
    <x v="3"/>
    <s v="male"/>
    <x v="33"/>
    <x v="70"/>
    <n v="2"/>
    <x v="403"/>
    <n v="9.07"/>
    <x v="1"/>
    <x v="311"/>
    <x v="2"/>
    <x v="33"/>
    <x v="0"/>
    <s v="Ontario - Kitchener"/>
    <x v="1"/>
    <n v="26.44"/>
    <n v="9.07"/>
  </r>
  <r>
    <s v="TXN-2023-000484"/>
    <s v="CUST-0308"/>
    <x v="377"/>
    <x v="3"/>
    <s v="male"/>
    <x v="62"/>
    <x v="224"/>
    <n v="-2"/>
    <x v="404"/>
    <n v="-24.9"/>
    <x v="1"/>
    <x v="312"/>
    <x v="2"/>
    <x v="59"/>
    <x v="3"/>
    <s v="Sherbrooke (Quebec)"/>
    <x v="2"/>
    <n v="-62.4"/>
    <n v="-24.9"/>
  </r>
  <r>
    <s v="TXN-2024-000569"/>
    <s v="CUST-0100 "/>
    <x v="378"/>
    <x v="4"/>
    <m/>
    <x v="50"/>
    <x v="338"/>
    <n v="2"/>
    <x v="405"/>
    <n v="2.21"/>
    <x v="1"/>
    <x v="313"/>
    <x v="0"/>
    <x v="48"/>
    <x v="2"/>
    <s v="Windsor  Ontari"/>
    <x v="1"/>
    <n v="8.1300000000000008"/>
    <n v="2.21"/>
  </r>
  <r>
    <s v="TXN-2023-000434"/>
    <s v="CUST-0128"/>
    <x v="379"/>
    <x v="2"/>
    <s v="FEMALE"/>
    <x v="40"/>
    <x v="21"/>
    <n v="1"/>
    <x v="406"/>
    <n v="7.75"/>
    <x v="1"/>
    <x v="314"/>
    <x v="1"/>
    <x v="39"/>
    <x v="3"/>
    <s v="Kelowna  BRITISH COLUMBIA"/>
    <x v="4"/>
    <n v="17.8"/>
    <n v="7.75"/>
  </r>
  <r>
    <s v="TXN-2023-000368"/>
    <s v="CUST-0288"/>
    <x v="380"/>
    <x v="0"/>
    <s v="male"/>
    <x v="66"/>
    <x v="101"/>
    <n v="1"/>
    <x v="407"/>
    <n v="15.23"/>
    <x v="0"/>
    <x v="315"/>
    <x v="2"/>
    <x v="62"/>
    <x v="4"/>
    <s v="Brampton  ONTARIO"/>
    <x v="1"/>
    <n v="30.96"/>
    <n v="15.23"/>
  </r>
  <r>
    <s v="TXN-2023-000084"/>
    <s v="CUST-0308"/>
    <x v="381"/>
    <x v="4"/>
    <s v="F"/>
    <x v="20"/>
    <x v="339"/>
    <n v="2"/>
    <x v="408"/>
    <s v="18,63"/>
    <x v="1"/>
    <x v="316"/>
    <x v="1"/>
    <x v="20"/>
    <x v="4"/>
    <s v="Ottawa,Ontario"/>
    <x v="1"/>
    <n v="47.18"/>
    <n v="18.63"/>
  </r>
  <r>
    <s v="TXN-2024-000062"/>
    <s v="CUST-0262"/>
    <x v="382"/>
    <x v="3"/>
    <s v="male"/>
    <x v="35"/>
    <x v="340"/>
    <n v="1"/>
    <x v="409"/>
    <n v="3.61"/>
    <x v="0"/>
    <x v="317"/>
    <x v="2"/>
    <x v="10"/>
    <x v="4"/>
    <s v="Markham Ontario"/>
    <x v="1"/>
    <n v="13.52"/>
    <n v="3.61"/>
  </r>
  <r>
    <s v="TXN-2023-000639"/>
    <s v="CUST-0216"/>
    <x v="383"/>
    <x v="4"/>
    <s v="F"/>
    <x v="38"/>
    <x v="341"/>
    <n v="1"/>
    <x v="410"/>
    <n v="4.57"/>
    <x v="0"/>
    <x v="318"/>
    <x v="1"/>
    <x v="37"/>
    <x v="3"/>
    <s v="nb - Fredericton"/>
    <x v="8"/>
    <n v="20.309999999999999"/>
    <n v="4.57"/>
  </r>
  <r>
    <s v="TXN-2023-000273"/>
    <s v="CUST-0272"/>
    <x v="384"/>
    <x v="1"/>
    <s v="N/A"/>
    <x v="41"/>
    <x v="342"/>
    <n v="2"/>
    <x v="411"/>
    <n v="22.31"/>
    <x v="1"/>
    <x v="319"/>
    <x v="0"/>
    <x v="40"/>
    <x v="5"/>
    <s v="Brampton ON"/>
    <x v="1"/>
    <n v="48.04"/>
    <n v="22.31"/>
  </r>
  <r>
    <s v="TXN-2024-000286"/>
    <s v="CUST-0152"/>
    <x v="385"/>
    <x v="1"/>
    <s v="FEMALE"/>
    <x v="66"/>
    <x v="343"/>
    <n v="1"/>
    <x v="412"/>
    <n v="11.45"/>
    <x v="0"/>
    <x v="172"/>
    <x v="1"/>
    <x v="62"/>
    <x v="4"/>
    <s v="Kelowna-bc"/>
    <x v="4"/>
    <n v="26.2"/>
    <n v="11.45"/>
  </r>
  <r>
    <s v="TXN-2023-000361"/>
    <s v="CUST-0059 "/>
    <x v="386"/>
    <x v="0"/>
    <s v="FEMALE"/>
    <x v="14"/>
    <x v="271"/>
    <n v="3"/>
    <x v="413"/>
    <s v="19,70"/>
    <x v="0"/>
    <x v="320"/>
    <x v="1"/>
    <x v="14"/>
    <x v="3"/>
    <s v="BritishColumbia - Surrey"/>
    <x v="4"/>
    <n v="50.85"/>
    <n v="19.7"/>
  </r>
  <r>
    <s v="TXN-2024-000355"/>
    <s v="CUST-0106"/>
    <x v="387"/>
    <x v="0"/>
    <s v="male"/>
    <x v="13"/>
    <x v="344"/>
    <n v="3"/>
    <x v="414"/>
    <n v="27.33"/>
    <x v="0"/>
    <x v="321"/>
    <x v="2"/>
    <x v="13"/>
    <x v="0"/>
    <s v="London  ON"/>
    <x v="1"/>
    <n v="59.85"/>
    <n v="27.33"/>
  </r>
  <r>
    <s v="TXN-2023-000457"/>
    <s v="CUST-0277"/>
    <x v="75"/>
    <x v="2"/>
    <s v="FEMALE"/>
    <x v="15"/>
    <x v="345"/>
    <n v="1"/>
    <x v="415"/>
    <n v="4.5599999999999996"/>
    <x v="0"/>
    <x v="74"/>
    <x v="1"/>
    <x v="15"/>
    <x v="3"/>
    <s v="Kelowna / British Columbia"/>
    <x v="4"/>
    <n v="11.29"/>
    <n v="4.5599999999999996"/>
  </r>
  <r>
    <s v="TXN-2024-000279"/>
    <s v="CUST-0259"/>
    <x v="388"/>
    <x v="3"/>
    <s v="male"/>
    <x v="62"/>
    <x v="346"/>
    <n v="1"/>
    <x v="416"/>
    <n v="14.27"/>
    <x v="0"/>
    <x v="283"/>
    <x v="2"/>
    <x v="59"/>
    <x v="3"/>
    <s v="Regina Saskatchewa"/>
    <x v="3"/>
    <n v="41.12"/>
    <n v="14.27"/>
  </r>
  <r>
    <s v="TXN-2023-000013"/>
    <s v="CUST-0074"/>
    <x v="389"/>
    <x v="0"/>
    <s v="FEMALE"/>
    <x v="64"/>
    <x v="347"/>
    <n v="1"/>
    <x v="43"/>
    <n v="8.4700000000000006"/>
    <x v="0"/>
    <x v="322"/>
    <x v="1"/>
    <x v="61"/>
    <x v="0"/>
    <s v="Richmond (British Columbia)"/>
    <x v="4"/>
    <m/>
    <n v="8.4700000000000006"/>
  </r>
  <r>
    <s v="TXN-2024-000183"/>
    <s v="CUST-0046"/>
    <x v="390"/>
    <x v="4"/>
    <s v="male"/>
    <x v="52"/>
    <x v="333"/>
    <n v="1"/>
    <x v="417"/>
    <n v="0.67"/>
    <x v="0"/>
    <x v="323"/>
    <x v="2"/>
    <x v="50"/>
    <x v="3"/>
    <s v="Sherbrooke,QUEBEC"/>
    <x v="2"/>
    <n v="2.84"/>
    <n v="0.67"/>
  </r>
  <r>
    <s v="TXN-2023-000369"/>
    <s v="CUST-0043"/>
    <x v="199"/>
    <x v="3"/>
    <s v="FEMALE"/>
    <x v="58"/>
    <x v="348"/>
    <n v="1"/>
    <x v="418"/>
    <s v="CAD 6.60"/>
    <x v="1"/>
    <x v="182"/>
    <x v="1"/>
    <x v="55"/>
    <x v="0"/>
    <s v="Saint John (NB)"/>
    <x v="8"/>
    <n v="15.82"/>
    <n v="6.6"/>
  </r>
  <r>
    <s v="TXN-2023-000882"/>
    <s v="CUST-0283 "/>
    <x v="320"/>
    <x v="3"/>
    <s v="F"/>
    <x v="40"/>
    <x v="128"/>
    <n v="2"/>
    <x v="419"/>
    <n v="18.440000000000001"/>
    <x v="1"/>
    <x v="272"/>
    <x v="1"/>
    <x v="39"/>
    <x v="3"/>
    <s v="Toronto / ONTARIO"/>
    <x v="1"/>
    <n v="104.18"/>
    <n v="18.440000000000001"/>
  </r>
  <r>
    <s v="TXN-2024-000616"/>
    <s v="CUST-0263"/>
    <x v="391"/>
    <x v="1"/>
    <s v="FEMALE"/>
    <x v="61"/>
    <x v="270"/>
    <n v="2"/>
    <x v="420"/>
    <n v="7.53"/>
    <x v="0"/>
    <x v="174"/>
    <x v="1"/>
    <x v="58"/>
    <x v="0"/>
    <s v="Laval  Quebec"/>
    <x v="2"/>
    <n v="26.36"/>
    <n v="7.53"/>
  </r>
  <r>
    <s v="TXN-2023-000224"/>
    <s v="CUST-0151"/>
    <x v="392"/>
    <x v="2"/>
    <s v="F"/>
    <x v="13"/>
    <x v="349"/>
    <n v="2"/>
    <x v="421"/>
    <s v="CAD 15.86"/>
    <x v="0"/>
    <x v="170"/>
    <x v="1"/>
    <x v="13"/>
    <x v="0"/>
    <s v="Saskatoon (Saskatchewan)"/>
    <x v="3"/>
    <n v="25.66"/>
    <n v="15.86"/>
  </r>
  <r>
    <s v="TXN-2023-000573"/>
    <s v="CUST-0079"/>
    <x v="393"/>
    <x v="2"/>
    <s v="male"/>
    <x v="46"/>
    <x v="350"/>
    <n v="1"/>
    <x v="422"/>
    <s v="8,24"/>
    <x v="0"/>
    <x v="324"/>
    <x v="2"/>
    <x v="45"/>
    <x v="3"/>
    <s v="Sherbrooke, qc"/>
    <x v="2"/>
    <n v="13.54"/>
    <n v="8.24"/>
  </r>
  <r>
    <s v="TXN-2023-000595"/>
    <s v="CUST-0104"/>
    <x v="284"/>
    <x v="1"/>
    <s v="M"/>
    <x v="46"/>
    <x v="262"/>
    <n v="1"/>
    <x v="299"/>
    <n v="7.12"/>
    <x v="0"/>
    <x v="247"/>
    <x v="2"/>
    <x v="45"/>
    <x v="3"/>
    <s v="Ottawa  on"/>
    <x v="1"/>
    <n v="15.63"/>
    <n v="7.12"/>
  </r>
  <r>
    <s v="TXN-2023-000654"/>
    <s v="CUST-0138"/>
    <x v="394"/>
    <x v="2"/>
    <s v="M"/>
    <x v="4"/>
    <x v="351"/>
    <n v="2"/>
    <x v="423"/>
    <n v="22.02"/>
    <x v="0"/>
    <x v="325"/>
    <x v="2"/>
    <x v="4"/>
    <x v="0"/>
    <s v="Sydney-ns"/>
    <x v="6"/>
    <n v="65.03"/>
    <n v="22.02"/>
  </r>
  <r>
    <s v="TXN-2023-000546"/>
    <s v="CUST-0214 "/>
    <x v="395"/>
    <x v="0"/>
    <s v="M"/>
    <x v="7"/>
    <x v="352"/>
    <n v="1"/>
    <x v="424"/>
    <s v="CAD 7.83"/>
    <x v="0"/>
    <x v="326"/>
    <x v="2"/>
    <x v="7"/>
    <x v="0"/>
    <s v="Richmond (BC)"/>
    <x v="4"/>
    <n v="21.98"/>
    <n v="7.83"/>
  </r>
  <r>
    <s v="TXN-2024-000583"/>
    <s v="CUST-0199"/>
    <x v="396"/>
    <x v="4"/>
    <s v="F"/>
    <x v="43"/>
    <x v="353"/>
    <n v="1"/>
    <x v="47"/>
    <n v="7.2"/>
    <x v="0"/>
    <x v="327"/>
    <x v="1"/>
    <x v="42"/>
    <x v="4"/>
    <s v="BC - Victoria"/>
    <x v="4"/>
    <m/>
    <n v="7.2"/>
  </r>
  <r>
    <s v="TXN-2024-000634"/>
    <s v="CUST-0129"/>
    <x v="272"/>
    <x v="4"/>
    <s v="F"/>
    <x v="37"/>
    <x v="354"/>
    <n v="2"/>
    <x v="425"/>
    <n v="20.8"/>
    <x v="1"/>
    <x v="43"/>
    <x v="1"/>
    <x v="36"/>
    <x v="0"/>
    <s v="Markham-Ontario"/>
    <x v="1"/>
    <n v="40.04"/>
    <n v="20.8"/>
  </r>
  <r>
    <s v="TXN-2024-000177"/>
    <s v="CUST-0270"/>
    <x v="397"/>
    <x v="0"/>
    <s v="FEMALE"/>
    <x v="21"/>
    <x v="355"/>
    <n v="1"/>
    <x v="426"/>
    <n v="10.33"/>
    <x v="0"/>
    <x v="328"/>
    <x v="1"/>
    <x v="21"/>
    <x v="3"/>
    <s v="Windsor, ONTARIO"/>
    <x v="1"/>
    <n v="25.12"/>
    <n v="10.33"/>
  </r>
  <r>
    <s v="TXN-2023-000666"/>
    <s v="CUST-0298"/>
    <x v="398"/>
    <x v="1"/>
    <s v="male"/>
    <x v="16"/>
    <x v="195"/>
    <n v="1"/>
    <x v="427"/>
    <n v="8.7799999999999994"/>
    <x v="0"/>
    <x v="292"/>
    <x v="2"/>
    <x v="16"/>
    <x v="4"/>
    <s v="Toronto Ontario"/>
    <x v="1"/>
    <n v="25.17"/>
    <n v="8.7799999999999994"/>
  </r>
  <r>
    <s v="TXN-2023-000674"/>
    <s v="CUST-0165"/>
    <x v="399"/>
    <x v="3"/>
    <s v="FEMALE"/>
    <x v="35"/>
    <x v="356"/>
    <n v="4"/>
    <x v="428"/>
    <s v="CAD 75.49"/>
    <x v="1"/>
    <x v="329"/>
    <x v="1"/>
    <x v="10"/>
    <x v="4"/>
    <s v="Windsor  on"/>
    <x v="1"/>
    <n v="165.62"/>
    <n v="75.489999999999995"/>
  </r>
  <r>
    <s v="TXN-2024-000586"/>
    <s v="CUST-0310"/>
    <x v="400"/>
    <x v="0"/>
    <s v="male"/>
    <x v="55"/>
    <x v="256"/>
    <n v="1"/>
    <x v="429"/>
    <s v="4,56"/>
    <x v="1"/>
    <x v="330"/>
    <x v="2"/>
    <x v="53"/>
    <x v="3"/>
    <s v="Saint John-NEW BRUNSWICK"/>
    <x v="8"/>
    <n v="13.45"/>
    <n v="4.5599999999999996"/>
  </r>
  <r>
    <s v="TXN-2023-000874"/>
    <s v="CUST-0134 "/>
    <x v="221"/>
    <x v="3"/>
    <s v="U"/>
    <x v="48"/>
    <x v="208"/>
    <n v="1"/>
    <x v="232"/>
    <n v="10.91"/>
    <x v="1"/>
    <x v="197"/>
    <x v="0"/>
    <x v="1"/>
    <x v="1"/>
    <s v="Burnaby, British Columbia"/>
    <x v="4"/>
    <n v="20.09"/>
    <n v="10.91"/>
  </r>
  <r>
    <s v="TXN-2024-000394"/>
    <s v="CUST-0266"/>
    <x v="401"/>
    <x v="3"/>
    <s v="male"/>
    <x v="21"/>
    <x v="357"/>
    <n v="1"/>
    <x v="430"/>
    <n v="12.14"/>
    <x v="1"/>
    <x v="331"/>
    <x v="2"/>
    <x v="21"/>
    <x v="3"/>
    <s v="Hamilton, Ontario"/>
    <x v="1"/>
    <n v="30.88"/>
    <n v="12.14"/>
  </r>
  <r>
    <s v="TXN-2023-000164"/>
    <s v="Cust-0049"/>
    <x v="402"/>
    <x v="0"/>
    <s v="male"/>
    <x v="62"/>
    <x v="358"/>
    <n v="1"/>
    <x v="431"/>
    <n v="6.07"/>
    <x v="0"/>
    <x v="44"/>
    <x v="2"/>
    <x v="59"/>
    <x v="3"/>
    <s v="Gatineau (Quebec)"/>
    <x v="2"/>
    <n v="19.14"/>
    <n v="6.07"/>
  </r>
  <r>
    <s v="TXN-2024-000249"/>
    <s v="CUST-0149 "/>
    <x v="403"/>
    <x v="1"/>
    <s v="FEMALE"/>
    <x v="62"/>
    <x v="359"/>
    <n v="1"/>
    <x v="432"/>
    <n v="8.7200000000000006"/>
    <x v="0"/>
    <x v="332"/>
    <x v="1"/>
    <x v="59"/>
    <x v="3"/>
    <s v="Calgary-ab"/>
    <x v="0"/>
    <n v="14.3"/>
    <n v="8.7200000000000006"/>
  </r>
  <r>
    <s v="TXN-2023-000635"/>
    <s v="Cust-0131"/>
    <x v="404"/>
    <x v="3"/>
    <s v="M"/>
    <x v="35"/>
    <x v="360"/>
    <n v="1"/>
    <x v="433"/>
    <n v="16.18"/>
    <x v="0"/>
    <x v="333"/>
    <x v="2"/>
    <x v="10"/>
    <x v="4"/>
    <s v="BRITISH COLUMBIA - Vancouver"/>
    <x v="4"/>
    <n v="61.29"/>
    <n v="16.18"/>
  </r>
  <r>
    <s v="TXN-2023-000886"/>
    <s v="CUST-0219"/>
    <x v="405"/>
    <x v="3"/>
    <s v="male"/>
    <x v="56"/>
    <x v="361"/>
    <n v="1"/>
    <x v="434"/>
    <n v="6.87"/>
    <x v="0"/>
    <x v="334"/>
    <x v="2"/>
    <x v="54"/>
    <x v="5"/>
    <s v="Richmond (BC)"/>
    <x v="4"/>
    <n v="21.21"/>
    <n v="6.87"/>
  </r>
  <r>
    <s v="TXN-2024-000670"/>
    <s v="CUST-0249"/>
    <x v="406"/>
    <x v="1"/>
    <s v="male"/>
    <x v="1"/>
    <x v="270"/>
    <n v="1"/>
    <x v="435"/>
    <n v="3.57"/>
    <x v="0"/>
    <x v="220"/>
    <x v="2"/>
    <x v="1"/>
    <x v="1"/>
    <s v="Laval  Quebec"/>
    <x v="2"/>
    <n v="13.04"/>
    <n v="3.57"/>
  </r>
  <r>
    <s v="TXN-2024-000376"/>
    <s v="CUST-0149"/>
    <x v="407"/>
    <x v="4"/>
    <s v="M"/>
    <x v="62"/>
    <x v="362"/>
    <n v="2"/>
    <x v="436"/>
    <n v="3.78"/>
    <x v="0"/>
    <x v="335"/>
    <x v="2"/>
    <x v="59"/>
    <x v="3"/>
    <s v="Brandon,mb"/>
    <x v="5"/>
    <n v="11.04"/>
    <n v="3.78"/>
  </r>
  <r>
    <s v="TXN-2024-000413"/>
    <s v="CUST-0125"/>
    <x v="43"/>
    <x v="2"/>
    <s v="male"/>
    <x v="36"/>
    <x v="43"/>
    <n v="1"/>
    <x v="43"/>
    <n v="6.7"/>
    <x v="0"/>
    <x v="43"/>
    <x v="2"/>
    <x v="35"/>
    <x v="3"/>
    <s v="Kelowna / British Columbi"/>
    <x v="4"/>
    <m/>
    <n v="6.7"/>
  </r>
  <r>
    <s v="TXN-2023-000075"/>
    <s v="CUST-0140"/>
    <x v="408"/>
    <x v="3"/>
    <s v="F"/>
    <x v="39"/>
    <x v="267"/>
    <n v="1"/>
    <x v="437"/>
    <n v="16"/>
    <x v="0"/>
    <x v="13"/>
    <x v="1"/>
    <x v="38"/>
    <x v="2"/>
    <s v="ALBERTA - Lethbridge"/>
    <x v="0"/>
    <n v="36.369999999999997"/>
    <n v="16"/>
  </r>
  <r>
    <s v="TXN-2023-000114"/>
    <s v="CUST-0169"/>
    <x v="331"/>
    <x v="3"/>
    <s v="U"/>
    <x v="25"/>
    <x v="339"/>
    <n v="-1"/>
    <x v="438"/>
    <n v="-6.79"/>
    <x v="0"/>
    <x v="280"/>
    <x v="0"/>
    <x v="25"/>
    <x v="3"/>
    <s v="Ottawa,Ontario"/>
    <x v="1"/>
    <n v="-6.07"/>
    <n v="-6.79"/>
  </r>
  <r>
    <s v="TXN-2023-000599"/>
    <s v="CUST-0043"/>
    <x v="409"/>
    <x v="3"/>
    <s v="male"/>
    <x v="52"/>
    <x v="363"/>
    <n v="-1"/>
    <x v="439"/>
    <n v="-4.7300000000000004"/>
    <x v="0"/>
    <x v="211"/>
    <x v="2"/>
    <x v="50"/>
    <x v="3"/>
    <s v="Lethbridge / Alberta"/>
    <x v="0"/>
    <n v="-8.2799999999999994"/>
    <n v="-4.7300000000000004"/>
  </r>
  <r>
    <s v="TXN-2024-000553"/>
    <s v="CUST-0114"/>
    <x v="314"/>
    <x v="4"/>
    <s v="male"/>
    <x v="50"/>
    <x v="15"/>
    <n v="1"/>
    <x v="335"/>
    <n v="2.5099999999999998"/>
    <x v="1"/>
    <x v="269"/>
    <x v="2"/>
    <x v="48"/>
    <x v="2"/>
    <s v="Ontario - Ottawa"/>
    <x v="1"/>
    <n v="5.78"/>
    <n v="2.5099999999999998"/>
  </r>
  <r>
    <s v="Txn-2024-000391"/>
    <s v="CUST-0110"/>
    <x v="410"/>
    <x v="4"/>
    <s v="male"/>
    <x v="38"/>
    <x v="327"/>
    <n v="1"/>
    <x v="440"/>
    <n v="1.2"/>
    <x v="1"/>
    <x v="244"/>
    <x v="2"/>
    <x v="37"/>
    <x v="3"/>
    <s v="Richmond / British Columbi"/>
    <x v="4"/>
    <n v="3.52"/>
    <n v="1.2"/>
  </r>
  <r>
    <s v="TXN-2024-000105"/>
    <s v="CUST-0210"/>
    <x v="411"/>
    <x v="1"/>
    <s v="FEMALE"/>
    <x v="7"/>
    <x v="364"/>
    <n v="2"/>
    <x v="441"/>
    <n v="16.55"/>
    <x v="0"/>
    <x v="336"/>
    <x v="1"/>
    <x v="7"/>
    <x v="0"/>
    <s v="Saskatoon, Saskatchewan"/>
    <x v="3"/>
    <n v="50.27"/>
    <n v="16.55"/>
  </r>
  <r>
    <s v="TXN-2024-000115"/>
    <s v="CUST-0233"/>
    <x v="412"/>
    <x v="1"/>
    <s v="FEMALE"/>
    <x v="32"/>
    <x v="365"/>
    <n v="2"/>
    <x v="442"/>
    <n v="17.91"/>
    <x v="1"/>
    <x v="337"/>
    <x v="1"/>
    <x v="32"/>
    <x v="2"/>
    <s v="Vaughan Ontari0"/>
    <x v="1"/>
    <n v="57.7"/>
    <n v="17.91"/>
  </r>
  <r>
    <s v="TXN-2023-000418"/>
    <s v="CUST-0298"/>
    <x v="413"/>
    <x v="1"/>
    <s v="FEMALE"/>
    <x v="32"/>
    <x v="366"/>
    <n v="1"/>
    <x v="322"/>
    <s v="8,69"/>
    <x v="1"/>
    <x v="338"/>
    <x v="1"/>
    <x v="32"/>
    <x v="2"/>
    <s v="Corner Brook,Newfoundl&amp; &amp; Labrador"/>
    <x v="7"/>
    <n v="25.8"/>
    <n v="8.69"/>
  </r>
  <r>
    <s v="TXN-2023-000526"/>
    <s v="CUST-0170"/>
    <x v="30"/>
    <x v="3"/>
    <s v="FEMALE"/>
    <x v="37"/>
    <x v="18"/>
    <n v="1"/>
    <x v="443"/>
    <n v="21.37"/>
    <x v="0"/>
    <x v="30"/>
    <x v="1"/>
    <x v="36"/>
    <x v="0"/>
    <s v="London,Ontario"/>
    <x v="1"/>
    <n v="38.03"/>
    <n v="21.37"/>
  </r>
  <r>
    <s v="TXN-2023-000458"/>
    <s v="CUST-0202"/>
    <x v="414"/>
    <x v="1"/>
    <s v="M"/>
    <x v="24"/>
    <x v="367"/>
    <n v="1"/>
    <x v="444"/>
    <s v=" 4.46 CAD "/>
    <x v="0"/>
    <x v="246"/>
    <x v="2"/>
    <x v="24"/>
    <x v="3"/>
    <s v="Moncton, New Brunswick"/>
    <x v="8"/>
    <n v="19.93"/>
    <n v="4.46"/>
  </r>
  <r>
    <s v="TXN-2023-000410"/>
    <s v="CUST-0293"/>
    <x v="415"/>
    <x v="1"/>
    <s v="M"/>
    <x v="3"/>
    <x v="289"/>
    <n v="1"/>
    <x v="445"/>
    <n v="12.47"/>
    <x v="0"/>
    <x v="339"/>
    <x v="2"/>
    <x v="3"/>
    <x v="3"/>
    <s v="Red Deer / ab"/>
    <x v="0"/>
    <n v="28.4"/>
    <n v="12.47"/>
  </r>
  <r>
    <s v="TXN-2024-000093"/>
    <s v="CUST-0114"/>
    <x v="416"/>
    <x v="4"/>
    <s v="N/A"/>
    <x v="15"/>
    <x v="368"/>
    <n v="2"/>
    <x v="446"/>
    <n v="5.61"/>
    <x v="0"/>
    <x v="340"/>
    <x v="0"/>
    <x v="15"/>
    <x v="3"/>
    <s v="Ontario - Ottawa"/>
    <x v="1"/>
    <n v="13.11"/>
    <n v="5.61"/>
  </r>
  <r>
    <s v="TXN-2023-000931"/>
    <s v="CUST-0057"/>
    <x v="417"/>
    <x v="0"/>
    <s v="FEMALE"/>
    <x v="50"/>
    <x v="369"/>
    <n v="1"/>
    <x v="447"/>
    <n v="5.91"/>
    <x v="0"/>
    <x v="171"/>
    <x v="1"/>
    <x v="48"/>
    <x v="2"/>
    <s v="Kitchener-ONTARIO"/>
    <x v="1"/>
    <n v="15.1"/>
    <n v="5.91"/>
  </r>
  <r>
    <s v="TXN-2023-000090"/>
    <s v="CUST-0109"/>
    <x v="418"/>
    <x v="0"/>
    <s v="FEMALE"/>
    <x v="12"/>
    <x v="13"/>
    <n v="1"/>
    <x v="448"/>
    <n v="3.76"/>
    <x v="0"/>
    <x v="341"/>
    <x v="1"/>
    <x v="12"/>
    <x v="0"/>
    <s v="Mississauga (Ontario)"/>
    <x v="1"/>
    <n v="16.28"/>
    <n v="3.76"/>
  </r>
  <r>
    <s v="TXN-2023-000337"/>
    <s v="CUST-0306"/>
    <x v="339"/>
    <x v="1"/>
    <s v="F"/>
    <x v="56"/>
    <x v="370"/>
    <n v="1"/>
    <x v="449"/>
    <n v="10.25"/>
    <x v="0"/>
    <x v="286"/>
    <x v="1"/>
    <x v="54"/>
    <x v="5"/>
    <s v="Victoria,British Columbia"/>
    <x v="4"/>
    <n v="19.87"/>
    <n v="10.25"/>
  </r>
  <r>
    <s v="TXN-2023-000581"/>
    <s v="CUST-0290"/>
    <x v="327"/>
    <x v="2"/>
    <s v="male"/>
    <x v="48"/>
    <x v="295"/>
    <n v="-1"/>
    <x v="347"/>
    <n v="-9.01"/>
    <x v="1"/>
    <x v="277"/>
    <x v="2"/>
    <x v="1"/>
    <x v="1"/>
    <s v="St. John's / NL"/>
    <x v="7"/>
    <n v="-17.34"/>
    <n v="-9.01"/>
  </r>
  <r>
    <s v="TXN-2024-000922"/>
    <s v="CUST-0063"/>
    <x v="419"/>
    <x v="0"/>
    <s v="FEMALE"/>
    <x v="5"/>
    <x v="19"/>
    <n v="3"/>
    <x v="450"/>
    <n v="24.54"/>
    <x v="1"/>
    <x v="342"/>
    <x v="1"/>
    <x v="5"/>
    <x v="0"/>
    <s v="Longueuil (Quebec)"/>
    <x v="2"/>
    <n v="57.01"/>
    <n v="24.54"/>
  </r>
  <r>
    <s v="TXN-2024-000934"/>
    <s v="CUST-0014"/>
    <x v="420"/>
    <x v="2"/>
    <m/>
    <x v="35"/>
    <x v="371"/>
    <n v="1"/>
    <x v="451"/>
    <n v="14.87"/>
    <x v="0"/>
    <x v="343"/>
    <x v="0"/>
    <x v="10"/>
    <x v="4"/>
    <s v="BRITISH COLUMBIA - Burnaby"/>
    <x v="4"/>
    <n v="42.24"/>
    <n v="14.87"/>
  </r>
  <r>
    <s v="TXN-2024-000606"/>
    <s v="CUST-0174 "/>
    <x v="421"/>
    <x v="0"/>
    <s v="FEMALE"/>
    <x v="21"/>
    <x v="71"/>
    <n v="2"/>
    <x v="452"/>
    <m/>
    <x v="1"/>
    <x v="344"/>
    <x v="1"/>
    <x v="21"/>
    <x v="3"/>
    <s v="Longueuil, Quebec"/>
    <x v="2"/>
    <n v="19.52"/>
    <m/>
  </r>
  <r>
    <s v="TXN-2024-000594"/>
    <s v="CUST-0233"/>
    <x v="422"/>
    <x v="4"/>
    <s v="male"/>
    <x v="54"/>
    <x v="122"/>
    <n v="2"/>
    <x v="453"/>
    <n v="5.09"/>
    <x v="1"/>
    <x v="144"/>
    <x v="2"/>
    <x v="52"/>
    <x v="0"/>
    <s v="Mississauga-ONTARIO"/>
    <x v="1"/>
    <n v="11.02"/>
    <n v="5.09"/>
  </r>
  <r>
    <s v="TXN-2023-000612"/>
    <s v="CUST-0181"/>
    <x v="423"/>
    <x v="0"/>
    <s v="U"/>
    <x v="51"/>
    <x v="372"/>
    <n v="3"/>
    <x v="454"/>
    <n v="24.35"/>
    <x v="0"/>
    <x v="53"/>
    <x v="0"/>
    <x v="49"/>
    <x v="2"/>
    <s v="Hamilton / Ontario"/>
    <x v="1"/>
    <n v="55.51"/>
    <n v="24.35"/>
  </r>
  <r>
    <s v="TXN-2023-000095"/>
    <s v="CUST-0129"/>
    <x v="386"/>
    <x v="4"/>
    <s v="male"/>
    <x v="36"/>
    <x v="315"/>
    <n v="4"/>
    <x v="455"/>
    <s v="CAD 28.73"/>
    <x v="1"/>
    <x v="320"/>
    <x v="2"/>
    <x v="35"/>
    <x v="3"/>
    <s v="Hamilton Ontario"/>
    <x v="1"/>
    <n v="78.28"/>
    <n v="28.73"/>
  </r>
  <r>
    <s v="TXN-2023-000012"/>
    <s v="CUST-0138"/>
    <x v="424"/>
    <x v="0"/>
    <s v="male"/>
    <x v="59"/>
    <x v="344"/>
    <n v="2"/>
    <x v="456"/>
    <n v="31.45"/>
    <x v="1"/>
    <x v="345"/>
    <x v="2"/>
    <x v="56"/>
    <x v="3"/>
    <s v="London  on"/>
    <x v="1"/>
    <n v="59.73"/>
    <n v="31.45"/>
  </r>
  <r>
    <s v="TXN-2023-000397"/>
    <s v="CUST-0009"/>
    <x v="261"/>
    <x v="1"/>
    <s v="FEMALE"/>
    <x v="42"/>
    <x v="373"/>
    <n v="1"/>
    <x v="457"/>
    <n v="10.57"/>
    <x v="1"/>
    <x v="88"/>
    <x v="1"/>
    <x v="41"/>
    <x v="4"/>
    <s v="Brandon, mb"/>
    <x v="5"/>
    <n v="27.58"/>
    <n v="10.57"/>
  </r>
  <r>
    <s v="TXN-2023-000534"/>
    <s v="CUST-0235"/>
    <x v="425"/>
    <x v="3"/>
    <s v="FEMALE"/>
    <x v="24"/>
    <x v="374"/>
    <n v="2"/>
    <x v="458"/>
    <n v="9.3800000000000008"/>
    <x v="1"/>
    <x v="176"/>
    <x v="1"/>
    <x v="24"/>
    <x v="3"/>
    <s v="Kitchener,ON"/>
    <x v="1"/>
    <n v="24.37"/>
    <n v="9.3800000000000008"/>
  </r>
  <r>
    <s v="TXN-2024-000044"/>
    <s v="CUST-0105"/>
    <x v="426"/>
    <x v="4"/>
    <s v="FEMALE"/>
    <x v="25"/>
    <x v="375"/>
    <n v="2"/>
    <x v="459"/>
    <n v="4.08"/>
    <x v="0"/>
    <x v="346"/>
    <x v="1"/>
    <x v="25"/>
    <x v="3"/>
    <s v="Winnipeg, Manitoba"/>
    <x v="5"/>
    <n v="12.05"/>
    <n v="4.08"/>
  </r>
  <r>
    <s v="TXN-2024-000043"/>
    <s v="CUST-0060"/>
    <x v="427"/>
    <x v="4"/>
    <s v="male"/>
    <x v="61"/>
    <x v="376"/>
    <n v="2"/>
    <x v="460"/>
    <n v="17.75"/>
    <x v="1"/>
    <x v="347"/>
    <x v="2"/>
    <x v="58"/>
    <x v="0"/>
    <s v="Surrey (British Columbia)"/>
    <x v="4"/>
    <n v="34.159999999999997"/>
    <n v="17.75"/>
  </r>
  <r>
    <s v="TXN-2023-000330"/>
    <s v="CUST-0178"/>
    <x v="428"/>
    <x v="2"/>
    <s v="FEMALE"/>
    <x v="45"/>
    <x v="377"/>
    <n v="1"/>
    <x v="461"/>
    <n v="11.95"/>
    <x v="1"/>
    <x v="348"/>
    <x v="1"/>
    <x v="44"/>
    <x v="5"/>
    <s v="Ottawa on"/>
    <x v="1"/>
    <n v="28.35"/>
    <n v="11.95"/>
  </r>
  <r>
    <s v="TXN-2023-000168"/>
    <s v="CUST-0160"/>
    <x v="429"/>
    <x v="2"/>
    <s v="N/A"/>
    <x v="19"/>
    <x v="378"/>
    <n v="1"/>
    <x v="462"/>
    <n v="16.350000000000001"/>
    <x v="0"/>
    <x v="1"/>
    <x v="0"/>
    <x v="19"/>
    <x v="0"/>
    <s v="Laval  qc"/>
    <x v="2"/>
    <n v="32.14"/>
    <n v="16.350000000000001"/>
  </r>
  <r>
    <s v="TXN-2024-000498"/>
    <s v="CUST-0250"/>
    <x v="430"/>
    <x v="1"/>
    <s v="male"/>
    <x v="6"/>
    <x v="379"/>
    <n v="1"/>
    <x v="463"/>
    <n v="11.75"/>
    <x v="0"/>
    <x v="349"/>
    <x v="2"/>
    <x v="6"/>
    <x v="0"/>
    <s v="Halifax, Nova Scotia"/>
    <x v="6"/>
    <n v="33.81"/>
    <n v="11.75"/>
  </r>
  <r>
    <s v="TXN-2024-000877"/>
    <s v="CUST-0095 "/>
    <x v="431"/>
    <x v="4"/>
    <s v="M"/>
    <x v="28"/>
    <x v="149"/>
    <n v="1"/>
    <x v="464"/>
    <n v="1.99"/>
    <x v="1"/>
    <x v="350"/>
    <x v="2"/>
    <x v="28"/>
    <x v="2"/>
    <s v="Quebec - Laval"/>
    <x v="2"/>
    <n v="3.94"/>
    <n v="1.99"/>
  </r>
  <r>
    <s v="TXN-2023-000598"/>
    <s v="CUST-0196"/>
    <x v="432"/>
    <x v="0"/>
    <s v="F"/>
    <x v="24"/>
    <x v="40"/>
    <n v="1"/>
    <x v="465"/>
    <s v="N/A"/>
    <x v="0"/>
    <x v="303"/>
    <x v="1"/>
    <x v="24"/>
    <x v="3"/>
    <s v="Surrey-BRITISH COLUMBIA"/>
    <x v="4"/>
    <n v="20.420000000000002"/>
    <m/>
  </r>
  <r>
    <s v="TXN-2024-000757"/>
    <s v="CUST-0200"/>
    <x v="433"/>
    <x v="2"/>
    <s v="F"/>
    <x v="47"/>
    <x v="380"/>
    <n v="1"/>
    <x v="466"/>
    <n v="3.28"/>
    <x v="1"/>
    <x v="238"/>
    <x v="1"/>
    <x v="46"/>
    <x v="2"/>
    <s v="Victoria (British Columbi)"/>
    <x v="4"/>
    <n v="9.42"/>
    <n v="3.28"/>
  </r>
  <r>
    <s v="TXN-2023-000101"/>
    <s v="CUST-0038"/>
    <x v="434"/>
    <x v="0"/>
    <s v="N/A"/>
    <x v="2"/>
    <x v="381"/>
    <n v="1"/>
    <x v="467"/>
    <n v="4.9000000000000004"/>
    <x v="1"/>
    <x v="84"/>
    <x v="0"/>
    <x v="2"/>
    <x v="2"/>
    <s v="Kitchener (Ontari)"/>
    <x v="1"/>
    <n v="10.32"/>
    <n v="4.9000000000000004"/>
  </r>
  <r>
    <s v="TXN-2024-000427"/>
    <s v="CUST-0032"/>
    <x v="435"/>
    <x v="1"/>
    <s v="male"/>
    <x v="31"/>
    <x v="382"/>
    <n v="1"/>
    <x v="468"/>
    <s v="CAD 14.08"/>
    <x v="1"/>
    <x v="351"/>
    <x v="2"/>
    <x v="31"/>
    <x v="2"/>
    <s v="Ottawa,Ontari"/>
    <x v="1"/>
    <n v="27.91"/>
    <n v="14.08"/>
  </r>
  <r>
    <s v="TXN-2024-000179"/>
    <s v="CUST-0255"/>
    <x v="436"/>
    <x v="1"/>
    <s v="male"/>
    <x v="27"/>
    <x v="121"/>
    <n v="1"/>
    <x v="469"/>
    <n v="6.42"/>
    <x v="0"/>
    <x v="352"/>
    <x v="2"/>
    <x v="27"/>
    <x v="0"/>
    <s v="Montreal / QUEBEC"/>
    <x v="2"/>
    <n v="12.93"/>
    <n v="6.42"/>
  </r>
  <r>
    <s v="TXN-2023-000445"/>
    <s v="CUST-0070"/>
    <x v="437"/>
    <x v="4"/>
    <s v="male"/>
    <x v="37"/>
    <x v="383"/>
    <n v="1"/>
    <x v="470"/>
    <n v="6.71"/>
    <x v="1"/>
    <x v="223"/>
    <x v="2"/>
    <x v="36"/>
    <x v="0"/>
    <s v="Red Deer  Albert"/>
    <x v="0"/>
    <n v="13.94"/>
    <n v="6.71"/>
  </r>
  <r>
    <s v="TXN-2023-000417"/>
    <s v="CUST-0023"/>
    <x v="438"/>
    <x v="1"/>
    <s v="male"/>
    <x v="13"/>
    <x v="384"/>
    <n v="1"/>
    <x v="248"/>
    <n v="8.64"/>
    <x v="1"/>
    <x v="98"/>
    <x v="2"/>
    <x v="13"/>
    <x v="0"/>
    <s v="Ontario - Hamilton"/>
    <x v="1"/>
    <n v="28.4"/>
    <n v="8.64"/>
  </r>
  <r>
    <s v="TXN-2023-000871"/>
    <s v="CUST-0068 "/>
    <x v="439"/>
    <x v="2"/>
    <s v="U"/>
    <x v="48"/>
    <x v="385"/>
    <n v="5"/>
    <x v="1"/>
    <n v="47.74"/>
    <x v="0"/>
    <x v="353"/>
    <x v="0"/>
    <x v="1"/>
    <x v="1"/>
    <s v="Sherbrooke, Qu3b3c"/>
    <x v="2"/>
    <m/>
    <n v="47.74"/>
  </r>
  <r>
    <s v="TXN-2024-000883"/>
    <s v="CUST-0048"/>
    <x v="329"/>
    <x v="4"/>
    <s v="FEMALE"/>
    <x v="64"/>
    <x v="305"/>
    <n v="2"/>
    <x v="471"/>
    <n v="15.24"/>
    <x v="0"/>
    <x v="278"/>
    <x v="1"/>
    <x v="61"/>
    <x v="0"/>
    <s v="Gatineau / Quebec"/>
    <x v="2"/>
    <n v="30.32"/>
    <n v="15.24"/>
  </r>
  <r>
    <s v="TXN-2023-000681"/>
    <s v="CUST-0111"/>
    <x v="440"/>
    <x v="1"/>
    <s v="N/A"/>
    <x v="6"/>
    <x v="386"/>
    <n v="2"/>
    <x v="472"/>
    <s v="14,15"/>
    <x v="1"/>
    <x v="354"/>
    <x v="0"/>
    <x v="6"/>
    <x v="0"/>
    <s v="Red Deer,Alberta"/>
    <x v="0"/>
    <n v="25.75"/>
    <n v="14.15"/>
  </r>
  <r>
    <s v="TXN-2023-000178"/>
    <s v="CUST-0155"/>
    <x v="441"/>
    <x v="3"/>
    <s v="male"/>
    <x v="39"/>
    <x v="387"/>
    <n v="1"/>
    <x v="426"/>
    <n v="14.29"/>
    <x v="1"/>
    <x v="355"/>
    <x v="2"/>
    <x v="38"/>
    <x v="2"/>
    <s v="Ontario - Toronto"/>
    <x v="1"/>
    <n v="25.12"/>
    <n v="14.29"/>
  </r>
  <r>
    <s v="TXN-2024-000396"/>
    <s v="CUST-0163"/>
    <x v="127"/>
    <x v="4"/>
    <s v="FEMALE"/>
    <x v="29"/>
    <x v="388"/>
    <n v="3"/>
    <x v="473"/>
    <s v="CAD 15.23"/>
    <x v="1"/>
    <x v="122"/>
    <x v="1"/>
    <x v="29"/>
    <x v="2"/>
    <s v="Saskatoon-Saskatchewan"/>
    <x v="3"/>
    <n v="29.24"/>
    <n v="15.23"/>
  </r>
  <r>
    <s v="TXN-2023-000912"/>
    <s v="CUST-0035"/>
    <x v="442"/>
    <x v="2"/>
    <s v="M"/>
    <x v="21"/>
    <x v="389"/>
    <n v="2"/>
    <x v="474"/>
    <n v="12.37"/>
    <x v="1"/>
    <x v="356"/>
    <x v="2"/>
    <x v="21"/>
    <x v="3"/>
    <s v="Fredericton / NewBrunswick"/>
    <x v="8"/>
    <n v="48.98"/>
    <n v="12.37"/>
  </r>
  <r>
    <s v="TXN-2023-000794"/>
    <s v="CUST-0144"/>
    <x v="443"/>
    <x v="2"/>
    <s v="F"/>
    <x v="58"/>
    <x v="390"/>
    <n v="1"/>
    <x v="475"/>
    <n v="8.51"/>
    <x v="0"/>
    <x v="357"/>
    <x v="1"/>
    <x v="55"/>
    <x v="0"/>
    <s v="Sherbrooke Quebec"/>
    <x v="2"/>
    <n v="23.72"/>
    <n v="8.51"/>
  </r>
  <r>
    <s v="TXN-2024-000479"/>
    <s v="CUST-0238"/>
    <x v="340"/>
    <x v="4"/>
    <s v="F"/>
    <x v="47"/>
    <x v="208"/>
    <n v="1"/>
    <x v="359"/>
    <s v=" 5.60 CAD "/>
    <x v="0"/>
    <x v="287"/>
    <x v="1"/>
    <x v="46"/>
    <x v="2"/>
    <s v="Burnaby, British Columbia"/>
    <x v="4"/>
    <n v="15.8"/>
    <n v="5.6"/>
  </r>
  <r>
    <s v="TXN-2024-000685"/>
    <s v="CUST-0162"/>
    <x v="444"/>
    <x v="4"/>
    <s v="FEMALE"/>
    <x v="46"/>
    <x v="391"/>
    <n v="4"/>
    <x v="476"/>
    <n v="38.96"/>
    <x v="0"/>
    <x v="216"/>
    <x v="1"/>
    <x v="45"/>
    <x v="3"/>
    <s v="Lethbridge,Albert"/>
    <x v="0"/>
    <n v="85.17"/>
    <n v="38.96"/>
  </r>
  <r>
    <s v="TXN-2024-000384"/>
    <s v="CUST-0001"/>
    <x v="445"/>
    <x v="0"/>
    <s v="N/A"/>
    <x v="27"/>
    <x v="326"/>
    <n v="6"/>
    <x v="477"/>
    <n v="56.19"/>
    <x v="0"/>
    <x v="126"/>
    <x v="0"/>
    <x v="27"/>
    <x v="0"/>
    <s v="Lethbridge (Alberta)"/>
    <x v="0"/>
    <n v="176.41"/>
    <n v="56.19"/>
  </r>
  <r>
    <s v="TXN-2023-000238"/>
    <s v="CUST-0066"/>
    <x v="94"/>
    <x v="4"/>
    <s v="FEMALE"/>
    <x v="61"/>
    <x v="94"/>
    <n v="1"/>
    <x v="122"/>
    <n v="6.78"/>
    <x v="1"/>
    <x v="13"/>
    <x v="1"/>
    <x v="58"/>
    <x v="0"/>
    <s v="Vaughan, Ontario"/>
    <x v="1"/>
    <n v="13.61"/>
    <n v="6.78"/>
  </r>
  <r>
    <s v="TXN-2023-000752"/>
    <s v="CUST-0292"/>
    <x v="446"/>
    <x v="0"/>
    <s v="male"/>
    <x v="41"/>
    <x v="392"/>
    <n v="3"/>
    <x v="478"/>
    <n v="10.99"/>
    <x v="1"/>
    <x v="358"/>
    <x v="2"/>
    <x v="40"/>
    <x v="5"/>
    <s v="British Columbia - Burnaby"/>
    <x v="4"/>
    <n v="34.770000000000003"/>
    <n v="10.99"/>
  </r>
  <r>
    <s v="TXN-2024-000258"/>
    <s v="CUST-0071"/>
    <x v="328"/>
    <x v="1"/>
    <s v="FEMALE"/>
    <x v="33"/>
    <x v="113"/>
    <n v="3"/>
    <x v="424"/>
    <n v="10.88"/>
    <x v="0"/>
    <x v="57"/>
    <x v="1"/>
    <x v="33"/>
    <x v="0"/>
    <s v="Toronto-on"/>
    <x v="1"/>
    <n v="21.98"/>
    <n v="10.88"/>
  </r>
  <r>
    <s v="TXN-2023-000539"/>
    <s v="CUST-0154"/>
    <x v="440"/>
    <x v="2"/>
    <s v="FEMALE"/>
    <x v="24"/>
    <x v="393"/>
    <n v="5"/>
    <x v="479"/>
    <n v="32.770000000000003"/>
    <x v="0"/>
    <x v="354"/>
    <x v="1"/>
    <x v="24"/>
    <x v="3"/>
    <s v="Longueuil / qc"/>
    <x v="2"/>
    <n v="75.66"/>
    <n v="32.770000000000003"/>
  </r>
  <r>
    <s v="TXN-2024-000336"/>
    <s v="CUST-0230"/>
    <x v="447"/>
    <x v="0"/>
    <s v="M"/>
    <x v="6"/>
    <x v="394"/>
    <n v="4"/>
    <x v="480"/>
    <s v="CAD 22.49"/>
    <x v="0"/>
    <x v="359"/>
    <x v="2"/>
    <x v="6"/>
    <x v="0"/>
    <s v="ON - Mississauga"/>
    <x v="1"/>
    <n v="46.62"/>
    <n v="22.49"/>
  </r>
  <r>
    <s v="TXN-2023-000016"/>
    <s v="CUST-0196"/>
    <x v="448"/>
    <x v="0"/>
    <s v="FEMALE"/>
    <x v="26"/>
    <x v="395"/>
    <n v="1"/>
    <x v="481"/>
    <s v="CAD 9.36"/>
    <x v="0"/>
    <x v="277"/>
    <x v="1"/>
    <x v="26"/>
    <x v="3"/>
    <s v="Ottawa, Ontario"/>
    <x v="1"/>
    <n v="26.96"/>
    <n v="9.36"/>
  </r>
  <r>
    <s v="TXN-2024-000325"/>
    <s v="CUST-0088"/>
    <x v="449"/>
    <x v="1"/>
    <s v="male"/>
    <x v="50"/>
    <x v="387"/>
    <n v="1"/>
    <x v="482"/>
    <n v="15.79"/>
    <x v="1"/>
    <x v="360"/>
    <x v="2"/>
    <x v="48"/>
    <x v="2"/>
    <s v="Ontario - Toronto"/>
    <x v="1"/>
    <n v="28.96"/>
    <n v="15.79"/>
  </r>
  <r>
    <s v="TXN-2023-000759"/>
    <s v="CUST-0232"/>
    <x v="450"/>
    <x v="4"/>
    <s v="FEMALE"/>
    <x v="49"/>
    <x v="342"/>
    <n v="2"/>
    <x v="483"/>
    <s v="CAD 8.83"/>
    <x v="0"/>
    <x v="361"/>
    <x v="1"/>
    <x v="47"/>
    <x v="0"/>
    <s v="Brampton on"/>
    <x v="1"/>
    <n v="19.21"/>
    <n v="8.83"/>
  </r>
  <r>
    <s v="TXN-2024-000223"/>
    <s v="CUST-0137"/>
    <x v="451"/>
    <x v="2"/>
    <s v="male"/>
    <x v="38"/>
    <x v="396"/>
    <n v="3"/>
    <x v="484"/>
    <n v="30.08"/>
    <x v="1"/>
    <x v="220"/>
    <x v="2"/>
    <x v="37"/>
    <x v="3"/>
    <s v="Burnaby,BC"/>
    <x v="4"/>
    <n v="80.739999999999995"/>
    <n v="30.08"/>
  </r>
  <r>
    <s v="TXN-2024-000180"/>
    <s v="CUST-0182"/>
    <x v="452"/>
    <x v="2"/>
    <s v="male"/>
    <x v="47"/>
    <x v="397"/>
    <n v="4"/>
    <x v="485"/>
    <n v="18.59"/>
    <x v="1"/>
    <x v="362"/>
    <x v="2"/>
    <x v="46"/>
    <x v="2"/>
    <s v="Victoria, British Columbi"/>
    <x v="4"/>
    <n v="36.74"/>
    <n v="18.59"/>
  </r>
  <r>
    <s v="TXN-2024-000442"/>
    <s v="CUST-0245"/>
    <x v="39"/>
    <x v="2"/>
    <s v="Prefer not to say"/>
    <x v="28"/>
    <x v="128"/>
    <n v="1"/>
    <x v="486"/>
    <n v="7.11"/>
    <x v="1"/>
    <x v="39"/>
    <x v="3"/>
    <x v="28"/>
    <x v="2"/>
    <s v="Toronto / Ontario"/>
    <x v="1"/>
    <n v="16.84"/>
    <n v="7.11"/>
  </r>
  <r>
    <s v="TXN-2024-000023"/>
    <s v="CUST-0311"/>
    <x v="453"/>
    <x v="2"/>
    <s v="male"/>
    <x v="22"/>
    <x v="296"/>
    <n v="2"/>
    <x v="487"/>
    <s v="CAD 27.61"/>
    <x v="0"/>
    <x v="363"/>
    <x v="2"/>
    <x v="22"/>
    <x v="3"/>
    <s v="Laval (Quebec)"/>
    <x v="2"/>
    <n v="60.25"/>
    <n v="27.61"/>
  </r>
  <r>
    <s v="TXN-2023-000357"/>
    <s v="CUST-0125"/>
    <x v="454"/>
    <x v="3"/>
    <s v="male"/>
    <x v="21"/>
    <x v="187"/>
    <n v="2"/>
    <x v="488"/>
    <n v="23.74"/>
    <x v="1"/>
    <x v="364"/>
    <x v="2"/>
    <x v="21"/>
    <x v="3"/>
    <s v="Halifax,Nova Scotia"/>
    <x v="6"/>
    <n v="58.97"/>
    <n v="23.74"/>
  </r>
  <r>
    <s v="TXN-2023-000667"/>
    <s v="CUST-0256"/>
    <x v="380"/>
    <x v="3"/>
    <s v="FEMALE"/>
    <x v="2"/>
    <x v="398"/>
    <n v="-2"/>
    <x v="489"/>
    <s v="-23,03"/>
    <x v="1"/>
    <x v="315"/>
    <x v="1"/>
    <x v="2"/>
    <x v="2"/>
    <s v="Winnipeg, Manitob"/>
    <x v="5"/>
    <n v="-15.55"/>
    <n v="-23.03"/>
  </r>
  <r>
    <s v="TXN-2023-000862"/>
    <s v="CUST-0295"/>
    <x v="455"/>
    <x v="2"/>
    <s v="F"/>
    <x v="60"/>
    <x v="304"/>
    <n v="5"/>
    <x v="490"/>
    <n v="24.47"/>
    <x v="1"/>
    <x v="365"/>
    <x v="1"/>
    <x v="57"/>
    <x v="5"/>
    <s v="Ontario - Windsor"/>
    <x v="1"/>
    <n v="131.86000000000001"/>
    <n v="24.47"/>
  </r>
  <r>
    <s v="TXN-2023-000341"/>
    <s v="CUST-0127"/>
    <x v="456"/>
    <x v="4"/>
    <s v="male"/>
    <x v="12"/>
    <x v="17"/>
    <n v="1"/>
    <x v="491"/>
    <n v="2.5499999999999998"/>
    <x v="0"/>
    <x v="366"/>
    <x v="2"/>
    <x v="12"/>
    <x v="0"/>
    <s v="Laval QUEBEC"/>
    <x v="2"/>
    <n v="6.98"/>
    <n v="2.5499999999999998"/>
  </r>
  <r>
    <s v="TXN-2024-000432"/>
    <s v="CUST-0318"/>
    <x v="457"/>
    <x v="2"/>
    <s v="FEMALE"/>
    <x v="59"/>
    <x v="11"/>
    <n v="1"/>
    <x v="492"/>
    <n v="16.45"/>
    <x v="1"/>
    <x v="27"/>
    <x v="1"/>
    <x v="56"/>
    <x v="3"/>
    <s v="Vancouver,BRITISH COLUMBIA"/>
    <x v="4"/>
    <n v="33.979999999999997"/>
    <n v="16.45"/>
  </r>
  <r>
    <s v="TXN-2023-000552"/>
    <s v="CUST-0095"/>
    <x v="458"/>
    <x v="3"/>
    <s v="FEMALE"/>
    <x v="17"/>
    <x v="25"/>
    <n v="-2"/>
    <x v="493"/>
    <n v="-1.63"/>
    <x v="1"/>
    <x v="367"/>
    <x v="1"/>
    <x v="17"/>
    <x v="4"/>
    <s v="Longueuil,QUEBEC"/>
    <x v="2"/>
    <n v="-15.81"/>
    <n v="-1.63"/>
  </r>
  <r>
    <s v="TXN-2024-000834"/>
    <s v="CUST-0089"/>
    <x v="459"/>
    <x v="2"/>
    <s v="F"/>
    <x v="40"/>
    <x v="399"/>
    <n v="2"/>
    <x v="494"/>
    <n v="19.59"/>
    <x v="0"/>
    <x v="368"/>
    <x v="1"/>
    <x v="39"/>
    <x v="3"/>
    <s v="Calgary-Alberta"/>
    <x v="0"/>
    <n v="55.82"/>
    <n v="19.59"/>
  </r>
  <r>
    <s v="TXN-2024-000204"/>
    <s v="CUST-0271"/>
    <x v="460"/>
    <x v="2"/>
    <s v="male"/>
    <x v="39"/>
    <x v="400"/>
    <n v="2"/>
    <x v="495"/>
    <n v="8.91"/>
    <x v="0"/>
    <x v="369"/>
    <x v="2"/>
    <x v="38"/>
    <x v="2"/>
    <s v="Richmond-British Columbi"/>
    <x v="4"/>
    <n v="20.059999999999999"/>
    <n v="8.91"/>
  </r>
  <r>
    <s v="TXN-2023-000631"/>
    <s v="CUST-0144"/>
    <x v="461"/>
    <x v="0"/>
    <s v="FEMALE"/>
    <x v="47"/>
    <x v="90"/>
    <n v="1"/>
    <x v="496"/>
    <s v=" 10.91 CAD "/>
    <x v="0"/>
    <x v="370"/>
    <x v="1"/>
    <x v="46"/>
    <x v="2"/>
    <s v="Red Deer / Alberta"/>
    <x v="0"/>
    <n v="28.89"/>
    <n v="10.91"/>
  </r>
  <r>
    <s v="TXN-2023-000094"/>
    <s v="CUST-0272"/>
    <x v="462"/>
    <x v="2"/>
    <s v="FEMALE"/>
    <x v="11"/>
    <x v="401"/>
    <n v="2"/>
    <x v="497"/>
    <n v="26.02"/>
    <x v="0"/>
    <x v="371"/>
    <x v="1"/>
    <x v="11"/>
    <x v="5"/>
    <s v="Lethbridge  Alberta"/>
    <x v="0"/>
    <n v="66.86"/>
    <n v="26.02"/>
  </r>
  <r>
    <s v="TXN-2024-000559"/>
    <s v="CUST-0223"/>
    <x v="463"/>
    <x v="2"/>
    <s v="FEMALE"/>
    <x v="39"/>
    <x v="402"/>
    <n v="4"/>
    <x v="498"/>
    <n v="57.58"/>
    <x v="1"/>
    <x v="300"/>
    <x v="1"/>
    <x v="38"/>
    <x v="2"/>
    <s v="Quebec City  QC"/>
    <x v="2"/>
    <n v="148.38999999999999"/>
    <n v="57.58"/>
  </r>
  <r>
    <s v="TXN-2023-000069"/>
    <s v="CUST-0231"/>
    <x v="464"/>
    <x v="0"/>
    <s v="male"/>
    <x v="21"/>
    <x v="403"/>
    <n v="-3"/>
    <x v="499"/>
    <n v="-10.43"/>
    <x v="0"/>
    <x v="372"/>
    <x v="2"/>
    <x v="21"/>
    <x v="3"/>
    <s v="Mississauga  Ontari"/>
    <x v="1"/>
    <n v="-28.45"/>
    <n v="-10.43"/>
  </r>
  <r>
    <s v="TXN-2024-000623"/>
    <s v="CUST-0080"/>
    <x v="465"/>
    <x v="4"/>
    <s v="F"/>
    <x v="64"/>
    <x v="31"/>
    <n v="1"/>
    <x v="500"/>
    <n v="7.34"/>
    <x v="1"/>
    <x v="373"/>
    <x v="1"/>
    <x v="61"/>
    <x v="0"/>
    <s v="Windsor  Ontario"/>
    <x v="1"/>
    <n v="16.22"/>
    <n v="7.34"/>
  </r>
  <r>
    <s v="TXN-2024-000285"/>
    <s v="CUST-0239"/>
    <x v="466"/>
    <x v="1"/>
    <s v="FEMALE"/>
    <x v="20"/>
    <x v="404"/>
    <n v="1"/>
    <x v="501"/>
    <n v="9.1300000000000008"/>
    <x v="0"/>
    <x v="374"/>
    <x v="1"/>
    <x v="20"/>
    <x v="4"/>
    <s v="Montreal (Quebec)"/>
    <x v="2"/>
    <n v="25.9"/>
    <n v="9.1300000000000008"/>
  </r>
  <r>
    <s v="TXN-2023-000845"/>
    <s v="CUST-0249"/>
    <x v="174"/>
    <x v="1"/>
    <s v="male"/>
    <x v="49"/>
    <x v="405"/>
    <n v="6"/>
    <x v="502"/>
    <n v="45.57"/>
    <x v="1"/>
    <x v="162"/>
    <x v="2"/>
    <x v="47"/>
    <x v="0"/>
    <s v="Mississauga  Ontario"/>
    <x v="1"/>
    <n v="79"/>
    <n v="45.57"/>
  </r>
  <r>
    <s v="TXN-2023-000435"/>
    <s v="CUST-0258"/>
    <x v="467"/>
    <x v="2"/>
    <s v="male"/>
    <x v="2"/>
    <x v="80"/>
    <n v="1"/>
    <x v="503"/>
    <n v="15.84"/>
    <x v="0"/>
    <x v="375"/>
    <x v="2"/>
    <x v="2"/>
    <x v="2"/>
    <s v="London, on"/>
    <x v="1"/>
    <n v="31.58"/>
    <n v="15.84"/>
  </r>
  <r>
    <s v="TXN-2024-000154"/>
    <s v="CUST-0120"/>
    <x v="468"/>
    <x v="3"/>
    <s v="F"/>
    <x v="17"/>
    <x v="406"/>
    <n v="1"/>
    <x v="504"/>
    <n v="28.36"/>
    <x v="0"/>
    <x v="376"/>
    <x v="1"/>
    <x v="17"/>
    <x v="4"/>
    <s v="Windsor-Ontario"/>
    <x v="1"/>
    <n v="65.400000000000006"/>
    <n v="28.36"/>
  </r>
  <r>
    <s v="TXN-2024-000076"/>
    <s v="CUST-0240"/>
    <x v="469"/>
    <x v="3"/>
    <s v="F"/>
    <x v="53"/>
    <x v="407"/>
    <n v="2"/>
    <x v="505"/>
    <n v="22.43"/>
    <x v="1"/>
    <x v="351"/>
    <x v="1"/>
    <x v="51"/>
    <x v="3"/>
    <s v="Kitchener, ONTARIO"/>
    <x v="1"/>
    <n v="54.67"/>
    <n v="22.43"/>
  </r>
  <r>
    <s v="TXN-2023-000731"/>
    <s v="CUST-0238"/>
    <x v="54"/>
    <x v="3"/>
    <s v="M"/>
    <x v="33"/>
    <x v="408"/>
    <n v="2"/>
    <x v="506"/>
    <s v="CAD 12.35"/>
    <x v="0"/>
    <x v="54"/>
    <x v="2"/>
    <x v="33"/>
    <x v="0"/>
    <s v="Vaughan-on"/>
    <x v="1"/>
    <n v="28.92"/>
    <n v="12.35"/>
  </r>
  <r>
    <s v="TXN-2023-000447"/>
    <s v="CUST-0091"/>
    <x v="470"/>
    <x v="3"/>
    <s v="FEMALE"/>
    <x v="2"/>
    <x v="409"/>
    <n v="1"/>
    <x v="507"/>
    <n v="16.5"/>
    <x v="1"/>
    <x v="377"/>
    <x v="1"/>
    <x v="2"/>
    <x v="2"/>
    <s v="Hamilton, Ontari"/>
    <x v="1"/>
    <n v="31.88"/>
    <n v="16.5"/>
  </r>
  <r>
    <s v="TXN-2023-000189"/>
    <s v="CUST-0029"/>
    <x v="471"/>
    <x v="2"/>
    <s v="M"/>
    <x v="54"/>
    <x v="146"/>
    <n v="4"/>
    <x v="508"/>
    <n v="31.05"/>
    <x v="0"/>
    <x v="85"/>
    <x v="2"/>
    <x v="52"/>
    <x v="0"/>
    <s v="Hamilton  Ontario"/>
    <x v="1"/>
    <n v="68.92"/>
    <n v="31.05"/>
  </r>
  <r>
    <s v="TXN-2023-000272"/>
    <s v="CUST-0139"/>
    <x v="472"/>
    <x v="2"/>
    <s v="M"/>
    <x v="14"/>
    <x v="410"/>
    <n v="1"/>
    <x v="509"/>
    <n v="6.6"/>
    <x v="0"/>
    <x v="229"/>
    <x v="2"/>
    <x v="14"/>
    <x v="3"/>
    <s v="Halifax / NovaScotia"/>
    <x v="6"/>
    <n v="22.66"/>
    <n v="6.6"/>
  </r>
  <r>
    <s v="TXN-2023-000237"/>
    <s v="CUST-0038"/>
    <x v="473"/>
    <x v="2"/>
    <s v="F"/>
    <x v="51"/>
    <x v="411"/>
    <n v="3"/>
    <x v="510"/>
    <n v="16.829999999999998"/>
    <x v="1"/>
    <x v="378"/>
    <x v="1"/>
    <x v="49"/>
    <x v="2"/>
    <s v="Gatineau  QUEBEC"/>
    <x v="2"/>
    <n v="58.96"/>
    <n v="16.829999999999998"/>
  </r>
  <r>
    <s v="TXN-2023-000488"/>
    <s v="CUST-0142"/>
    <x v="474"/>
    <x v="4"/>
    <s v="Prefer not to say"/>
    <x v="6"/>
    <x v="343"/>
    <n v="1"/>
    <x v="511"/>
    <n v="6.2"/>
    <x v="0"/>
    <x v="229"/>
    <x v="3"/>
    <x v="6"/>
    <x v="0"/>
    <s v="Kelowna-bc"/>
    <x v="4"/>
    <n v="14.64"/>
    <n v="6.2"/>
  </r>
  <r>
    <s v="TXN-2023-000118"/>
    <s v="CUST-0249"/>
    <x v="475"/>
    <x v="0"/>
    <s v="FEMALE"/>
    <x v="29"/>
    <x v="291"/>
    <n v="1"/>
    <x v="512"/>
    <n v="2.82"/>
    <x v="1"/>
    <x v="77"/>
    <x v="1"/>
    <x v="29"/>
    <x v="2"/>
    <s v="Red Deer-Alberta"/>
    <x v="0"/>
    <n v="5.87"/>
    <n v="2.82"/>
  </r>
  <r>
    <s v="TXN-2023-000944"/>
    <s v="CUST-0155 "/>
    <x v="476"/>
    <x v="1"/>
    <s v="male"/>
    <x v="67"/>
    <x v="65"/>
    <n v="1"/>
    <x v="513"/>
    <n v="2.5499999999999998"/>
    <x v="0"/>
    <x v="379"/>
    <x v="2"/>
    <x v="63"/>
    <x v="0"/>
    <s v="London,on"/>
    <x v="1"/>
    <n v="9.3699999999999992"/>
    <n v="2.5499999999999998"/>
  </r>
  <r>
    <s v="TXN-2024-000513"/>
    <s v="CUST-0170"/>
    <x v="268"/>
    <x v="0"/>
    <m/>
    <x v="13"/>
    <x v="412"/>
    <n v="2"/>
    <x v="514"/>
    <n v="11.93"/>
    <x v="1"/>
    <x v="233"/>
    <x v="0"/>
    <x v="13"/>
    <x v="0"/>
    <s v="Quebec City Quebec"/>
    <x v="2"/>
    <n v="48.05"/>
    <n v="11.93"/>
  </r>
  <r>
    <s v="TXN-2024-000826"/>
    <s v="CUST-0099"/>
    <x v="165"/>
    <x v="1"/>
    <s v="N/A"/>
    <x v="48"/>
    <x v="134"/>
    <n v="1"/>
    <x v="515"/>
    <n v="5.38"/>
    <x v="1"/>
    <x v="153"/>
    <x v="0"/>
    <x v="1"/>
    <x v="1"/>
    <s v="Mississauga ONTARIO"/>
    <x v="1"/>
    <n v="10.77"/>
    <n v="5.38"/>
  </r>
  <r>
    <s v="TXN-2024-000592"/>
    <s v="CUST-0111"/>
    <x v="84"/>
    <x v="1"/>
    <s v="male"/>
    <x v="52"/>
    <x v="413"/>
    <n v="2"/>
    <x v="86"/>
    <n v="13.33"/>
    <x v="0"/>
    <x v="83"/>
    <x v="2"/>
    <x v="50"/>
    <x v="3"/>
    <s v="Hamilton  Ontari"/>
    <x v="1"/>
    <n v="26.81"/>
    <n v="13.33"/>
  </r>
  <r>
    <s v="TXN-2024-000127"/>
    <s v="CUST-0052"/>
    <x v="477"/>
    <x v="0"/>
    <s v="FEMALE"/>
    <x v="35"/>
    <x v="75"/>
    <n v="1"/>
    <x v="516"/>
    <m/>
    <x v="0"/>
    <x v="380"/>
    <x v="1"/>
    <x v="10"/>
    <x v="4"/>
    <s v="Montreal-QUEBEC"/>
    <x v="2"/>
    <n v="9.58"/>
    <m/>
  </r>
  <r>
    <s v="TXN-2023-000117"/>
    <s v="CUST-0227"/>
    <x v="478"/>
    <x v="0"/>
    <s v="FEMALE"/>
    <x v="51"/>
    <x v="148"/>
    <n v="2"/>
    <x v="517"/>
    <n v="22.31"/>
    <x v="1"/>
    <x v="381"/>
    <x v="1"/>
    <x v="49"/>
    <x v="2"/>
    <s v="Longueuil-Quebec"/>
    <x v="2"/>
    <n v="43.41"/>
    <n v="22.31"/>
  </r>
  <r>
    <s v="TXN-2024-000474"/>
    <s v="CUST-0252"/>
    <x v="479"/>
    <x v="4"/>
    <s v="male"/>
    <x v="24"/>
    <x v="270"/>
    <n v="1"/>
    <x v="518"/>
    <n v="1.9"/>
    <x v="1"/>
    <x v="382"/>
    <x v="2"/>
    <x v="24"/>
    <x v="3"/>
    <s v="Laval  Quebec"/>
    <x v="2"/>
    <n v="7.88"/>
    <n v="1.9"/>
  </r>
  <r>
    <s v="TXN-2024-000694"/>
    <s v="CUST-0117"/>
    <x v="480"/>
    <x v="1"/>
    <s v="male"/>
    <x v="12"/>
    <x v="257"/>
    <n v="2"/>
    <x v="519"/>
    <n v="28.94"/>
    <x v="1"/>
    <x v="383"/>
    <x v="2"/>
    <x v="12"/>
    <x v="0"/>
    <s v="Gatineau (QC)"/>
    <x v="2"/>
    <n v="49.99"/>
    <n v="28.94"/>
  </r>
  <r>
    <s v="TXN-2024-000058"/>
    <s v="CUST-0154"/>
    <x v="481"/>
    <x v="1"/>
    <s v="male"/>
    <x v="17"/>
    <x v="414"/>
    <n v="2"/>
    <x v="226"/>
    <s v=" 16.58 CAD "/>
    <x v="0"/>
    <x v="384"/>
    <x v="2"/>
    <x v="17"/>
    <x v="4"/>
    <s v="Red Deer,Alb3rta"/>
    <x v="0"/>
    <n v="31.71"/>
    <n v="16.579999999999998"/>
  </r>
  <r>
    <s v="TXN-2024-000864"/>
    <s v="CUST-0188"/>
    <x v="482"/>
    <x v="1"/>
    <m/>
    <x v="9"/>
    <x v="173"/>
    <n v="2"/>
    <x v="520"/>
    <n v="2.85"/>
    <x v="0"/>
    <x v="385"/>
    <x v="0"/>
    <x v="9"/>
    <x v="3"/>
    <s v="Windsor / Ontario"/>
    <x v="1"/>
    <n v="11.55"/>
    <n v="2.85"/>
  </r>
  <r>
    <s v="TXN-2024-000913"/>
    <s v="CUST-0145"/>
    <x v="483"/>
    <x v="3"/>
    <m/>
    <x v="66"/>
    <x v="390"/>
    <n v="3"/>
    <x v="521"/>
    <n v="35.39"/>
    <x v="1"/>
    <x v="96"/>
    <x v="0"/>
    <x v="62"/>
    <x v="4"/>
    <s v="Sherbrooke Quebec"/>
    <x v="2"/>
    <n v="107.58"/>
    <n v="35.39"/>
  </r>
  <r>
    <s v="TXN-2023-000370"/>
    <s v="CUST-0148"/>
    <x v="484"/>
    <x v="2"/>
    <s v="FEMALE"/>
    <x v="24"/>
    <x v="93"/>
    <n v="6"/>
    <x v="522"/>
    <s v="CAD 74.75"/>
    <x v="1"/>
    <x v="386"/>
    <x v="1"/>
    <x v="24"/>
    <x v="3"/>
    <s v="Quebec City Quebec"/>
    <x v="2"/>
    <n v="189.93"/>
    <n v="74.75"/>
  </r>
  <r>
    <s v="TXN-2024-000269"/>
    <s v="CUST-0251"/>
    <x v="485"/>
    <x v="3"/>
    <s v="FEMALE"/>
    <x v="19"/>
    <x v="224"/>
    <n v="1"/>
    <x v="523"/>
    <n v="18.91"/>
    <x v="0"/>
    <x v="387"/>
    <x v="1"/>
    <x v="19"/>
    <x v="0"/>
    <s v="Sherbrooke (Quebec)"/>
    <x v="2"/>
    <n v="37.08"/>
    <n v="18.91"/>
  </r>
  <r>
    <s v="TXN-2023-000047"/>
    <s v="CUST-0077"/>
    <x v="486"/>
    <x v="1"/>
    <s v="FEMALE"/>
    <x v="34"/>
    <x v="399"/>
    <n v="1"/>
    <x v="524"/>
    <n v="18.96"/>
    <x v="1"/>
    <x v="388"/>
    <x v="1"/>
    <x v="34"/>
    <x v="0"/>
    <s v="Calgary-ALBERTA"/>
    <x v="0"/>
    <n v="35.82"/>
    <n v="18.96"/>
  </r>
  <r>
    <s v="TXN-2024-000350"/>
    <s v="CUST-0215"/>
    <x v="487"/>
    <x v="2"/>
    <m/>
    <x v="32"/>
    <x v="415"/>
    <n v="1"/>
    <x v="525"/>
    <n v="9.6199999999999992"/>
    <x v="1"/>
    <x v="295"/>
    <x v="0"/>
    <x v="32"/>
    <x v="2"/>
    <s v="Vaughan / ON"/>
    <x v="1"/>
    <n v="20.41"/>
    <n v="9.6199999999999992"/>
  </r>
  <r>
    <s v="TXN-2024-000196"/>
    <s v="CUST-0171"/>
    <x v="488"/>
    <x v="3"/>
    <s v="N/A"/>
    <x v="8"/>
    <x v="416"/>
    <n v="2"/>
    <x v="526"/>
    <n v="24.09"/>
    <x v="1"/>
    <x v="389"/>
    <x v="0"/>
    <x v="8"/>
    <x v="3"/>
    <s v="Windsor (Ontario)"/>
    <x v="1"/>
    <n v="84.77"/>
    <n v="24.09"/>
  </r>
  <r>
    <s v="TXN-2023-000390"/>
    <s v="cust-0074"/>
    <x v="489"/>
    <x v="3"/>
    <s v="F "/>
    <x v="18"/>
    <x v="417"/>
    <n v="1"/>
    <x v="527"/>
    <n v="23.84"/>
    <x v="1"/>
    <x v="329"/>
    <x v="1"/>
    <x v="18"/>
    <x v="0"/>
    <s v="Richmond-BritishColumbia"/>
    <x v="4"/>
    <n v="52.85"/>
    <n v="23.84"/>
  </r>
  <r>
    <s v="TXN-2023-000835"/>
    <s v="Cust-0190"/>
    <x v="490"/>
    <x v="3"/>
    <s v="FEMALE"/>
    <x v="55"/>
    <x v="418"/>
    <n v="1"/>
    <x v="528"/>
    <n v="12.01"/>
    <x v="1"/>
    <x v="90"/>
    <x v="1"/>
    <x v="53"/>
    <x v="3"/>
    <s v="Kitchener, Ontario"/>
    <x v="1"/>
    <n v="36.01"/>
    <n v="12.01"/>
  </r>
  <r>
    <s v="TXN-2023-000737"/>
    <s v="CUST-0319"/>
    <x v="491"/>
    <x v="1"/>
    <s v="U"/>
    <x v="3"/>
    <x v="419"/>
    <n v="3"/>
    <x v="529"/>
    <n v="23.69"/>
    <x v="0"/>
    <x v="226"/>
    <x v="0"/>
    <x v="3"/>
    <x v="3"/>
    <s v="Halifax  NOVA SCOTIA"/>
    <x v="6"/>
    <n v="50.61"/>
    <n v="23.69"/>
  </r>
  <r>
    <s v="TXN-2023-000264"/>
    <s v="CUST-0226"/>
    <x v="492"/>
    <x v="1"/>
    <s v="N/A"/>
    <x v="17"/>
    <x v="420"/>
    <n v="1"/>
    <x v="530"/>
    <n v="15.35"/>
    <x v="0"/>
    <x v="390"/>
    <x v="0"/>
    <x v="17"/>
    <x v="4"/>
    <s v="Winnipeg / MANITOBA"/>
    <x v="5"/>
    <n v="35.049999999999997"/>
    <n v="15.35"/>
  </r>
  <r>
    <s v="TXN-2024-000444"/>
    <s v="CUST-0187"/>
    <x v="493"/>
    <x v="2"/>
    <s v="U"/>
    <x v="1"/>
    <x v="311"/>
    <n v="1"/>
    <x v="531"/>
    <n v="10.48"/>
    <x v="1"/>
    <x v="391"/>
    <x v="0"/>
    <x v="1"/>
    <x v="1"/>
    <s v="QC - Montreal"/>
    <x v="2"/>
    <n v="20.66"/>
    <n v="10.48"/>
  </r>
  <r>
    <s v="TXN-2024-000676"/>
    <s v="CUST-0268"/>
    <x v="494"/>
    <x v="1"/>
    <s v="N/A"/>
    <x v="40"/>
    <x v="99"/>
    <n v="1"/>
    <x v="532"/>
    <n v="2.1800000000000002"/>
    <x v="1"/>
    <x v="249"/>
    <x v="0"/>
    <x v="39"/>
    <x v="3"/>
    <s v="St. John's, nl"/>
    <x v="7"/>
    <n v="4.63"/>
    <n v="2.1800000000000002"/>
  </r>
  <r>
    <s v="TXN-2024-000305"/>
    <s v="CUST-0095"/>
    <x v="495"/>
    <x v="0"/>
    <s v="male"/>
    <x v="16"/>
    <x v="421"/>
    <n v="2"/>
    <x v="533"/>
    <n v="13.05"/>
    <x v="0"/>
    <x v="392"/>
    <x v="2"/>
    <x v="16"/>
    <x v="4"/>
    <s v="Burnaby-British Columbia"/>
    <x v="4"/>
    <n v="54.46"/>
    <n v="13.05"/>
  </r>
  <r>
    <s v="TXN-2023-000342"/>
    <s v="CUST-0004"/>
    <x v="496"/>
    <x v="4"/>
    <s v="U"/>
    <x v="55"/>
    <x v="422"/>
    <n v="2"/>
    <x v="534"/>
    <n v="3.64"/>
    <x v="0"/>
    <x v="393"/>
    <x v="0"/>
    <x v="53"/>
    <x v="3"/>
    <s v="Ontari - Mississauga"/>
    <x v="1"/>
    <n v="7.45"/>
    <n v="3.64"/>
  </r>
  <r>
    <s v="TXN-2024-000767"/>
    <s v="CUST-0264"/>
    <x v="497"/>
    <x v="2"/>
    <s v="FEMALE"/>
    <x v="13"/>
    <x v="423"/>
    <n v="2"/>
    <x v="535"/>
    <n v="11.05"/>
    <x v="1"/>
    <x v="193"/>
    <x v="1"/>
    <x v="13"/>
    <x v="0"/>
    <s v="BritishC0lumbia - Victoria"/>
    <x v="4"/>
    <n v="36.979999999999997"/>
    <n v="11.05"/>
  </r>
  <r>
    <s v="TXN-2024-000150"/>
    <s v="CUST-0209"/>
    <x v="218"/>
    <x v="2"/>
    <s v="male"/>
    <x v="32"/>
    <x v="424"/>
    <n v="-1"/>
    <x v="1"/>
    <n v="-3.06"/>
    <x v="0"/>
    <x v="195"/>
    <x v="2"/>
    <x v="32"/>
    <x v="2"/>
    <s v="Richmond  bc"/>
    <x v="4"/>
    <m/>
    <n v="-3.06"/>
  </r>
  <r>
    <s v="Txn-2024-000125"/>
    <s v="CUST-0197"/>
    <x v="90"/>
    <x v="2"/>
    <s v="F"/>
    <x v="23"/>
    <x v="101"/>
    <n v="3"/>
    <x v="105"/>
    <n v="11.88"/>
    <x v="1"/>
    <x v="89"/>
    <x v="1"/>
    <x v="23"/>
    <x v="0"/>
    <s v="Brampton  Ontario"/>
    <x v="1"/>
    <n v="24.02"/>
    <n v="11.88"/>
  </r>
  <r>
    <s v="TXN-2024-000787"/>
    <s v="CUST-0072"/>
    <x v="498"/>
    <x v="0"/>
    <s v="male"/>
    <x v="48"/>
    <x v="425"/>
    <n v="1"/>
    <x v="536"/>
    <n v="9.31"/>
    <x v="1"/>
    <x v="394"/>
    <x v="2"/>
    <x v="1"/>
    <x v="1"/>
    <s v="Mississauga,Ontari"/>
    <x v="1"/>
    <n v="27.2"/>
    <n v="9.31"/>
  </r>
  <r>
    <s v="TXN-2024-000051"/>
    <s v="CUST-0137"/>
    <x v="499"/>
    <x v="3"/>
    <s v="M"/>
    <x v="48"/>
    <x v="57"/>
    <n v="2"/>
    <x v="537"/>
    <n v="16.55"/>
    <x v="1"/>
    <x v="395"/>
    <x v="2"/>
    <x v="1"/>
    <x v="1"/>
    <s v="Sherbrooke, Quebe"/>
    <x v="2"/>
    <n v="37.86"/>
    <n v="16.55"/>
  </r>
  <r>
    <s v="TXN-2023-000354"/>
    <s v="CUST-0152"/>
    <x v="500"/>
    <x v="1"/>
    <s v="F"/>
    <x v="30"/>
    <x v="426"/>
    <n v="1"/>
    <x v="538"/>
    <s v="6,36"/>
    <x v="0"/>
    <x v="381"/>
    <x v="1"/>
    <x v="30"/>
    <x v="2"/>
    <s v="Markham (Ontario)"/>
    <x v="1"/>
    <n v="16.93"/>
    <n v="6.36"/>
  </r>
  <r>
    <s v="TXN-2023-000928"/>
    <s v="CUST-0277"/>
    <x v="501"/>
    <x v="4"/>
    <s v="M"/>
    <x v="28"/>
    <x v="427"/>
    <n v="4"/>
    <x v="539"/>
    <n v="30.51"/>
    <x v="1"/>
    <x v="48"/>
    <x v="2"/>
    <x v="28"/>
    <x v="2"/>
    <s v="Longueuil QUEBEC"/>
    <x v="2"/>
    <n v="76.349999999999994"/>
    <n v="30.51"/>
  </r>
  <r>
    <s v="TXN-2024-000143"/>
    <s v="CUST-0152"/>
    <x v="502"/>
    <x v="0"/>
    <s v="male"/>
    <x v="51"/>
    <x v="20"/>
    <n v="2"/>
    <x v="540"/>
    <s v="12,07"/>
    <x v="0"/>
    <x v="396"/>
    <x v="2"/>
    <x v="49"/>
    <x v="2"/>
    <s v="Red Deer-AB"/>
    <x v="0"/>
    <n v="30.2"/>
    <n v="12.07"/>
  </r>
  <r>
    <s v="TXN-2023-000471"/>
    <s v="CUST-0197"/>
    <x v="503"/>
    <x v="4"/>
    <s v="FEMALE"/>
    <x v="54"/>
    <x v="172"/>
    <n v="1"/>
    <x v="541"/>
    <n v="1.27"/>
    <x v="0"/>
    <x v="397"/>
    <x v="1"/>
    <x v="52"/>
    <x v="0"/>
    <s v="Richmond-BC"/>
    <x v="4"/>
    <n v="3.43"/>
    <n v="1.27"/>
  </r>
  <r>
    <s v="TXN-2024-000400"/>
    <s v="Cust-0105"/>
    <x v="504"/>
    <x v="2"/>
    <s v="male"/>
    <x v="2"/>
    <x v="428"/>
    <n v="1"/>
    <x v="542"/>
    <s v=" 7.52 CAD "/>
    <x v="1"/>
    <x v="398"/>
    <x v="2"/>
    <x v="2"/>
    <x v="2"/>
    <s v="Charlottetown PRINCE EDWARD ISLAND"/>
    <x v="9"/>
    <n v="28.37"/>
    <n v="7.52"/>
  </r>
  <r>
    <s v="TXN-2024-000626"/>
    <s v="CUST-0028 "/>
    <x v="319"/>
    <x v="3"/>
    <s v="F"/>
    <x v="9"/>
    <x v="37"/>
    <n v="4"/>
    <x v="543"/>
    <s v=" 32.58 CAD "/>
    <x v="0"/>
    <x v="271"/>
    <x v="1"/>
    <x v="9"/>
    <x v="3"/>
    <s v="Quebec - Longueuil"/>
    <x v="2"/>
    <n v="64.88"/>
    <n v="32.58"/>
  </r>
  <r>
    <s v="TXN-2023-000321"/>
    <s v="CUST-0221"/>
    <x v="146"/>
    <x v="2"/>
    <s v="F"/>
    <x v="9"/>
    <x v="429"/>
    <n v="2"/>
    <x v="544"/>
    <n v="23.37"/>
    <x v="1"/>
    <x v="138"/>
    <x v="1"/>
    <x v="9"/>
    <x v="3"/>
    <s v="Vancouver-BritishC0lumbia"/>
    <x v="4"/>
    <n v="46.7"/>
    <n v="23.37"/>
  </r>
  <r>
    <s v="TXN-2024-000020"/>
    <s v="CUST-0001 "/>
    <x v="505"/>
    <x v="2"/>
    <m/>
    <x v="42"/>
    <x v="36"/>
    <n v="1"/>
    <x v="545"/>
    <n v="5.48"/>
    <x v="0"/>
    <x v="399"/>
    <x v="0"/>
    <x v="41"/>
    <x v="4"/>
    <s v="ON - Vaughan"/>
    <x v="1"/>
    <n v="11.41"/>
    <n v="5.48"/>
  </r>
  <r>
    <s v="TXN-2023-000810"/>
    <s v="CUST-0006"/>
    <x v="506"/>
    <x v="2"/>
    <s v="M"/>
    <x v="48"/>
    <x v="430"/>
    <n v="2"/>
    <x v="546"/>
    <n v="6.16"/>
    <x v="1"/>
    <x v="400"/>
    <x v="2"/>
    <x v="1"/>
    <x v="1"/>
    <s v="Red Deer AB"/>
    <x v="0"/>
    <n v="23.29"/>
    <n v="6.16"/>
  </r>
  <r>
    <s v="TXN-2024-000791"/>
    <s v="CUST-0096"/>
    <x v="507"/>
    <x v="3"/>
    <s v="M"/>
    <x v="28"/>
    <x v="431"/>
    <n v="2"/>
    <x v="547"/>
    <n v="32.07"/>
    <x v="0"/>
    <x v="384"/>
    <x v="2"/>
    <x v="28"/>
    <x v="2"/>
    <s v="Sydney  NovaScotia"/>
    <x v="6"/>
    <n v="82.22"/>
    <n v="32.07"/>
  </r>
  <r>
    <s v="TXN-2024-000809"/>
    <s v="CUST-0302"/>
    <x v="508"/>
    <x v="3"/>
    <s v="male"/>
    <x v="42"/>
    <x v="432"/>
    <n v="3"/>
    <x v="548"/>
    <n v="54.78"/>
    <x v="1"/>
    <x v="401"/>
    <x v="2"/>
    <x v="41"/>
    <x v="4"/>
    <s v="Brandon-Manitoba"/>
    <x v="5"/>
    <n v="131.96"/>
    <n v="54.78"/>
  </r>
  <r>
    <s v="TXN-2024-000408"/>
    <s v="CUST-0242"/>
    <x v="509"/>
    <x v="1"/>
    <s v="male"/>
    <x v="45"/>
    <x v="433"/>
    <n v="1"/>
    <x v="549"/>
    <n v="25.49"/>
    <x v="0"/>
    <x v="402"/>
    <x v="2"/>
    <x v="44"/>
    <x v="5"/>
    <s v="Brampton, on"/>
    <x v="1"/>
    <n v="40.729999999999997"/>
    <n v="25.49"/>
  </r>
  <r>
    <s v="TXN-2023-000538"/>
    <s v="CUST-0176"/>
    <x v="510"/>
    <x v="0"/>
    <s v="male"/>
    <x v="5"/>
    <x v="220"/>
    <n v="1"/>
    <x v="550"/>
    <n v="7.39"/>
    <x v="0"/>
    <x v="298"/>
    <x v="2"/>
    <x v="5"/>
    <x v="0"/>
    <s v="Hamilton,on"/>
    <x v="1"/>
    <n v="17.37"/>
    <n v="7.39"/>
  </r>
  <r>
    <s v="TXN-2024-000621"/>
    <s v="CUST-0294"/>
    <x v="511"/>
    <x v="3"/>
    <s v="male"/>
    <x v="16"/>
    <x v="83"/>
    <n v="1"/>
    <x v="551"/>
    <n v="14.52"/>
    <x v="0"/>
    <x v="403"/>
    <x v="2"/>
    <x v="16"/>
    <x v="4"/>
    <s v="London / ONTARIO"/>
    <x v="1"/>
    <n v="47.98"/>
    <n v="14.52"/>
  </r>
  <r>
    <s v="TXN-2023-000039"/>
    <s v="CUST-0136"/>
    <x v="512"/>
    <x v="3"/>
    <s v="male"/>
    <x v="37"/>
    <x v="434"/>
    <n v="1"/>
    <x v="552"/>
    <n v="13.4"/>
    <x v="0"/>
    <x v="404"/>
    <x v="2"/>
    <x v="36"/>
    <x v="0"/>
    <s v="ONTARIO - London"/>
    <x v="1"/>
    <n v="27.43"/>
    <n v="13.4"/>
  </r>
  <r>
    <s v="TXN-2024-000176"/>
    <s v="CUST-0111"/>
    <x v="513"/>
    <x v="4"/>
    <s v="FEMALE"/>
    <x v="18"/>
    <x v="435"/>
    <n v="2"/>
    <x v="553"/>
    <s v="CAD 5.06"/>
    <x v="1"/>
    <x v="405"/>
    <x v="1"/>
    <x v="18"/>
    <x v="0"/>
    <s v="Kitchener (ON)"/>
    <x v="1"/>
    <n v="12.23"/>
    <n v="5.0599999999999996"/>
  </r>
  <r>
    <s v="TXN-2023-000246"/>
    <s v="CUST-0238 "/>
    <x v="514"/>
    <x v="0"/>
    <s v="FEMALE"/>
    <x v="65"/>
    <x v="70"/>
    <n v="-2"/>
    <x v="554"/>
    <n v="-5.95"/>
    <x v="1"/>
    <x v="406"/>
    <x v="1"/>
    <x v="30"/>
    <x v="2"/>
    <s v="Ontario - Kitchener"/>
    <x v="1"/>
    <n v="-21.02"/>
    <n v="-5.95"/>
  </r>
  <r>
    <s v="TXN-2023-000829"/>
    <s v="CUST-0037"/>
    <x v="398"/>
    <x v="3"/>
    <s v="N/A"/>
    <x v="66"/>
    <x v="237"/>
    <n v="2"/>
    <x v="555"/>
    <s v="30,43"/>
    <x v="1"/>
    <x v="292"/>
    <x v="0"/>
    <x v="62"/>
    <x v="4"/>
    <s v="Windsor, ONTARIO"/>
    <x v="1"/>
    <n v="78.88"/>
    <n v="30.43"/>
  </r>
  <r>
    <s v="TXN-2024-000668"/>
    <s v="CUST-0079"/>
    <x v="515"/>
    <x v="4"/>
    <s v="male"/>
    <x v="27"/>
    <x v="311"/>
    <n v="1"/>
    <x v="435"/>
    <s v="CAD 4.42"/>
    <x v="1"/>
    <x v="407"/>
    <x v="2"/>
    <x v="27"/>
    <x v="0"/>
    <s v="qc - Montreal"/>
    <x v="2"/>
    <n v="13.04"/>
    <n v="4.42"/>
  </r>
  <r>
    <s v="TXN-2024-000755"/>
    <s v="CUST-0275"/>
    <x v="516"/>
    <x v="2"/>
    <s v="Prefer not to say"/>
    <x v="39"/>
    <x v="436"/>
    <n v="1"/>
    <x v="556"/>
    <n v="6.04"/>
    <x v="1"/>
    <x v="46"/>
    <x v="3"/>
    <x v="38"/>
    <x v="2"/>
    <s v="Albert - Red Deer"/>
    <x v="0"/>
    <n v="12.27"/>
    <n v="6.04"/>
  </r>
  <r>
    <s v="TXN-2023-000859"/>
    <s v="CUST-0083"/>
    <x v="71"/>
    <x v="4"/>
    <s v="M"/>
    <x v="56"/>
    <x v="125"/>
    <n v="1"/>
    <x v="557"/>
    <s v="2,47"/>
    <x v="0"/>
    <x v="71"/>
    <x v="2"/>
    <x v="54"/>
    <x v="5"/>
    <s v="Markham  ONTARIO"/>
    <x v="1"/>
    <n v="8.18"/>
    <n v="2.4700000000000002"/>
  </r>
  <r>
    <s v="TXN-2024-000155"/>
    <s v="CUST-0129"/>
    <x v="23"/>
    <x v="2"/>
    <s v="M"/>
    <x v="24"/>
    <x v="437"/>
    <n v="3"/>
    <x v="558"/>
    <n v="28.99"/>
    <x v="1"/>
    <x v="23"/>
    <x v="2"/>
    <x v="24"/>
    <x v="3"/>
    <s v="Quebec City, qc"/>
    <x v="2"/>
    <n v="66.180000000000007"/>
    <n v="28.99"/>
  </r>
  <r>
    <s v="TXN-2024-000288"/>
    <s v="CUST-0042"/>
    <x v="517"/>
    <x v="2"/>
    <s v="male"/>
    <x v="29"/>
    <x v="210"/>
    <n v="3"/>
    <x v="559"/>
    <n v="41.57"/>
    <x v="0"/>
    <x v="89"/>
    <x v="2"/>
    <x v="29"/>
    <x v="2"/>
    <s v="Quebec City QC"/>
    <x v="2"/>
    <n v="92.47"/>
    <n v="41.57"/>
  </r>
  <r>
    <s v="TXN-2023-000603"/>
    <s v="CUST-0286"/>
    <x v="518"/>
    <x v="2"/>
    <s v="FEMALE"/>
    <x v="11"/>
    <x v="401"/>
    <n v="3"/>
    <x v="560"/>
    <n v="30.1"/>
    <x v="0"/>
    <x v="235"/>
    <x v="1"/>
    <x v="11"/>
    <x v="5"/>
    <s v="Lethbridge  Alberta"/>
    <x v="0"/>
    <n v="74.680000000000007"/>
    <n v="30.1"/>
  </r>
  <r>
    <s v="TXN-2024-000570"/>
    <s v="CUST-0038"/>
    <x v="307"/>
    <x v="2"/>
    <s v="M"/>
    <x v="11"/>
    <x v="390"/>
    <n v="2"/>
    <x v="47"/>
    <n v="20.21"/>
    <x v="0"/>
    <x v="67"/>
    <x v="2"/>
    <x v="11"/>
    <x v="5"/>
    <s v="Sherbrooke Quebec"/>
    <x v="2"/>
    <m/>
    <n v="20.21"/>
  </r>
  <r>
    <s v="TXN-2024-000744"/>
    <s v="CUST-0034"/>
    <x v="31"/>
    <x v="2"/>
    <s v="N/A"/>
    <x v="37"/>
    <x v="435"/>
    <n v="1"/>
    <x v="516"/>
    <s v=" 3.63 CAD "/>
    <x v="0"/>
    <x v="31"/>
    <x v="0"/>
    <x v="36"/>
    <x v="0"/>
    <s v="Kitchener (ON)"/>
    <x v="1"/>
    <n v="9.58"/>
    <n v="3.63"/>
  </r>
  <r>
    <s v="TXN-2023-000018"/>
    <s v="CUST-0135"/>
    <x v="519"/>
    <x v="1"/>
    <s v="F"/>
    <x v="54"/>
    <x v="438"/>
    <n v="3"/>
    <x v="561"/>
    <s v="CAD 8.02"/>
    <x v="1"/>
    <x v="408"/>
    <x v="1"/>
    <x v="52"/>
    <x v="0"/>
    <s v="Gatineau (Quebe)"/>
    <x v="2"/>
    <n v="23.18"/>
    <n v="8.02"/>
  </r>
  <r>
    <s v="TXN-2023-000128"/>
    <s v="Cust-0174"/>
    <x v="520"/>
    <x v="4"/>
    <s v="M"/>
    <x v="27"/>
    <x v="439"/>
    <n v="1"/>
    <x v="562"/>
    <n v="6.19"/>
    <x v="0"/>
    <x v="409"/>
    <x v="2"/>
    <x v="27"/>
    <x v="0"/>
    <s v="Ontari - Markham"/>
    <x v="1"/>
    <n v="16.59"/>
    <n v="6.19"/>
  </r>
  <r>
    <s v="TXN-2024-000323"/>
    <s v="CUST-0208"/>
    <x v="521"/>
    <x v="4"/>
    <s v="FEMALE"/>
    <x v="2"/>
    <x v="440"/>
    <n v="3"/>
    <x v="563"/>
    <n v="14.88"/>
    <x v="0"/>
    <x v="410"/>
    <x v="1"/>
    <x v="2"/>
    <x v="2"/>
    <s v="Ottawa / Ontario"/>
    <x v="1"/>
    <n v="31.37"/>
    <n v="14.88"/>
  </r>
  <r>
    <s v="TXN-2024-000256"/>
    <s v="CUST-0061"/>
    <x v="522"/>
    <x v="2"/>
    <s v="F"/>
    <x v="58"/>
    <x v="304"/>
    <n v="1"/>
    <x v="564"/>
    <n v="16.420000000000002"/>
    <x v="1"/>
    <x v="83"/>
    <x v="1"/>
    <x v="55"/>
    <x v="0"/>
    <s v="ONTARIO - Windsor"/>
    <x v="1"/>
    <n v="41.03"/>
    <n v="16.420000000000002"/>
  </r>
  <r>
    <s v="TXN-2023-000658"/>
    <s v="CUST-0216"/>
    <x v="523"/>
    <x v="4"/>
    <s v="male"/>
    <x v="46"/>
    <x v="364"/>
    <n v="1"/>
    <x v="565"/>
    <s v="5,84"/>
    <x v="0"/>
    <x v="411"/>
    <x v="2"/>
    <x v="45"/>
    <x v="3"/>
    <s v="Saskatoon, SASKATCHEWAN"/>
    <x v="3"/>
    <n v="11.16"/>
    <n v="5.84"/>
  </r>
  <r>
    <s v="TXN-2024-000384"/>
    <s v="CUST-0001"/>
    <x v="445"/>
    <x v="0"/>
    <s v="N/A"/>
    <x v="27"/>
    <x v="326"/>
    <n v="6"/>
    <x v="477"/>
    <n v="56.19"/>
    <x v="0"/>
    <x v="126"/>
    <x v="0"/>
    <x v="27"/>
    <x v="0"/>
    <s v="Lethbridge (Alberta)"/>
    <x v="0"/>
    <n v="176.41"/>
    <n v="56.19"/>
  </r>
  <r>
    <s v="TXN-2023-000191"/>
    <s v="CUST-0260"/>
    <x v="524"/>
    <x v="2"/>
    <s v="M"/>
    <x v="61"/>
    <x v="56"/>
    <n v="1"/>
    <x v="566"/>
    <n v="6.84"/>
    <x v="0"/>
    <x v="289"/>
    <x v="2"/>
    <x v="58"/>
    <x v="0"/>
    <s v="Victoria / BRITISH COLUMBIA"/>
    <x v="4"/>
    <n v="23.02"/>
    <n v="6.84"/>
  </r>
  <r>
    <s v="TXN-2023-000116"/>
    <s v="CUST-0001"/>
    <x v="525"/>
    <x v="2"/>
    <s v="M"/>
    <x v="12"/>
    <x v="441"/>
    <n v="1"/>
    <x v="567"/>
    <n v="13.08"/>
    <x v="0"/>
    <x v="412"/>
    <x v="2"/>
    <x v="12"/>
    <x v="0"/>
    <s v="nb - Saint John"/>
    <x v="8"/>
    <n v="41.7"/>
    <n v="13.08"/>
  </r>
  <r>
    <s v="TXN-2024-000617"/>
    <s v="CUST-0248"/>
    <x v="526"/>
    <x v="2"/>
    <s v="U"/>
    <x v="64"/>
    <x v="442"/>
    <n v="5"/>
    <x v="568"/>
    <s v="89,40"/>
    <x v="1"/>
    <x v="413"/>
    <x v="0"/>
    <x v="61"/>
    <x v="0"/>
    <s v="Kitchener  Ontari0"/>
    <x v="1"/>
    <n v="143.88"/>
    <n v="89.4"/>
  </r>
  <r>
    <s v="TXN-2023-000607"/>
    <s v="CUST-0308"/>
    <x v="527"/>
    <x v="0"/>
    <s v="F"/>
    <x v="62"/>
    <x v="283"/>
    <n v="1"/>
    <x v="569"/>
    <n v="7.3"/>
    <x v="0"/>
    <x v="414"/>
    <x v="1"/>
    <x v="59"/>
    <x v="3"/>
    <s v="Surrey / British Columbia"/>
    <x v="4"/>
    <n v="18.14"/>
    <n v="7.3"/>
  </r>
  <r>
    <s v="TXN-2024-000181"/>
    <s v="CUST-0236"/>
    <x v="528"/>
    <x v="1"/>
    <s v="FEMALE"/>
    <x v="37"/>
    <x v="443"/>
    <n v="1"/>
    <x v="570"/>
    <n v="1.7"/>
    <x v="1"/>
    <x v="20"/>
    <x v="1"/>
    <x v="36"/>
    <x v="0"/>
    <s v="Kitchener,Ontario"/>
    <x v="1"/>
    <n v="5.37"/>
    <n v="1.7"/>
  </r>
  <r>
    <s v="TXN-2024-000302"/>
    <s v="CUST-0155"/>
    <x v="329"/>
    <x v="3"/>
    <s v="male"/>
    <x v="17"/>
    <x v="444"/>
    <n v="1"/>
    <x v="571"/>
    <s v=" 10.04 CAD "/>
    <x v="1"/>
    <x v="278"/>
    <x v="2"/>
    <x v="17"/>
    <x v="4"/>
    <s v="Sydney (NOVA SCOTIA)"/>
    <x v="6"/>
    <n v="23.07"/>
    <n v="10.039999999999999"/>
  </r>
  <r>
    <s v="TXN-2023-000760"/>
    <s v="CUST-0104"/>
    <x v="39"/>
    <x v="1"/>
    <s v="FEMALE"/>
    <x v="39"/>
    <x v="98"/>
    <n v="2"/>
    <x v="359"/>
    <n v="8.75"/>
    <x v="1"/>
    <x v="39"/>
    <x v="1"/>
    <x v="38"/>
    <x v="2"/>
    <s v="Laval, Quebec"/>
    <x v="2"/>
    <n v="15.8"/>
    <n v="8.75"/>
  </r>
  <r>
    <s v="TXN-2024-000713"/>
    <s v="CUST-0182"/>
    <x v="529"/>
    <x v="4"/>
    <s v="FEMALE"/>
    <x v="21"/>
    <x v="445"/>
    <n v="2"/>
    <x v="572"/>
    <n v="16.010000000000002"/>
    <x v="0"/>
    <x v="415"/>
    <x v="1"/>
    <x v="21"/>
    <x v="3"/>
    <s v="Kelowna (BritishColumbia)"/>
    <x v="4"/>
    <n v="27.48"/>
    <n v="16.010000000000002"/>
  </r>
  <r>
    <s v="TXN-2024-000724"/>
    <s v="CUST-0071"/>
    <x v="530"/>
    <x v="0"/>
    <s v="FEMALE"/>
    <x v="63"/>
    <x v="151"/>
    <n v="1"/>
    <x v="239"/>
    <s v=" 0.75 CAD "/>
    <x v="1"/>
    <x v="416"/>
    <x v="1"/>
    <x v="60"/>
    <x v="0"/>
    <s v="Gatineau,QC"/>
    <x v="2"/>
    <n v="5.09"/>
    <n v="0.75"/>
  </r>
  <r>
    <s v="TXN-2023-000686"/>
    <s v="CUST-0312"/>
    <x v="345"/>
    <x v="4"/>
    <s v="FEMALE"/>
    <x v="56"/>
    <x v="446"/>
    <n v="1"/>
    <x v="573"/>
    <n v="4.76"/>
    <x v="1"/>
    <x v="182"/>
    <x v="1"/>
    <x v="54"/>
    <x v="5"/>
    <s v="Kelowna (BRITISH COLUMBIA)"/>
    <x v="4"/>
    <n v="14.62"/>
    <n v="4.76"/>
  </r>
  <r>
    <s v="TXN-2024-000376"/>
    <s v="CUST-0149"/>
    <x v="407"/>
    <x v="4"/>
    <s v="M"/>
    <x v="62"/>
    <x v="362"/>
    <n v="2"/>
    <x v="436"/>
    <n v="3.78"/>
    <x v="0"/>
    <x v="335"/>
    <x v="2"/>
    <x v="59"/>
    <x v="3"/>
    <s v="Brandon,mb"/>
    <x v="5"/>
    <n v="11.04"/>
    <n v="3.78"/>
  </r>
  <r>
    <s v="TXN-2023-000518"/>
    <s v="CUST-0191"/>
    <x v="305"/>
    <x v="1"/>
    <s v="M"/>
    <x v="3"/>
    <x v="333"/>
    <n v="5"/>
    <x v="574"/>
    <s v=" 31.44 CAD "/>
    <x v="0"/>
    <x v="262"/>
    <x v="2"/>
    <x v="3"/>
    <x v="3"/>
    <s v="Sherbrooke,QUEBEC"/>
    <x v="2"/>
    <n v="63.4"/>
    <n v="31.44"/>
  </r>
  <r>
    <s v="TXN-2024-000679"/>
    <s v="CUST-0252"/>
    <x v="5"/>
    <x v="3"/>
    <m/>
    <x v="5"/>
    <x v="5"/>
    <n v="2"/>
    <x v="5"/>
    <s v="42,40"/>
    <x v="1"/>
    <x v="5"/>
    <x v="0"/>
    <x v="5"/>
    <x v="0"/>
    <s v="Calgary,Alberta"/>
    <x v="0"/>
    <n v="106.03"/>
    <n v="42.4"/>
  </r>
  <r>
    <s v="TXN-2024-000046"/>
    <s v="CUST-0083"/>
    <x v="531"/>
    <x v="4"/>
    <s v="male"/>
    <x v="55"/>
    <x v="39"/>
    <n v="2"/>
    <x v="575"/>
    <n v="1.97"/>
    <x v="0"/>
    <x v="417"/>
    <x v="2"/>
    <x v="53"/>
    <x v="3"/>
    <s v="Sherbrooke, Quebec"/>
    <x v="2"/>
    <n v="4.12"/>
    <n v="1.97"/>
  </r>
  <r>
    <s v="TXN-2023-000910"/>
    <s v="CUST-0103"/>
    <x v="532"/>
    <x v="2"/>
    <s v="Prefer not to say"/>
    <x v="33"/>
    <x v="240"/>
    <n v="1"/>
    <x v="138"/>
    <n v="7.04"/>
    <x v="1"/>
    <x v="418"/>
    <x v="3"/>
    <x v="33"/>
    <x v="0"/>
    <s v="Halifax NS"/>
    <x v="6"/>
    <n v="19.079999999999998"/>
    <n v="7.04"/>
  </r>
  <r>
    <s v="TXN-2024-000158"/>
    <s v="CUST-0304"/>
    <x v="533"/>
    <x v="2"/>
    <s v="male"/>
    <x v="43"/>
    <x v="447"/>
    <n v="5"/>
    <x v="576"/>
    <s v=" 66.44 CAD "/>
    <x v="1"/>
    <x v="419"/>
    <x v="2"/>
    <x v="42"/>
    <x v="4"/>
    <s v="Sydney, NovaScotia"/>
    <x v="6"/>
    <n v="151.29"/>
    <n v="66.44"/>
  </r>
  <r>
    <s v="TXN-2024-000852"/>
    <s v="CUST-0088"/>
    <x v="534"/>
    <x v="0"/>
    <s v="FEMALE"/>
    <x v="67"/>
    <x v="248"/>
    <n v="3"/>
    <x v="577"/>
    <n v="31.63"/>
    <x v="0"/>
    <x v="420"/>
    <x v="1"/>
    <x v="63"/>
    <x v="0"/>
    <s v="Gatineau-Quebec"/>
    <x v="2"/>
    <n v="90.83"/>
    <n v="31.63"/>
  </r>
  <r>
    <s v="TXN-2023-000172"/>
    <s v="CUST-0036"/>
    <x v="535"/>
    <x v="0"/>
    <s v="M"/>
    <x v="31"/>
    <x v="448"/>
    <n v="2"/>
    <x v="578"/>
    <s v="N/A"/>
    <x v="1"/>
    <x v="421"/>
    <x v="2"/>
    <x v="31"/>
    <x v="2"/>
    <s v="Windsor / ON"/>
    <x v="1"/>
    <n v="15.53"/>
    <m/>
  </r>
  <r>
    <s v="TXN-2024-000017"/>
    <s v="CUST-0137"/>
    <x v="390"/>
    <x v="2"/>
    <s v="FEMALE"/>
    <x v="5"/>
    <x v="209"/>
    <n v="2"/>
    <x v="579"/>
    <n v="25.23"/>
    <x v="0"/>
    <x v="323"/>
    <x v="1"/>
    <x v="5"/>
    <x v="0"/>
    <s v="Ottawa-ONTARIO"/>
    <x v="1"/>
    <n v="46.7"/>
    <n v="25.23"/>
  </r>
  <r>
    <s v="TXN-2024-000512"/>
    <s v="CUST-0184"/>
    <x v="536"/>
    <x v="3"/>
    <s v="male"/>
    <x v="3"/>
    <x v="449"/>
    <n v="1"/>
    <x v="580"/>
    <n v="21.81"/>
    <x v="0"/>
    <x v="360"/>
    <x v="2"/>
    <x v="3"/>
    <x v="3"/>
    <s v="Victoria  BC"/>
    <x v="4"/>
    <n v="53.83"/>
    <n v="21.81"/>
  </r>
  <r>
    <s v="TXN-2023-000049"/>
    <s v="CUST-0287"/>
    <x v="537"/>
    <x v="4"/>
    <s v="FEMALE"/>
    <x v="36"/>
    <x v="450"/>
    <n v="1"/>
    <x v="581"/>
    <n v="5.43"/>
    <x v="0"/>
    <x v="422"/>
    <x v="1"/>
    <x v="35"/>
    <x v="3"/>
    <s v="Montreal-qc"/>
    <x v="2"/>
    <n v="12.74"/>
    <n v="5.43"/>
  </r>
  <r>
    <s v="TXN-2023-000627"/>
    <s v="CUST-0235"/>
    <x v="6"/>
    <x v="3"/>
    <s v="FEMALE"/>
    <x v="6"/>
    <x v="6"/>
    <n v="2"/>
    <x v="6"/>
    <n v="7.12"/>
    <x v="1"/>
    <x v="6"/>
    <x v="1"/>
    <x v="6"/>
    <x v="0"/>
    <s v="Gatineau, Quebec"/>
    <x v="2"/>
    <n v="15.74"/>
    <n v="7.12"/>
  </r>
  <r>
    <s v="TXN-2023-000941"/>
    <s v="CUST-0104"/>
    <x v="33"/>
    <x v="0"/>
    <s v="M"/>
    <x v="24"/>
    <x v="451"/>
    <n v="4"/>
    <x v="582"/>
    <s v="N/A"/>
    <x v="0"/>
    <x v="33"/>
    <x v="2"/>
    <x v="24"/>
    <x v="3"/>
    <s v="Burnaby / British Columbi"/>
    <x v="4"/>
    <n v="70.33"/>
    <m/>
  </r>
  <r>
    <s v="TXN-2024-000516"/>
    <s v="CUST-0185"/>
    <x v="538"/>
    <x v="4"/>
    <s v="M"/>
    <x v="25"/>
    <x v="198"/>
    <n v="1"/>
    <x v="583"/>
    <n v="1.89"/>
    <x v="0"/>
    <x v="215"/>
    <x v="2"/>
    <x v="25"/>
    <x v="3"/>
    <s v="Toronto, ON"/>
    <x v="1"/>
    <n v="4.24"/>
    <n v="1.89"/>
  </r>
  <r>
    <s v="TXN-2024-000433"/>
    <s v="CUST-0045"/>
    <x v="112"/>
    <x v="1"/>
    <s v="male"/>
    <x v="44"/>
    <x v="109"/>
    <n v="5"/>
    <x v="113"/>
    <s v="38,23"/>
    <x v="0"/>
    <x v="109"/>
    <x v="2"/>
    <x v="43"/>
    <x v="3"/>
    <s v="Lethbridge / ALBERTA"/>
    <x v="0"/>
    <n v="72.209999999999994"/>
    <n v="38.229999999999997"/>
  </r>
  <r>
    <s v="TXN-2023-000481"/>
    <s v="CUST-0133"/>
    <x v="539"/>
    <x v="3"/>
    <s v="F"/>
    <x v="8"/>
    <x v="452"/>
    <n v="4"/>
    <x v="584"/>
    <n v="105.16"/>
    <x v="1"/>
    <x v="400"/>
    <x v="1"/>
    <x v="8"/>
    <x v="3"/>
    <s v="London, ONTARIO"/>
    <x v="1"/>
    <n v="169.25"/>
    <n v="105.16"/>
  </r>
  <r>
    <s v="TXN-2024-000284"/>
    <s v="CUST-0155"/>
    <x v="540"/>
    <x v="4"/>
    <s v="FEMALE"/>
    <x v="58"/>
    <x v="90"/>
    <n v="4"/>
    <x v="585"/>
    <n v="18.649999999999999"/>
    <x v="1"/>
    <x v="423"/>
    <x v="1"/>
    <x v="55"/>
    <x v="0"/>
    <s v="Red Deer / Alberta"/>
    <x v="0"/>
    <n v="40.17"/>
    <n v="18.649999999999999"/>
  </r>
  <r>
    <s v="TXN-2024-000719"/>
    <s v="CUST-0286"/>
    <x v="541"/>
    <x v="1"/>
    <s v="FEMALE"/>
    <x v="67"/>
    <x v="453"/>
    <n v="2"/>
    <x v="586"/>
    <n v="23.25"/>
    <x v="1"/>
    <x v="52"/>
    <x v="1"/>
    <x v="63"/>
    <x v="0"/>
    <s v="Regina-Saskatchewa"/>
    <x v="3"/>
    <n v="50.17"/>
    <n v="23.25"/>
  </r>
  <r>
    <s v="TXN-2023-000878"/>
    <s v="CUST-0191"/>
    <x v="542"/>
    <x v="3"/>
    <s v="FEMALE"/>
    <x v="27"/>
    <x v="454"/>
    <n v="4"/>
    <x v="587"/>
    <n v="111.1"/>
    <x v="0"/>
    <x v="424"/>
    <x v="1"/>
    <x v="27"/>
    <x v="0"/>
    <s v="Brandon (Manitoba)"/>
    <x v="5"/>
    <n v="255.63"/>
    <n v="111.1"/>
  </r>
  <r>
    <s v="TXN-2023-000226"/>
    <s v="CUST-0315"/>
    <x v="543"/>
    <x v="4"/>
    <s v="F"/>
    <x v="3"/>
    <x v="46"/>
    <n v="2"/>
    <x v="588"/>
    <s v="4,97"/>
    <x v="0"/>
    <x v="425"/>
    <x v="1"/>
    <x v="3"/>
    <x v="3"/>
    <s v="Montreal,QC"/>
    <x v="2"/>
    <n v="11.67"/>
    <n v="4.97"/>
  </r>
  <r>
    <s v="TXN-2023-000027"/>
    <s v="CUST-0110"/>
    <x v="544"/>
    <x v="0"/>
    <s v="male"/>
    <x v="54"/>
    <x v="378"/>
    <n v="2"/>
    <x v="589"/>
    <s v="20,83"/>
    <x v="1"/>
    <x v="366"/>
    <x v="2"/>
    <x v="52"/>
    <x v="0"/>
    <s v="Laval  qc"/>
    <x v="2"/>
    <n v="42.22"/>
    <n v="20.83"/>
  </r>
  <r>
    <s v="TXN-2023-000843"/>
    <s v="CUST-0028"/>
    <x v="545"/>
    <x v="1"/>
    <s v="male"/>
    <x v="31"/>
    <x v="73"/>
    <n v="1"/>
    <x v="590"/>
    <s v=" 5.94 CAD "/>
    <x v="0"/>
    <x v="314"/>
    <x v="2"/>
    <x v="31"/>
    <x v="2"/>
    <s v="Quebec City (QUEBEC)"/>
    <x v="2"/>
    <n v="13.41"/>
    <n v="5.94"/>
  </r>
  <r>
    <s v="TXN-2024-000438"/>
    <s v="CUST-0029 "/>
    <x v="546"/>
    <x v="2"/>
    <s v="FEMALE"/>
    <x v="13"/>
    <x v="236"/>
    <n v="1"/>
    <x v="591"/>
    <n v="2.97"/>
    <x v="1"/>
    <x v="37"/>
    <x v="1"/>
    <x v="13"/>
    <x v="0"/>
    <s v="Burnaby-British C0lumbia"/>
    <x v="4"/>
    <n v="7.99"/>
    <n v="2.97"/>
  </r>
  <r>
    <s v="TXN-2023-000230"/>
    <s v="CUST-0059 "/>
    <x v="547"/>
    <x v="3"/>
    <s v="FEMALE"/>
    <x v="32"/>
    <x v="455"/>
    <n v="2"/>
    <x v="592"/>
    <n v="16.309999999999999"/>
    <x v="1"/>
    <x v="426"/>
    <x v="1"/>
    <x v="32"/>
    <x v="2"/>
    <s v="Corner Brook,NEWFOUNDLAND AND LABRADOR"/>
    <x v="7"/>
    <n v="50.23"/>
    <n v="16.309999999999999"/>
  </r>
  <r>
    <s v="TXN-2024-000365"/>
    <s v="CUST-0215"/>
    <x v="548"/>
    <x v="0"/>
    <s v="FEMALE"/>
    <x v="23"/>
    <x v="148"/>
    <n v="1"/>
    <x v="593"/>
    <n v="5.18"/>
    <x v="1"/>
    <x v="133"/>
    <x v="1"/>
    <x v="23"/>
    <x v="0"/>
    <s v="Longueuil-QUEBEC"/>
    <x v="2"/>
    <n v="12.97"/>
    <n v="5.18"/>
  </r>
  <r>
    <s v="TXN-2023-000230"/>
    <s v="CUST-0059 "/>
    <x v="547"/>
    <x v="3"/>
    <s v="FEMALE"/>
    <x v="32"/>
    <x v="455"/>
    <n v="2"/>
    <x v="592"/>
    <n v="16.309999999999999"/>
    <x v="1"/>
    <x v="426"/>
    <x v="1"/>
    <x v="32"/>
    <x v="2"/>
    <s v="Corner Brook,NEWFOUNDLAND AND LABRADOR"/>
    <x v="7"/>
    <n v="50.23"/>
    <n v="16.309999999999999"/>
  </r>
  <r>
    <s v="TXN-2023-000038"/>
    <s v="CUST-0021"/>
    <x v="455"/>
    <x v="2"/>
    <s v="Prefer not to say"/>
    <x v="46"/>
    <x v="456"/>
    <n v="2"/>
    <x v="594"/>
    <n v="26.95"/>
    <x v="1"/>
    <x v="365"/>
    <x v="3"/>
    <x v="45"/>
    <x v="3"/>
    <s v="Longueuil / Qu3b3c"/>
    <x v="2"/>
    <n v="67.209999999999994"/>
    <n v="26.95"/>
  </r>
  <r>
    <s v="TXN-2023-000639"/>
    <s v="CUST-0216"/>
    <x v="383"/>
    <x v="4"/>
    <s v="F"/>
    <x v="38"/>
    <x v="341"/>
    <n v="1"/>
    <x v="410"/>
    <n v="4.57"/>
    <x v="0"/>
    <x v="318"/>
    <x v="1"/>
    <x v="37"/>
    <x v="3"/>
    <s v="nb - Fredericton"/>
    <x v="8"/>
    <n v="20.309999999999999"/>
    <n v="4.57"/>
  </r>
  <r>
    <s v="TXN-2024-000375"/>
    <s v="CUST-0292"/>
    <x v="549"/>
    <x v="1"/>
    <s v="male"/>
    <x v="1"/>
    <x v="167"/>
    <n v="2"/>
    <x v="595"/>
    <n v="20.64"/>
    <x v="0"/>
    <x v="427"/>
    <x v="2"/>
    <x v="1"/>
    <x v="1"/>
    <s v="Brampton-Ontario"/>
    <x v="1"/>
    <n v="54.02"/>
    <n v="20.64"/>
  </r>
  <r>
    <s v="TXN-2023-000470"/>
    <s v="CUST-0291"/>
    <x v="332"/>
    <x v="3"/>
    <s v="M"/>
    <x v="48"/>
    <x v="422"/>
    <n v="4"/>
    <x v="596"/>
    <n v="75.86"/>
    <x v="1"/>
    <x v="281"/>
    <x v="2"/>
    <x v="1"/>
    <x v="1"/>
    <s v="Ontari - Mississauga"/>
    <x v="1"/>
    <n v="147.83000000000001"/>
    <n v="75.86"/>
  </r>
  <r>
    <s v="TXN-2023-000200"/>
    <s v="CUST-0260"/>
    <x v="180"/>
    <x v="1"/>
    <s v="male"/>
    <x v="54"/>
    <x v="178"/>
    <n v="2"/>
    <x v="188"/>
    <n v="3.68"/>
    <x v="1"/>
    <x v="166"/>
    <x v="2"/>
    <x v="52"/>
    <x v="0"/>
    <s v="Sydney-Nova Scoti"/>
    <x v="6"/>
    <n v="16.23"/>
    <n v="3.68"/>
  </r>
  <r>
    <s v="TXN-2024-000851"/>
    <s v="CUST-0031"/>
    <x v="550"/>
    <x v="2"/>
    <s v="M"/>
    <x v="56"/>
    <x v="457"/>
    <n v="3"/>
    <x v="597"/>
    <n v="20.43"/>
    <x v="0"/>
    <x v="59"/>
    <x v="2"/>
    <x v="54"/>
    <x v="5"/>
    <s v="Toronto  Ontari"/>
    <x v="1"/>
    <n v="39.01"/>
    <n v="20.43"/>
  </r>
  <r>
    <s v="TXN-2024-000705"/>
    <s v="CUST-0242"/>
    <x v="551"/>
    <x v="0"/>
    <s v="FEMALE"/>
    <x v="61"/>
    <x v="66"/>
    <n v="1"/>
    <x v="598"/>
    <n v="16.48"/>
    <x v="1"/>
    <x v="428"/>
    <x v="1"/>
    <x v="58"/>
    <x v="0"/>
    <s v="Hamilton / on"/>
    <x v="1"/>
    <n v="35.04"/>
    <n v="16.48"/>
  </r>
  <r>
    <s v="TXN-2023-000842"/>
    <s v="CUST-0100"/>
    <x v="552"/>
    <x v="1"/>
    <s v="male"/>
    <x v="41"/>
    <x v="458"/>
    <n v="1"/>
    <x v="599"/>
    <s v="7,34"/>
    <x v="1"/>
    <x v="329"/>
    <x v="2"/>
    <x v="40"/>
    <x v="5"/>
    <s v="Hamilton-ONTARIO"/>
    <x v="1"/>
    <n v="18.39"/>
    <n v="7.34"/>
  </r>
  <r>
    <s v="TXN-2024-000195"/>
    <s v="Cust-0169"/>
    <x v="553"/>
    <x v="1"/>
    <s v="male"/>
    <x v="27"/>
    <x v="459"/>
    <n v="-2"/>
    <x v="600"/>
    <s v=" -7.56 CAD "/>
    <x v="1"/>
    <x v="429"/>
    <x v="2"/>
    <x v="27"/>
    <x v="0"/>
    <s v="Regina (Saskatchewan)"/>
    <x v="3"/>
    <n v="-12.38"/>
    <n v="-7.56"/>
  </r>
  <r>
    <s v="TXN-2023-000855"/>
    <s v="CUST-0223"/>
    <x v="554"/>
    <x v="4"/>
    <s v="FEMALE"/>
    <x v="28"/>
    <x v="460"/>
    <n v="1"/>
    <x v="601"/>
    <s v="CAD 3.77"/>
    <x v="1"/>
    <x v="388"/>
    <x v="1"/>
    <x v="28"/>
    <x v="2"/>
    <s v="Edmonton, Alb3rta"/>
    <x v="0"/>
    <n v="16.71"/>
    <n v="3.77"/>
  </r>
  <r>
    <s v="TXN-2024-000865"/>
    <s v="CUST-0123"/>
    <x v="555"/>
    <x v="4"/>
    <s v="U"/>
    <x v="17"/>
    <x v="61"/>
    <n v="1"/>
    <x v="602"/>
    <n v="3.85"/>
    <x v="1"/>
    <x v="430"/>
    <x v="0"/>
    <x v="17"/>
    <x v="4"/>
    <s v="Saskatoon / Saskatchewan"/>
    <x v="3"/>
    <n v="11.69"/>
    <n v="3.85"/>
  </r>
  <r>
    <s v="TXN-2023-000504"/>
    <s v="CUST-0149"/>
    <x v="556"/>
    <x v="4"/>
    <s v="FEMALE"/>
    <x v="25"/>
    <x v="75"/>
    <n v="1"/>
    <x v="603"/>
    <n v="1.29"/>
    <x v="0"/>
    <x v="218"/>
    <x v="1"/>
    <x v="25"/>
    <x v="3"/>
    <s v="Montreal-QUEBEC"/>
    <x v="2"/>
    <n v="3.55"/>
    <n v="1.29"/>
  </r>
  <r>
    <s v="TXN-2024-000541"/>
    <s v="CUST-0246"/>
    <x v="139"/>
    <x v="2"/>
    <s v="FEMALE"/>
    <x v="8"/>
    <x v="461"/>
    <n v="1"/>
    <x v="604"/>
    <s v="CAD 7.67"/>
    <x v="0"/>
    <x v="132"/>
    <x v="1"/>
    <x v="8"/>
    <x v="3"/>
    <s v="London,Ontari"/>
    <x v="1"/>
    <n v="16.54"/>
    <n v="7.67"/>
  </r>
  <r>
    <s v="TXN-2024-000831"/>
    <s v="CUST-0050"/>
    <x v="557"/>
    <x v="4"/>
    <s v="FEMALE"/>
    <x v="21"/>
    <x v="462"/>
    <n v="2"/>
    <x v="605"/>
    <s v="3,32"/>
    <x v="0"/>
    <x v="285"/>
    <x v="1"/>
    <x v="21"/>
    <x v="3"/>
    <s v="Toronto Ontari"/>
    <x v="1"/>
    <n v="10.3"/>
    <n v="3.32"/>
  </r>
  <r>
    <s v="TXN-2024-000580"/>
    <s v="CUST-0123"/>
    <x v="353"/>
    <x v="1"/>
    <s v="FEMALE"/>
    <x v="26"/>
    <x v="123"/>
    <n v="3"/>
    <x v="606"/>
    <n v="33.46"/>
    <x v="1"/>
    <x v="11"/>
    <x v="1"/>
    <x v="26"/>
    <x v="3"/>
    <s v="Vaughan-ONTARIO"/>
    <x v="1"/>
    <n v="60.45"/>
    <n v="33.46"/>
  </r>
  <r>
    <s v="TXN-2023-000790"/>
    <s v="CUST-0218"/>
    <x v="236"/>
    <x v="2"/>
    <s v="FEMALE"/>
    <x v="34"/>
    <x v="125"/>
    <n v="1"/>
    <x v="246"/>
    <s v="N/A"/>
    <x v="1"/>
    <x v="209"/>
    <x v="1"/>
    <x v="34"/>
    <x v="0"/>
    <s v="Markham  Ontario"/>
    <x v="1"/>
    <n v="8.94"/>
    <m/>
  </r>
  <r>
    <s v="TXN-2023-000163"/>
    <s v="CUST-0221"/>
    <x v="152"/>
    <x v="3"/>
    <s v="FEMALE"/>
    <x v="17"/>
    <x v="1"/>
    <n v="3"/>
    <x v="607"/>
    <s v="CAD 29.62"/>
    <x v="0"/>
    <x v="143"/>
    <x v="1"/>
    <x v="17"/>
    <x v="4"/>
    <s v="Vaughan  Ontario"/>
    <x v="1"/>
    <n v="61.9"/>
    <n v="29.62"/>
  </r>
  <r>
    <s v="TXN-2023-000909"/>
    <s v="CUST-0034"/>
    <x v="558"/>
    <x v="1"/>
    <s v="M"/>
    <x v="14"/>
    <x v="232"/>
    <n v="2"/>
    <x v="47"/>
    <s v="CAD 11.34"/>
    <x v="0"/>
    <x v="422"/>
    <x v="2"/>
    <x v="14"/>
    <x v="3"/>
    <s v="Laval Quebe"/>
    <x v="2"/>
    <m/>
    <n v="11.34"/>
  </r>
  <r>
    <s v="TXN-2024-000153"/>
    <s v="CUST-0125"/>
    <x v="559"/>
    <x v="4"/>
    <s v="FEMALE"/>
    <x v="26"/>
    <x v="223"/>
    <n v="-3"/>
    <x v="608"/>
    <n v="-1.22"/>
    <x v="1"/>
    <x v="431"/>
    <x v="1"/>
    <x v="26"/>
    <x v="3"/>
    <s v="Toronto / ON"/>
    <x v="1"/>
    <n v="-5.29"/>
    <n v="-1.22"/>
  </r>
  <r>
    <s v="TXN-2023-000802"/>
    <s v="CUST-0249"/>
    <x v="560"/>
    <x v="3"/>
    <s v="M"/>
    <x v="68"/>
    <x v="35"/>
    <n v="3"/>
    <x v="609"/>
    <n v="74.61"/>
    <x v="1"/>
    <x v="223"/>
    <x v="2"/>
    <x v="20"/>
    <x v="4"/>
    <s v="Laval-QC"/>
    <x v="2"/>
    <n v="144.66"/>
    <n v="74.61"/>
  </r>
  <r>
    <s v="TXN-2024-000071"/>
    <s v="cust-0277"/>
    <x v="66"/>
    <x v="4"/>
    <s v="N/A "/>
    <x v="47"/>
    <x v="463"/>
    <n v="1"/>
    <x v="68"/>
    <n v="1.27"/>
    <x v="1"/>
    <x v="66"/>
    <x v="0"/>
    <x v="46"/>
    <x v="2"/>
    <s v="London,on"/>
    <x v="1"/>
    <n v="4.2"/>
    <n v="1.27"/>
  </r>
  <r>
    <s v="TXN-2024-000756"/>
    <s v="CUST-0144"/>
    <x v="561"/>
    <x v="3"/>
    <s v="FEMALE"/>
    <x v="9"/>
    <x v="209"/>
    <n v="1"/>
    <x v="610"/>
    <s v="5,95"/>
    <x v="1"/>
    <x v="432"/>
    <x v="1"/>
    <x v="9"/>
    <x v="3"/>
    <s v="Ottawa-Ontario"/>
    <x v="1"/>
    <n v="21.56"/>
    <n v="5.95"/>
  </r>
  <r>
    <s v="TXN-2023-000112"/>
    <s v="CUST-0266"/>
    <x v="562"/>
    <x v="0"/>
    <s v="male"/>
    <x v="12"/>
    <x v="464"/>
    <n v="4"/>
    <x v="611"/>
    <n v="18.09"/>
    <x v="0"/>
    <x v="267"/>
    <x v="2"/>
    <x v="12"/>
    <x v="0"/>
    <s v="Charlottetown,PrinceEdwardIsland"/>
    <x v="9"/>
    <n v="57.93"/>
    <n v="18.09"/>
  </r>
  <r>
    <s v="TXN-2024-000227"/>
    <s v="CUST-0082"/>
    <x v="563"/>
    <x v="2"/>
    <s v="male"/>
    <x v="58"/>
    <x v="38"/>
    <n v="2"/>
    <x v="612"/>
    <n v="7.57"/>
    <x v="1"/>
    <x v="100"/>
    <x v="2"/>
    <x v="55"/>
    <x v="0"/>
    <s v="London-ON"/>
    <x v="1"/>
    <n v="19.8"/>
    <n v="7.57"/>
  </r>
  <r>
    <s v="TXN-2024-000689"/>
    <s v="CUST-0284"/>
    <x v="564"/>
    <x v="4"/>
    <m/>
    <x v="35"/>
    <x v="285"/>
    <n v="2"/>
    <x v="613"/>
    <n v="8.1300000000000008"/>
    <x v="1"/>
    <x v="59"/>
    <x v="0"/>
    <x v="10"/>
    <x v="4"/>
    <s v="Montreal  QC"/>
    <x v="2"/>
    <n v="17.38"/>
    <n v="8.1300000000000008"/>
  </r>
  <r>
    <s v="TXN-2024-000104"/>
    <s v="CUST-0136"/>
    <x v="565"/>
    <x v="3"/>
    <s v="male"/>
    <x v="63"/>
    <x v="465"/>
    <n v="1"/>
    <x v="614"/>
    <n v="31.78"/>
    <x v="1"/>
    <x v="433"/>
    <x v="2"/>
    <x v="60"/>
    <x v="0"/>
    <s v="Moncton nb"/>
    <x v="8"/>
    <n v="55.73"/>
    <n v="31.78"/>
  </r>
  <r>
    <s v="TXN-2024-000422"/>
    <s v="CUST-0209"/>
    <x v="566"/>
    <x v="4"/>
    <s v="FEMALE"/>
    <x v="52"/>
    <x v="466"/>
    <n v="1"/>
    <x v="615"/>
    <s v="1,06"/>
    <x v="1"/>
    <x v="434"/>
    <x v="1"/>
    <x v="50"/>
    <x v="3"/>
    <s v="Gatineau / Quebe"/>
    <x v="2"/>
    <n v="3.6"/>
    <n v="1.06"/>
  </r>
  <r>
    <s v="TXN-2023-000420"/>
    <s v="CUST-0202 "/>
    <x v="567"/>
    <x v="4"/>
    <s v="FEMALE"/>
    <x v="66"/>
    <x v="372"/>
    <n v="1"/>
    <x v="616"/>
    <n v="7.34"/>
    <x v="0"/>
    <x v="146"/>
    <x v="1"/>
    <x v="62"/>
    <x v="4"/>
    <s v="Hamilton / Ontario"/>
    <x v="1"/>
    <n v="11.73"/>
    <n v="7.34"/>
  </r>
  <r>
    <s v="TXN-2023-000751"/>
    <s v="CUST-0035 "/>
    <x v="568"/>
    <x v="4"/>
    <s v="FEMALE"/>
    <x v="10"/>
    <x v="467"/>
    <n v="3"/>
    <x v="617"/>
    <n v="15.49"/>
    <x v="0"/>
    <x v="435"/>
    <x v="1"/>
    <x v="10"/>
    <x v="4"/>
    <s v="NS - Sydney"/>
    <x v="6"/>
    <n v="45.22"/>
    <n v="15.49"/>
  </r>
  <r>
    <s v="TXN-2023-000587"/>
    <s v="CUST-0264"/>
    <x v="569"/>
    <x v="1"/>
    <s v="male"/>
    <x v="30"/>
    <x v="468"/>
    <n v="1"/>
    <x v="618"/>
    <s v="CAD 7.65"/>
    <x v="0"/>
    <x v="436"/>
    <x v="2"/>
    <x v="30"/>
    <x v="2"/>
    <s v="mb - Winnipeg"/>
    <x v="5"/>
    <n v="14.38"/>
    <n v="7.65"/>
  </r>
  <r>
    <s v="TXN-2024-000781"/>
    <s v="CUST-0032"/>
    <x v="570"/>
    <x v="0"/>
    <s v="FEMALE"/>
    <x v="32"/>
    <x v="469"/>
    <n v="1"/>
    <x v="619"/>
    <s v="CAD 7.79"/>
    <x v="1"/>
    <x v="25"/>
    <x v="1"/>
    <x v="32"/>
    <x v="2"/>
    <s v="Corner Brook, NewfoundlandandLabrador"/>
    <x v="7"/>
    <n v="19.77"/>
    <n v="7.79"/>
  </r>
  <r>
    <s v="TXN-2023-000673"/>
    <s v="CUST-0260"/>
    <x v="316"/>
    <x v="1"/>
    <s v="male"/>
    <x v="29"/>
    <x v="470"/>
    <n v="1"/>
    <x v="620"/>
    <s v="CAD 6.61"/>
    <x v="0"/>
    <x v="70"/>
    <x v="2"/>
    <x v="29"/>
    <x v="2"/>
    <s v="QC - Gatineau"/>
    <x v="2"/>
    <n v="14.47"/>
    <n v="6.61"/>
  </r>
  <r>
    <s v="TXN-2023-000120"/>
    <s v="CUST-0079"/>
    <x v="571"/>
    <x v="1"/>
    <s v="FEMALE"/>
    <x v="15"/>
    <x v="426"/>
    <n v="1"/>
    <x v="621"/>
    <n v="14.7"/>
    <x v="0"/>
    <x v="268"/>
    <x v="1"/>
    <x v="15"/>
    <x v="3"/>
    <s v="Markham (Ontario)"/>
    <x v="1"/>
    <n v="27.92"/>
    <n v="14.7"/>
  </r>
  <r>
    <s v="TXN-2023-000054"/>
    <s v="CUST-0205"/>
    <x v="572"/>
    <x v="2"/>
    <s v="F"/>
    <x v="8"/>
    <x v="421"/>
    <n v="2"/>
    <x v="529"/>
    <n v="21.9"/>
    <x v="0"/>
    <x v="437"/>
    <x v="1"/>
    <x v="8"/>
    <x v="3"/>
    <s v="Burnaby-British Columbia"/>
    <x v="4"/>
    <n v="50.61"/>
    <n v="21.9"/>
  </r>
  <r>
    <s v="TXN-2023-000152"/>
    <s v="CUST-0063"/>
    <x v="236"/>
    <x v="3"/>
    <s v="FEMALE"/>
    <x v="67"/>
    <x v="471"/>
    <n v="2"/>
    <x v="622"/>
    <s v="CAD 13.38"/>
    <x v="0"/>
    <x v="209"/>
    <x v="1"/>
    <x v="63"/>
    <x v="0"/>
    <s v="Burnaby, British C0lumbia"/>
    <x v="4"/>
    <n v="40.56"/>
    <n v="13.38"/>
  </r>
  <r>
    <s v="TXN-2023-000404"/>
    <s v="CUST-0065"/>
    <x v="124"/>
    <x v="4"/>
    <s v="M"/>
    <x v="4"/>
    <x v="472"/>
    <n v="1"/>
    <x v="623"/>
    <s v="5,67"/>
    <x v="0"/>
    <x v="119"/>
    <x v="2"/>
    <x v="4"/>
    <x v="0"/>
    <s v="Mississauga, Ontari"/>
    <x v="1"/>
    <n v="13.4"/>
    <n v="5.67"/>
  </r>
  <r>
    <s v="TXN-2024-000946"/>
    <s v="CUST-0240"/>
    <x v="573"/>
    <x v="3"/>
    <s v="male"/>
    <x v="39"/>
    <x v="473"/>
    <n v="1"/>
    <x v="624"/>
    <s v="CAD 5.15"/>
    <x v="0"/>
    <x v="438"/>
    <x v="2"/>
    <x v="38"/>
    <x v="2"/>
    <s v="Lethbridge, Alberta"/>
    <x v="0"/>
    <n v="14.81"/>
    <n v="5.15"/>
  </r>
  <r>
    <s v="TXN-2023-000208"/>
    <s v="CUST-0121"/>
    <x v="484"/>
    <x v="4"/>
    <s v="male"/>
    <x v="12"/>
    <x v="131"/>
    <n v="2"/>
    <x v="625"/>
    <n v="12.07"/>
    <x v="0"/>
    <x v="386"/>
    <x v="2"/>
    <x v="12"/>
    <x v="0"/>
    <s v="Longueuil, qc"/>
    <x v="2"/>
    <n v="31.82"/>
    <n v="12.07"/>
  </r>
  <r>
    <s v="TXN-2023-000659"/>
    <s v="CUST-0075"/>
    <x v="574"/>
    <x v="1"/>
    <s v="male"/>
    <x v="4"/>
    <x v="474"/>
    <n v="1"/>
    <x v="626"/>
    <n v="5.86"/>
    <x v="1"/>
    <x v="131"/>
    <x v="2"/>
    <x v="4"/>
    <x v="0"/>
    <s v="Brandon  MB"/>
    <x v="5"/>
    <n v="10.44"/>
    <n v="5.86"/>
  </r>
  <r>
    <s v="TXN-2024-000844"/>
    <s v="CUST-0233"/>
    <x v="575"/>
    <x v="2"/>
    <s v="F"/>
    <x v="39"/>
    <x v="193"/>
    <n v="2"/>
    <x v="627"/>
    <n v="10.42"/>
    <x v="1"/>
    <x v="439"/>
    <x v="1"/>
    <x v="38"/>
    <x v="2"/>
    <s v="Laval-Quebec"/>
    <x v="2"/>
    <n v="42.37"/>
    <n v="10.42"/>
  </r>
  <r>
    <s v="TXN-2024-000763"/>
    <s v="CUST-0060"/>
    <x v="576"/>
    <x v="2"/>
    <s v="M"/>
    <x v="67"/>
    <x v="390"/>
    <n v="2"/>
    <x v="628"/>
    <s v=" 28.09 CAD "/>
    <x v="1"/>
    <x v="440"/>
    <x v="2"/>
    <x v="63"/>
    <x v="0"/>
    <s v="Sherbrooke Quebec"/>
    <x v="2"/>
    <n v="60.72"/>
    <n v="28.09"/>
  </r>
  <r>
    <s v="TXN-2024-000009"/>
    <s v="CUST-0233"/>
    <x v="577"/>
    <x v="4"/>
    <s v="male"/>
    <x v="68"/>
    <x v="435"/>
    <n v="1"/>
    <x v="629"/>
    <n v="2.37"/>
    <x v="0"/>
    <x v="441"/>
    <x v="2"/>
    <x v="20"/>
    <x v="4"/>
    <s v="Kitchener (on)"/>
    <x v="1"/>
    <n v="3.56"/>
    <n v="2.37"/>
  </r>
  <r>
    <s v="TXN-2024-000808"/>
    <s v="CUST-0172"/>
    <x v="578"/>
    <x v="4"/>
    <m/>
    <x v="64"/>
    <x v="475"/>
    <n v="2"/>
    <x v="630"/>
    <n v="11.91"/>
    <x v="0"/>
    <x v="195"/>
    <x v="0"/>
    <x v="61"/>
    <x v="0"/>
    <s v="Windsor,Ontario"/>
    <x v="1"/>
    <n v="31.93"/>
    <n v="11.91"/>
  </r>
  <r>
    <s v="TXN-2024-000037"/>
    <s v="CUST-0035"/>
    <x v="579"/>
    <x v="2"/>
    <s v="F"/>
    <x v="50"/>
    <x v="139"/>
    <n v="1"/>
    <x v="631"/>
    <n v="8.3800000000000008"/>
    <x v="1"/>
    <x v="442"/>
    <x v="1"/>
    <x v="48"/>
    <x v="2"/>
    <s v="Ottawa / Ontario"/>
    <x v="1"/>
    <n v="25.41"/>
    <n v="8.3800000000000008"/>
  </r>
  <r>
    <s v="TXN-2024-000453"/>
    <s v="CUST-0232"/>
    <x v="396"/>
    <x v="3"/>
    <s v="male"/>
    <x v="53"/>
    <x v="476"/>
    <n v="-1"/>
    <x v="632"/>
    <n v="-6.66"/>
    <x v="1"/>
    <x v="327"/>
    <x v="2"/>
    <x v="51"/>
    <x v="3"/>
    <s v="ON - Brampton"/>
    <x v="1"/>
    <n v="-44.71"/>
    <n v="-6.66"/>
  </r>
  <r>
    <s v="TXN-2024-000652"/>
    <s v="CUST-0203"/>
    <x v="27"/>
    <x v="0"/>
    <s v="FEMALE"/>
    <x v="24"/>
    <x v="27"/>
    <n v="3"/>
    <x v="27"/>
    <n v="27.2"/>
    <x v="1"/>
    <x v="27"/>
    <x v="1"/>
    <x v="24"/>
    <x v="3"/>
    <s v="Longueuil,Quebe"/>
    <x v="2"/>
    <n v="48.76"/>
    <n v="27.2"/>
  </r>
  <r>
    <s v="TXN-2024-000254"/>
    <s v="CUST-0188"/>
    <x v="580"/>
    <x v="0"/>
    <s v="M"/>
    <x v="65"/>
    <x v="83"/>
    <n v="2"/>
    <x v="633"/>
    <n v="16.809999999999999"/>
    <x v="1"/>
    <x v="201"/>
    <x v="2"/>
    <x v="30"/>
    <x v="2"/>
    <s v="London / Ontario"/>
    <x v="1"/>
    <n v="41.86"/>
    <n v="16.809999999999999"/>
  </r>
  <r>
    <s v=" TXN-2024-000304"/>
    <s v="CUST-0196"/>
    <x v="581"/>
    <x v="4"/>
    <s v="FEMALE"/>
    <x v="14"/>
    <x v="477"/>
    <n v="1"/>
    <x v="634"/>
    <n v="12.73"/>
    <x v="0"/>
    <x v="443"/>
    <x v="1"/>
    <x v="14"/>
    <x v="3"/>
    <s v="Toronto-ONTARIO"/>
    <x v="1"/>
    <n v="27.49"/>
    <n v="12.73"/>
  </r>
  <r>
    <s v=" TXN-2023-000747"/>
    <s v="CUST-0295"/>
    <x v="582"/>
    <x v="2"/>
    <s v="male"/>
    <x v="65"/>
    <x v="12"/>
    <n v="1"/>
    <x v="635"/>
    <s v="CAD 8.33"/>
    <x v="0"/>
    <x v="444"/>
    <x v="2"/>
    <x v="30"/>
    <x v="2"/>
    <s v="Laval  Quebec"/>
    <x v="2"/>
    <n v="16.7"/>
    <n v="8.33"/>
  </r>
  <r>
    <s v="TXN-2023-000572"/>
    <s v="CUST-0100"/>
    <x v="583"/>
    <x v="1"/>
    <s v="U"/>
    <x v="39"/>
    <x v="416"/>
    <n v="1"/>
    <x v="636"/>
    <n v="5.72"/>
    <x v="0"/>
    <x v="284"/>
    <x v="0"/>
    <x v="38"/>
    <x v="2"/>
    <s v="Windsor (Ontario)"/>
    <x v="1"/>
    <n v="12.68"/>
    <n v="5.72"/>
  </r>
  <r>
    <s v="TXN-2023-000624"/>
    <s v="CUST-0278"/>
    <x v="39"/>
    <x v="1"/>
    <s v="FEMALE"/>
    <x v="33"/>
    <x v="478"/>
    <n v="1"/>
    <x v="637"/>
    <n v="9.84"/>
    <x v="1"/>
    <x v="39"/>
    <x v="1"/>
    <x v="33"/>
    <x v="0"/>
    <s v="British Columbia - Victoria"/>
    <x v="4"/>
    <n v="32.21"/>
    <n v="9.84"/>
  </r>
  <r>
    <s v="TXN-2024-000733"/>
    <s v="CUST-0129 "/>
    <x v="584"/>
    <x v="1"/>
    <s v="N/A"/>
    <x v="40"/>
    <x v="211"/>
    <n v="1"/>
    <x v="638"/>
    <s v="7,95"/>
    <x v="0"/>
    <x v="445"/>
    <x v="0"/>
    <x v="39"/>
    <x v="3"/>
    <s v="Sydney Nova Scotia"/>
    <x v="6"/>
    <n v="24.23"/>
    <n v="7.95"/>
  </r>
  <r>
    <s v="TXN-2024-000892"/>
    <s v="CUST-0284"/>
    <x v="585"/>
    <x v="4"/>
    <s v="FEMALE"/>
    <x v="60"/>
    <x v="381"/>
    <n v="2"/>
    <x v="639"/>
    <n v="9.7799999999999994"/>
    <x v="0"/>
    <x v="446"/>
    <x v="1"/>
    <x v="57"/>
    <x v="5"/>
    <s v="Kitchener (Ontari)"/>
    <x v="1"/>
    <n v="24.21"/>
    <n v="9.7799999999999994"/>
  </r>
  <r>
    <s v="TXN-2024-000263"/>
    <s v="CUST-0318"/>
    <x v="586"/>
    <x v="2"/>
    <s v="male"/>
    <x v="31"/>
    <x v="479"/>
    <n v="2"/>
    <x v="640"/>
    <n v="44.61"/>
    <x v="0"/>
    <x v="253"/>
    <x v="2"/>
    <x v="31"/>
    <x v="2"/>
    <s v="Mississauga ON"/>
    <x v="1"/>
    <n v="82.16"/>
    <n v="44.61"/>
  </r>
  <r>
    <s v="TXN-2023-000611"/>
    <s v="CUST-0019"/>
    <x v="587"/>
    <x v="3"/>
    <s v="F"/>
    <x v="7"/>
    <x v="212"/>
    <n v="1"/>
    <x v="641"/>
    <n v="10.89"/>
    <x v="0"/>
    <x v="447"/>
    <x v="1"/>
    <x v="7"/>
    <x v="0"/>
    <s v="Windsor on"/>
    <x v="1"/>
    <n v="24.68"/>
    <n v="10.89"/>
  </r>
  <r>
    <s v="Txn-2023-000298"/>
    <s v="CUST-0236"/>
    <x v="588"/>
    <x v="3"/>
    <s v="FEMALE"/>
    <x v="30"/>
    <x v="93"/>
    <n v="2"/>
    <x v="642"/>
    <n v="32.47"/>
    <x v="0"/>
    <x v="448"/>
    <x v="1"/>
    <x v="30"/>
    <x v="2"/>
    <s v="Quebec City Quebec"/>
    <x v="2"/>
    <n v="55.44"/>
    <n v="32.47"/>
  </r>
  <r>
    <s v="TXN-2024-000415"/>
    <s v="CUST-0172"/>
    <x v="589"/>
    <x v="1"/>
    <s v="FEMALE"/>
    <x v="14"/>
    <x v="480"/>
    <n v="3"/>
    <x v="643"/>
    <n v="17.350000000000001"/>
    <x v="1"/>
    <x v="449"/>
    <x v="1"/>
    <x v="14"/>
    <x v="3"/>
    <s v="Fredericton (New Brunswic)"/>
    <x v="8"/>
    <n v="63.13"/>
    <n v="17.350000000000001"/>
  </r>
  <r>
    <s v="TXN-2024-000151"/>
    <s v="CUST-0051"/>
    <x v="590"/>
    <x v="4"/>
    <s v="male"/>
    <x v="51"/>
    <x v="481"/>
    <n v="1"/>
    <x v="644"/>
    <n v="4.96"/>
    <x v="0"/>
    <x v="450"/>
    <x v="2"/>
    <x v="49"/>
    <x v="2"/>
    <s v="Halifax,NS"/>
    <x v="6"/>
    <n v="12.43"/>
    <n v="4.96"/>
  </r>
  <r>
    <s v="TXN-2024-000789"/>
    <s v="CUST-0224"/>
    <x v="95"/>
    <x v="0"/>
    <s v="N/A"/>
    <x v="41"/>
    <x v="482"/>
    <n v="1"/>
    <x v="625"/>
    <n v="10.68"/>
    <x v="1"/>
    <x v="93"/>
    <x v="0"/>
    <x v="40"/>
    <x v="5"/>
    <s v="Quebec City,Quebec"/>
    <x v="2"/>
    <n v="31.82"/>
    <n v="10.68"/>
  </r>
  <r>
    <s v="TXN-2023-000641"/>
    <s v="CUST-0186"/>
    <x v="146"/>
    <x v="0"/>
    <s v="N/A"/>
    <x v="2"/>
    <x v="483"/>
    <n v="1"/>
    <x v="645"/>
    <n v="7.99"/>
    <x v="0"/>
    <x v="138"/>
    <x v="0"/>
    <x v="2"/>
    <x v="2"/>
    <s v="Hamilton, on"/>
    <x v="1"/>
    <n v="34.090000000000003"/>
    <n v="7.99"/>
  </r>
  <r>
    <s v="TXN-2023-000890"/>
    <s v="CUST-0034"/>
    <x v="591"/>
    <x v="4"/>
    <s v="F"/>
    <x v="31"/>
    <x v="484"/>
    <n v="2"/>
    <x v="646"/>
    <n v="9.86"/>
    <x v="0"/>
    <x v="10"/>
    <x v="1"/>
    <x v="31"/>
    <x v="2"/>
    <s v="Victoria (BRITISH COLUMBIA)"/>
    <x v="4"/>
    <n v="24.2"/>
    <n v="9.86"/>
  </r>
  <r>
    <s v="TXN-2023-000551"/>
    <s v="CUST-0027"/>
    <x v="592"/>
    <x v="2"/>
    <s v="FEMALE"/>
    <x v="67"/>
    <x v="263"/>
    <n v="1"/>
    <x v="647"/>
    <n v="22.68"/>
    <x v="0"/>
    <x v="157"/>
    <x v="1"/>
    <x v="63"/>
    <x v="0"/>
    <s v="ON - London"/>
    <x v="1"/>
    <n v="39.49"/>
    <n v="22.68"/>
  </r>
  <r>
    <s v="TXN-2024-000887"/>
    <s v="Cust-0158"/>
    <x v="334"/>
    <x v="4"/>
    <s v="F"/>
    <x v="2"/>
    <x v="485"/>
    <n v="1"/>
    <x v="648"/>
    <n v="6"/>
    <x v="0"/>
    <x v="283"/>
    <x v="1"/>
    <x v="2"/>
    <x v="2"/>
    <s v="Brandon  mb"/>
    <x v="5"/>
    <n v="17.52"/>
    <n v="6"/>
  </r>
  <r>
    <s v="TXN-2024-000489"/>
    <s v="CUST-0308"/>
    <x v="298"/>
    <x v="1"/>
    <s v="FEMALE"/>
    <x v="4"/>
    <x v="486"/>
    <n v="1"/>
    <x v="649"/>
    <s v="â€”"/>
    <x v="0"/>
    <x v="256"/>
    <x v="1"/>
    <x v="4"/>
    <x v="0"/>
    <s v="Halifax-Nova Scotia"/>
    <x v="6"/>
    <n v="4.46"/>
    <m/>
  </r>
  <r>
    <s v="TXN-2023-000148"/>
    <s v="CUST-0156"/>
    <x v="361"/>
    <x v="1"/>
    <s v="F"/>
    <x v="47"/>
    <x v="359"/>
    <n v="2"/>
    <x v="381"/>
    <n v="11.17"/>
    <x v="0"/>
    <x v="301"/>
    <x v="1"/>
    <x v="46"/>
    <x v="2"/>
    <s v="Calgary-ab"/>
    <x v="0"/>
    <n v="30.26"/>
    <n v="11.17"/>
  </r>
  <r>
    <s v="TXN-2023-000147"/>
    <s v="CUST-0238"/>
    <x v="593"/>
    <x v="1"/>
    <s v="male"/>
    <x v="35"/>
    <x v="487"/>
    <n v="1"/>
    <x v="650"/>
    <n v="8.81"/>
    <x v="0"/>
    <x v="451"/>
    <x v="2"/>
    <x v="10"/>
    <x v="4"/>
    <s v="Sherbrooke-QC"/>
    <x v="2"/>
    <n v="19.68"/>
    <n v="8.81"/>
  </r>
  <r>
    <s v="TXN-2023-000721"/>
    <s v="CUST-0055"/>
    <x v="594"/>
    <x v="3"/>
    <s v="F"/>
    <x v="17"/>
    <x v="488"/>
    <n v="1"/>
    <x v="651"/>
    <n v="11.27"/>
    <x v="1"/>
    <x v="452"/>
    <x v="1"/>
    <x v="17"/>
    <x v="4"/>
    <s v="Mississauga (Ontari)"/>
    <x v="1"/>
    <n v="18.62"/>
    <n v="11.27"/>
  </r>
  <r>
    <s v="TXN-2024-000932"/>
    <s v="CUST-0201"/>
    <x v="282"/>
    <x v="1"/>
    <s v="U"/>
    <x v="54"/>
    <x v="489"/>
    <n v="1"/>
    <x v="652"/>
    <n v="4.2699999999999996"/>
    <x v="0"/>
    <x v="245"/>
    <x v="0"/>
    <x v="52"/>
    <x v="0"/>
    <s v="Ontario - Vaughan"/>
    <x v="1"/>
    <n v="8.1999999999999993"/>
    <n v="4.2699999999999996"/>
  </r>
  <r>
    <s v="TXN-2023-000740"/>
    <s v="CUST-0076"/>
    <x v="595"/>
    <x v="3"/>
    <s v="male"/>
    <x v="22"/>
    <x v="490"/>
    <n v="1"/>
    <x v="653"/>
    <n v="2.81"/>
    <x v="1"/>
    <x v="453"/>
    <x v="2"/>
    <x v="22"/>
    <x v="3"/>
    <s v="Charlottetown-PE"/>
    <x v="9"/>
    <n v="12.78"/>
    <n v="2.81"/>
  </r>
  <r>
    <s v="TXN-2023-000660"/>
    <s v="CUST-0129"/>
    <x v="428"/>
    <x v="3"/>
    <s v="M"/>
    <x v="33"/>
    <x v="306"/>
    <n v="2"/>
    <x v="654"/>
    <s v=" 13.73 CAD "/>
    <x v="0"/>
    <x v="348"/>
    <x v="2"/>
    <x v="33"/>
    <x v="0"/>
    <s v="Mississauga / Ontari"/>
    <x v="1"/>
    <n v="31.72"/>
    <n v="13.73"/>
  </r>
  <r>
    <s v="TXN-2024-000349"/>
    <s v="CUST-0194"/>
    <x v="252"/>
    <x v="0"/>
    <s v="U"/>
    <x v="15"/>
    <x v="333"/>
    <n v="2"/>
    <x v="655"/>
    <s v="CAD 9.52"/>
    <x v="1"/>
    <x v="224"/>
    <x v="0"/>
    <x v="15"/>
    <x v="3"/>
    <s v="Sherbrooke,Quebec"/>
    <x v="2"/>
    <n v="21.39"/>
    <n v="9.52"/>
  </r>
  <r>
    <s v="TXN-2023-000464"/>
    <s v="CUST-0302"/>
    <x v="596"/>
    <x v="0"/>
    <s v="F"/>
    <x v="20"/>
    <x v="491"/>
    <n v="-2"/>
    <x v="656"/>
    <n v="-17.850000000000001"/>
    <x v="1"/>
    <x v="454"/>
    <x v="1"/>
    <x v="20"/>
    <x v="4"/>
    <s v="Vaughan,Ontari"/>
    <x v="1"/>
    <n v="-35.76"/>
    <n v="-17.850000000000001"/>
  </r>
  <r>
    <s v="TXN-2023-000326"/>
    <s v="CUST-0271"/>
    <x v="161"/>
    <x v="1"/>
    <s v="N/A"/>
    <x v="60"/>
    <x v="338"/>
    <n v="3"/>
    <x v="657"/>
    <n v="22.08"/>
    <x v="1"/>
    <x v="150"/>
    <x v="0"/>
    <x v="57"/>
    <x v="5"/>
    <s v="Windsor  Ontari"/>
    <x v="1"/>
    <n v="32.47"/>
    <n v="22.08"/>
  </r>
  <r>
    <s v="TXN-2023-000187"/>
    <s v="CUST-0039 "/>
    <x v="597"/>
    <x v="3"/>
    <s v="male"/>
    <x v="13"/>
    <x v="44"/>
    <n v="1"/>
    <x v="98"/>
    <n v="16.39"/>
    <x v="1"/>
    <x v="338"/>
    <x v="2"/>
    <x v="13"/>
    <x v="0"/>
    <s v="Windsor  ONTARIO"/>
    <x v="1"/>
    <n v="24.11"/>
    <n v="16.39"/>
  </r>
  <r>
    <s v="TXN-2023-000124"/>
    <s v="CUST-0283"/>
    <x v="598"/>
    <x v="4"/>
    <s v="FEMALE"/>
    <x v="32"/>
    <x v="492"/>
    <n v="1"/>
    <x v="658"/>
    <s v=" 4.17 CAD "/>
    <x v="0"/>
    <x v="361"/>
    <x v="1"/>
    <x v="32"/>
    <x v="2"/>
    <s v="London / Ontari"/>
    <x v="1"/>
    <n v="13.06"/>
    <n v="4.17"/>
  </r>
  <r>
    <s v="TXN-2023-000854"/>
    <s v="CUST-0237"/>
    <x v="599"/>
    <x v="0"/>
    <s v="FEMALE"/>
    <x v="3"/>
    <x v="493"/>
    <n v="1"/>
    <x v="659"/>
    <s v=" 12.52 CAD "/>
    <x v="0"/>
    <x v="455"/>
    <x v="1"/>
    <x v="3"/>
    <x v="3"/>
    <s v="Longueuil / Quebec"/>
    <x v="2"/>
    <n v="28.27"/>
    <n v="12.52"/>
  </r>
  <r>
    <s v="TXN-2023-000609"/>
    <s v="CUST-0030"/>
    <x v="333"/>
    <x v="2"/>
    <s v="male"/>
    <x v="66"/>
    <x v="39"/>
    <n v="2"/>
    <x v="660"/>
    <s v="CAD 13.40"/>
    <x v="1"/>
    <x v="282"/>
    <x v="2"/>
    <x v="62"/>
    <x v="4"/>
    <s v="Sherbrooke, QUEBEC"/>
    <x v="2"/>
    <n v="24.78"/>
    <n v="13.4"/>
  </r>
  <r>
    <s v="Txn-2023-000144"/>
    <s v="CUST-0286"/>
    <x v="355"/>
    <x v="0"/>
    <s v="FEMALE"/>
    <x v="41"/>
    <x v="287"/>
    <n v="1"/>
    <x v="661"/>
    <n v="12.82"/>
    <x v="0"/>
    <x v="297"/>
    <x v="1"/>
    <x v="40"/>
    <x v="5"/>
    <s v="Brampton (ON)"/>
    <x v="1"/>
    <n v="36.47"/>
    <n v="12.82"/>
  </r>
  <r>
    <s v="TXN-2023-000173"/>
    <s v="CUST-0175"/>
    <x v="310"/>
    <x v="0"/>
    <s v="male"/>
    <x v="0"/>
    <x v="284"/>
    <n v="4"/>
    <x v="331"/>
    <n v="9.26"/>
    <x v="1"/>
    <x v="69"/>
    <x v="2"/>
    <x v="0"/>
    <x v="0"/>
    <s v="Nova Scotia - Sydney"/>
    <x v="6"/>
    <n v="22.26"/>
    <n v="9.26"/>
  </r>
  <r>
    <s v="TXN-2023-000198"/>
    <s v="CUST-0048"/>
    <x v="194"/>
    <x v="2"/>
    <s v="FEMALE"/>
    <x v="7"/>
    <x v="494"/>
    <n v="1"/>
    <x v="662"/>
    <n v="12.33"/>
    <x v="0"/>
    <x v="177"/>
    <x v="1"/>
    <x v="7"/>
    <x v="0"/>
    <s v="QC - Quebec City"/>
    <x v="2"/>
    <n v="25.07"/>
    <n v="12.33"/>
  </r>
  <r>
    <s v="TXN-2024-000610"/>
    <s v="CUST-0147"/>
    <x v="39"/>
    <x v="2"/>
    <s v="M"/>
    <x v="34"/>
    <x v="495"/>
    <n v="1"/>
    <x v="663"/>
    <n v="15.09"/>
    <x v="1"/>
    <x v="39"/>
    <x v="2"/>
    <x v="34"/>
    <x v="0"/>
    <s v="Edmonton / Albert"/>
    <x v="0"/>
    <n v="35.89"/>
    <n v="15.09"/>
  </r>
  <r>
    <s v="TXN-2024-000280"/>
    <s v="CUST-0235 "/>
    <x v="600"/>
    <x v="3"/>
    <s v="male"/>
    <x v="28"/>
    <x v="263"/>
    <n v="1"/>
    <x v="664"/>
    <n v="15.25"/>
    <x v="0"/>
    <x v="416"/>
    <x v="2"/>
    <x v="28"/>
    <x v="2"/>
    <s v="ON - London"/>
    <x v="1"/>
    <n v="37.53"/>
    <n v="15.25"/>
  </r>
  <r>
    <s v="TXN-2023-000294"/>
    <s v="CUST-0017"/>
    <x v="591"/>
    <x v="0"/>
    <s v="N/A"/>
    <x v="25"/>
    <x v="496"/>
    <n v="4"/>
    <x v="665"/>
    <s v="CAD 62.14"/>
    <x v="0"/>
    <x v="10"/>
    <x v="0"/>
    <x v="25"/>
    <x v="3"/>
    <s v="Vancouver-British C0lumbi"/>
    <x v="4"/>
    <n v="160.38"/>
    <n v="62.14"/>
  </r>
  <r>
    <s v="TXN-2023-000401"/>
    <s v="CUST-0123"/>
    <x v="601"/>
    <x v="0"/>
    <s v="M"/>
    <x v="47"/>
    <x v="315"/>
    <n v="1"/>
    <x v="666"/>
    <n v="4.34"/>
    <x v="1"/>
    <x v="171"/>
    <x v="2"/>
    <x v="46"/>
    <x v="2"/>
    <s v="Hamilton ONTARIO"/>
    <x v="1"/>
    <n v="17.690000000000001"/>
    <n v="4.34"/>
  </r>
  <r>
    <s v="TXN-2023-000123"/>
    <s v="CUST-0301"/>
    <x v="602"/>
    <x v="4"/>
    <s v="male"/>
    <x v="36"/>
    <x v="146"/>
    <n v="1"/>
    <x v="667"/>
    <n v="5.44"/>
    <x v="0"/>
    <x v="455"/>
    <x v="2"/>
    <x v="35"/>
    <x v="3"/>
    <s v="Hamilton  Ontario"/>
    <x v="1"/>
    <n v="13.5"/>
    <n v="5.44"/>
  </r>
  <r>
    <s v="TXN-2024-000184"/>
    <s v="CUST-0203"/>
    <x v="35"/>
    <x v="1"/>
    <s v="FEMALE"/>
    <x v="18"/>
    <x v="497"/>
    <n v="2"/>
    <x v="668"/>
    <n v="22.05"/>
    <x v="0"/>
    <x v="35"/>
    <x v="1"/>
    <x v="18"/>
    <x v="0"/>
    <s v="qc - Longueuil"/>
    <x v="2"/>
    <n v="66.44"/>
    <n v="22.05"/>
  </r>
  <r>
    <s v="TXN-2023-000203"/>
    <s v="CUST-0100"/>
    <x v="603"/>
    <x v="0"/>
    <s v="U"/>
    <x v="50"/>
    <x v="296"/>
    <n v="1"/>
    <x v="669"/>
    <n v="9.26"/>
    <x v="0"/>
    <x v="456"/>
    <x v="0"/>
    <x v="48"/>
    <x v="2"/>
    <s v="Laval (QUEBEC)"/>
    <x v="2"/>
    <n v="18.46"/>
    <n v="9.26"/>
  </r>
  <r>
    <s v="TXN-2024-000439"/>
    <s v="CUST-0304"/>
    <x v="39"/>
    <x v="3"/>
    <s v="male"/>
    <x v="20"/>
    <x v="498"/>
    <n v="2"/>
    <x v="670"/>
    <n v="42.77"/>
    <x v="0"/>
    <x v="39"/>
    <x v="2"/>
    <x v="20"/>
    <x v="4"/>
    <s v="St. John's, NewfoundlandandLabrador"/>
    <x v="7"/>
    <n v="128.47999999999999"/>
    <n v="42.77"/>
  </r>
  <r>
    <s v="TXN-2024-000247"/>
    <s v="CUST-0205"/>
    <x v="39"/>
    <x v="4"/>
    <s v="FEMALE"/>
    <x v="44"/>
    <x v="390"/>
    <n v="1"/>
    <x v="671"/>
    <n v="3.89"/>
    <x v="1"/>
    <x v="39"/>
    <x v="1"/>
    <x v="43"/>
    <x v="3"/>
    <s v="Sherbrooke Quebec"/>
    <x v="2"/>
    <n v="9.25"/>
    <n v="3.89"/>
  </r>
  <r>
    <s v="TXN-2024-000416"/>
    <s v="CUST-0272"/>
    <x v="604"/>
    <x v="3"/>
    <s v="male"/>
    <x v="25"/>
    <x v="499"/>
    <n v="2"/>
    <x v="672"/>
    <s v="9,78"/>
    <x v="1"/>
    <x v="457"/>
    <x v="2"/>
    <x v="25"/>
    <x v="3"/>
    <s v="Moncton-NB"/>
    <x v="8"/>
    <n v="25.69"/>
    <n v="9.7799999999999994"/>
  </r>
  <r>
    <s v="TXN-2024-000933"/>
    <s v="CUST-0032"/>
    <x v="605"/>
    <x v="4"/>
    <s v="F"/>
    <x v="44"/>
    <x v="500"/>
    <n v="1"/>
    <x v="673"/>
    <n v="7.32"/>
    <x v="1"/>
    <x v="46"/>
    <x v="1"/>
    <x v="43"/>
    <x v="3"/>
    <s v="bc - Burnaby"/>
    <x v="4"/>
    <n v="13.22"/>
    <n v="7.32"/>
  </r>
  <r>
    <s v="TXN-2023-000766"/>
    <s v="CUST-0140"/>
    <x v="305"/>
    <x v="1"/>
    <s v="FEMALE"/>
    <x v="9"/>
    <x v="501"/>
    <n v="2"/>
    <x v="674"/>
    <s v=" 2.16 CAD "/>
    <x v="1"/>
    <x v="262"/>
    <x v="1"/>
    <x v="9"/>
    <x v="3"/>
    <s v="Gatineau, QC"/>
    <x v="2"/>
    <n v="8.92"/>
    <n v="2.16"/>
  </r>
  <r>
    <s v="TXN-2023-000907"/>
    <s v="CUST-0058"/>
    <x v="606"/>
    <x v="0"/>
    <s v="FEMALE"/>
    <x v="37"/>
    <x v="502"/>
    <n v="2"/>
    <x v="675"/>
    <n v="12.85"/>
    <x v="1"/>
    <x v="276"/>
    <x v="1"/>
    <x v="36"/>
    <x v="0"/>
    <s v="Montreal,Quebe"/>
    <x v="2"/>
    <n v="46.53"/>
    <n v="12.85"/>
  </r>
  <r>
    <s v="TXN-2024-000836"/>
    <s v="CUST-0314"/>
    <x v="217"/>
    <x v="1"/>
    <s v="M"/>
    <x v="39"/>
    <x v="134"/>
    <n v="1"/>
    <x v="676"/>
    <n v="4.25"/>
    <x v="0"/>
    <x v="194"/>
    <x v="2"/>
    <x v="38"/>
    <x v="2"/>
    <s v="Mississauga ONTARIO"/>
    <x v="1"/>
    <n v="13.73"/>
    <n v="4.25"/>
  </r>
  <r>
    <s v="TXN-2023-000888"/>
    <s v="CUST-0148"/>
    <x v="607"/>
    <x v="0"/>
    <s v="U"/>
    <x v="31"/>
    <x v="503"/>
    <n v="1"/>
    <x v="677"/>
    <n v="6.82"/>
    <x v="1"/>
    <x v="458"/>
    <x v="0"/>
    <x v="31"/>
    <x v="2"/>
    <s v="Regina,Saskatchewan"/>
    <x v="3"/>
    <n v="19.78"/>
    <n v="6.82"/>
  </r>
  <r>
    <s v="TXN-2023-000130"/>
    <s v="CUST-0121"/>
    <x v="608"/>
    <x v="1"/>
    <s v="M"/>
    <x v="35"/>
    <x v="427"/>
    <n v="2"/>
    <x v="678"/>
    <n v="19.68"/>
    <x v="0"/>
    <x v="459"/>
    <x v="2"/>
    <x v="10"/>
    <x v="4"/>
    <s v="Longueuil QUEBEC"/>
    <x v="2"/>
    <n v="40.92"/>
    <n v="19.68"/>
  </r>
  <r>
    <s v="TXN-2023-000638"/>
    <s v="CUST-0196"/>
    <x v="609"/>
    <x v="1"/>
    <s v="FEMALE"/>
    <x v="47"/>
    <x v="145"/>
    <n v="2"/>
    <x v="679"/>
    <n v="7.79"/>
    <x v="0"/>
    <x v="75"/>
    <x v="1"/>
    <x v="46"/>
    <x v="2"/>
    <s v="Brandon-Manitob"/>
    <x v="5"/>
    <n v="17.64"/>
    <n v="7.79"/>
  </r>
  <r>
    <s v="TXN-2023-000403"/>
    <s v="CUST-0071"/>
    <x v="610"/>
    <x v="1"/>
    <s v="male"/>
    <x v="20"/>
    <x v="504"/>
    <n v="1"/>
    <x v="680"/>
    <n v="8.89"/>
    <x v="1"/>
    <x v="460"/>
    <x v="2"/>
    <x v="20"/>
    <x v="4"/>
    <s v="Ottawa (Ontari0)"/>
    <x v="1"/>
    <n v="21.76"/>
    <n v="8.89"/>
  </r>
  <r>
    <s v="TXN-2024-000785"/>
    <s v="CUST-0184"/>
    <x v="611"/>
    <x v="2"/>
    <s v="M"/>
    <x v="23"/>
    <x v="505"/>
    <n v="4"/>
    <x v="681"/>
    <n v="15.38"/>
    <x v="1"/>
    <x v="237"/>
    <x v="2"/>
    <x v="23"/>
    <x v="0"/>
    <s v="Toronto,on"/>
    <x v="1"/>
    <n v="32.46"/>
    <n v="15.38"/>
  </r>
  <r>
    <s v="TXN-2023-000771"/>
    <s v="CUST-0102"/>
    <x v="336"/>
    <x v="4"/>
    <s v="male"/>
    <x v="14"/>
    <x v="506"/>
    <n v="2"/>
    <x v="64"/>
    <n v="13.55"/>
    <x v="1"/>
    <x v="4"/>
    <x v="2"/>
    <x v="14"/>
    <x v="3"/>
    <s v="Hamilton  ON"/>
    <x v="1"/>
    <n v="30.48"/>
    <n v="13.55"/>
  </r>
  <r>
    <s v="TXN-2024-000736"/>
    <s v="CUST-0159"/>
    <x v="612"/>
    <x v="4"/>
    <s v="FEMALE"/>
    <x v="13"/>
    <x v="351"/>
    <n v="2"/>
    <x v="682"/>
    <n v="9.83"/>
    <x v="0"/>
    <x v="461"/>
    <x v="1"/>
    <x v="13"/>
    <x v="0"/>
    <s v="Sydney-NS"/>
    <x v="6"/>
    <n v="26.7"/>
    <n v="9.83"/>
  </r>
  <r>
    <s v="TXN-2023-000914"/>
    <s v="CUST-0244"/>
    <x v="613"/>
    <x v="2"/>
    <s v="N/A"/>
    <x v="41"/>
    <x v="507"/>
    <n v="1"/>
    <x v="683"/>
    <n v="3.28"/>
    <x v="0"/>
    <x v="378"/>
    <x v="0"/>
    <x v="40"/>
    <x v="5"/>
    <s v="Surrey BRITISH COLUMBIA"/>
    <x v="4"/>
    <n v="8.6199999999999992"/>
    <n v="3.28"/>
  </r>
  <r>
    <s v="TXN-2023-000220"/>
    <s v="CUST-0279"/>
    <x v="614"/>
    <x v="0"/>
    <m/>
    <x v="3"/>
    <x v="508"/>
    <n v="1"/>
    <x v="684"/>
    <n v="12.34"/>
    <x v="0"/>
    <x v="251"/>
    <x v="0"/>
    <x v="3"/>
    <x v="3"/>
    <s v="Fredericton / New Brunswic"/>
    <x v="8"/>
    <n v="20.05"/>
    <n v="12.34"/>
  </r>
  <r>
    <s v="TXN-2023-000642"/>
    <s v="CUST-0129"/>
    <x v="615"/>
    <x v="3"/>
    <s v="male"/>
    <x v="60"/>
    <x v="509"/>
    <n v="3"/>
    <x v="685"/>
    <n v="43.53"/>
    <x v="1"/>
    <x v="277"/>
    <x v="2"/>
    <x v="57"/>
    <x v="5"/>
    <s v="Saskatoon SASKATCHEWAN"/>
    <x v="3"/>
    <n v="89.93"/>
    <n v="43.53"/>
  </r>
  <r>
    <s v="TXN-2024-000916"/>
    <s v="CUST-0239"/>
    <x v="426"/>
    <x v="1"/>
    <s v="N/A"/>
    <x v="29"/>
    <x v="284"/>
    <n v="2"/>
    <x v="686"/>
    <n v="20.53"/>
    <x v="1"/>
    <x v="346"/>
    <x v="0"/>
    <x v="29"/>
    <x v="2"/>
    <s v="NOVA SCOTIA - Sydney"/>
    <x v="6"/>
    <n v="45.69"/>
    <n v="20.53"/>
  </r>
  <r>
    <s v="TXN-2023-000753"/>
    <s v="CUST-0243"/>
    <x v="616"/>
    <x v="0"/>
    <s v="male"/>
    <x v="33"/>
    <x v="510"/>
    <n v="2"/>
    <x v="687"/>
    <n v="8.52"/>
    <x v="1"/>
    <x v="462"/>
    <x v="2"/>
    <x v="33"/>
    <x v="0"/>
    <s v="Kelowna-BRITISH COLUMBIA"/>
    <x v="4"/>
    <n v="19.3"/>
    <n v="8.52"/>
  </r>
  <r>
    <s v="TXN-2023-000807"/>
    <s v="CUST-0162"/>
    <x v="474"/>
    <x v="0"/>
    <s v="FEMALE"/>
    <x v="46"/>
    <x v="511"/>
    <n v="1"/>
    <x v="688"/>
    <n v="6.15"/>
    <x v="1"/>
    <x v="229"/>
    <x v="1"/>
    <x v="45"/>
    <x v="3"/>
    <s v="Markham,Ontari"/>
    <x v="1"/>
    <n v="19.100000000000001"/>
    <n v="6.15"/>
  </r>
  <r>
    <s v="TXN-2023-000920"/>
    <s v="CUST-0225"/>
    <x v="408"/>
    <x v="0"/>
    <s v="FEMALE"/>
    <x v="7"/>
    <x v="5"/>
    <n v="3"/>
    <x v="689"/>
    <n v="12.63"/>
    <x v="1"/>
    <x v="13"/>
    <x v="1"/>
    <x v="7"/>
    <x v="0"/>
    <s v="Calgary,ALBERTA"/>
    <x v="0"/>
    <n v="36.57"/>
    <n v="12.63"/>
  </r>
  <r>
    <s v="TXN-2024-000625"/>
    <s v="CUST-0141"/>
    <x v="617"/>
    <x v="2"/>
    <s v="male"/>
    <x v="46"/>
    <x v="305"/>
    <n v="1"/>
    <x v="690"/>
    <s v="CAD 17.75"/>
    <x v="0"/>
    <x v="413"/>
    <x v="2"/>
    <x v="45"/>
    <x v="3"/>
    <s v="Gatineau / QUEBEC"/>
    <x v="2"/>
    <n v="37.630000000000003"/>
    <n v="17.75"/>
  </r>
  <r>
    <s v="TXN-2024-000875"/>
    <s v="CUST-0146 "/>
    <x v="618"/>
    <x v="4"/>
    <s v="male"/>
    <x v="4"/>
    <x v="376"/>
    <n v="1"/>
    <x v="691"/>
    <m/>
    <x v="0"/>
    <x v="252"/>
    <x v="2"/>
    <x v="4"/>
    <x v="0"/>
    <s v="Surrey (British Columbia)"/>
    <x v="4"/>
    <n v="11.77"/>
    <m/>
  </r>
  <r>
    <s v="TXN-2024-000761"/>
    <s v="CUST-0079"/>
    <x v="619"/>
    <x v="2"/>
    <s v="FEMALE"/>
    <x v="43"/>
    <x v="426"/>
    <n v="2"/>
    <x v="692"/>
    <n v="5.84"/>
    <x v="1"/>
    <x v="463"/>
    <x v="1"/>
    <x v="42"/>
    <x v="4"/>
    <s v="Markham (ONTARIO)"/>
    <x v="1"/>
    <n v="14.57"/>
    <n v="5.84"/>
  </r>
  <r>
    <s v="TXN-2024-000387"/>
    <s v="CUST-0245"/>
    <x v="620"/>
    <x v="3"/>
    <s v="FEMALE"/>
    <x v="13"/>
    <x v="512"/>
    <n v="1"/>
    <x v="693"/>
    <s v=" 13.37 CAD "/>
    <x v="1"/>
    <x v="464"/>
    <x v="1"/>
    <x v="13"/>
    <x v="0"/>
    <s v="Vancouver  BritishColumbia"/>
    <x v="4"/>
    <n v="28.3"/>
    <n v="13.37"/>
  </r>
  <r>
    <s v="TXN-2023-000532"/>
    <s v="CUST-0281"/>
    <x v="39"/>
    <x v="4"/>
    <s v="F"/>
    <x v="41"/>
    <x v="324"/>
    <n v="2"/>
    <x v="385"/>
    <s v="CAD 4.83"/>
    <x v="0"/>
    <x v="39"/>
    <x v="1"/>
    <x v="40"/>
    <x v="5"/>
    <s v="Laval-QC"/>
    <x v="2"/>
    <n v="12.03"/>
    <n v="4.83"/>
  </r>
  <r>
    <s v="TXN-2023-000510"/>
    <s v="CUST-0139"/>
    <x v="440"/>
    <x v="2"/>
    <s v="M"/>
    <x v="2"/>
    <x v="513"/>
    <n v="1"/>
    <x v="694"/>
    <n v="20.9"/>
    <x v="1"/>
    <x v="354"/>
    <x v="2"/>
    <x v="2"/>
    <x v="2"/>
    <s v="Kelowna BritishColumbia"/>
    <x v="4"/>
    <n v="38.4"/>
    <n v="20.9"/>
  </r>
  <r>
    <s v="TXN-2023-000268"/>
    <s v="CUST-0143"/>
    <x v="621"/>
    <x v="3"/>
    <s v="Prefer not to say"/>
    <x v="38"/>
    <x v="514"/>
    <n v="1"/>
    <x v="695"/>
    <n v="11.09"/>
    <x v="0"/>
    <x v="465"/>
    <x v="3"/>
    <x v="37"/>
    <x v="3"/>
    <s v="Surrey (British Columbi)"/>
    <x v="4"/>
    <n v="32.9"/>
    <n v="11.09"/>
  </r>
  <r>
    <s v="TXN-2023-000820"/>
    <s v="CUST-0169"/>
    <x v="622"/>
    <x v="3"/>
    <s v="M"/>
    <x v="16"/>
    <x v="270"/>
    <n v="1"/>
    <x v="696"/>
    <n v="10.64"/>
    <x v="0"/>
    <x v="456"/>
    <x v="2"/>
    <x v="16"/>
    <x v="4"/>
    <s v="Laval  Quebec"/>
    <x v="2"/>
    <n v="27.4"/>
    <n v="10.64"/>
  </r>
  <r>
    <s v="TXN-2024-000442"/>
    <s v="CUST-0245"/>
    <x v="39"/>
    <x v="2"/>
    <s v="Prefer not to say"/>
    <x v="28"/>
    <x v="128"/>
    <n v="1"/>
    <x v="486"/>
    <n v="7.11"/>
    <x v="1"/>
    <x v="39"/>
    <x v="3"/>
    <x v="28"/>
    <x v="2"/>
    <s v="Toronto / Ontario"/>
    <x v="1"/>
    <n v="16.84"/>
    <n v="7.11"/>
  </r>
  <r>
    <s v="TXN-2023-000497"/>
    <s v="CUST-0103"/>
    <x v="623"/>
    <x v="3"/>
    <s v="FEMALE"/>
    <x v="2"/>
    <x v="515"/>
    <n v="-1"/>
    <x v="697"/>
    <n v="-4.96"/>
    <x v="0"/>
    <x v="334"/>
    <x v="1"/>
    <x v="2"/>
    <x v="2"/>
    <s v="ab - Edmonton"/>
    <x v="0"/>
    <n v="-13.44"/>
    <n v="-4.96"/>
  </r>
  <r>
    <s v="TXN-2023-000113"/>
    <s v="CUST-0047"/>
    <x v="624"/>
    <x v="0"/>
    <s v="male"/>
    <x v="23"/>
    <x v="91"/>
    <n v="2"/>
    <x v="698"/>
    <n v="27.04"/>
    <x v="0"/>
    <x v="348"/>
    <x v="2"/>
    <x v="23"/>
    <x v="0"/>
    <s v="Quebec - Sherbrooke"/>
    <x v="2"/>
    <n v="57.18"/>
    <n v="27.04"/>
  </r>
  <r>
    <s v="TXN-2024-000692"/>
    <s v="Cust-0089"/>
    <x v="625"/>
    <x v="0"/>
    <s v="F"/>
    <x v="45"/>
    <x v="516"/>
    <n v="1"/>
    <x v="699"/>
    <s v="CAD 10.61"/>
    <x v="0"/>
    <x v="466"/>
    <x v="1"/>
    <x v="44"/>
    <x v="5"/>
    <s v="Red Deer (Alberta)"/>
    <x v="0"/>
    <n v="29.91"/>
    <n v="10.61"/>
  </r>
  <r>
    <s v="TXN-2024-000233"/>
    <s v="CUST-0178"/>
    <x v="626"/>
    <x v="4"/>
    <s v="male"/>
    <x v="11"/>
    <x v="75"/>
    <n v="1"/>
    <x v="700"/>
    <s v="1,83"/>
    <x v="1"/>
    <x v="192"/>
    <x v="2"/>
    <x v="11"/>
    <x v="5"/>
    <s v="Montreal-Quebec"/>
    <x v="2"/>
    <n v="4.6900000000000004"/>
    <n v="1.83"/>
  </r>
  <r>
    <s v="TXN-2023-000870"/>
    <s v="CUST-0078"/>
    <x v="627"/>
    <x v="0"/>
    <s v="M"/>
    <x v="9"/>
    <x v="33"/>
    <n v="2"/>
    <x v="701"/>
    <n v="17.07"/>
    <x v="1"/>
    <x v="467"/>
    <x v="2"/>
    <x v="9"/>
    <x v="3"/>
    <s v="Mississauga,Ontario"/>
    <x v="1"/>
    <n v="41.8"/>
    <n v="17.07"/>
  </r>
  <r>
    <s v="TXN-2023-000608"/>
    <s v="CUST-0312"/>
    <x v="628"/>
    <x v="1"/>
    <s v="FEMALE"/>
    <x v="3"/>
    <x v="238"/>
    <n v="2"/>
    <x v="702"/>
    <n v="7.9"/>
    <x v="1"/>
    <x v="198"/>
    <x v="1"/>
    <x v="3"/>
    <x v="3"/>
    <s v="London (ONTARIO)"/>
    <x v="1"/>
    <n v="17.23"/>
    <n v="7.9"/>
  </r>
  <r>
    <s v=" TXN-2024-000672"/>
    <s v="CUST-0080"/>
    <x v="629"/>
    <x v="2"/>
    <s v="FEMALE"/>
    <x v="18"/>
    <x v="517"/>
    <n v="1"/>
    <x v="703"/>
    <n v="13.22"/>
    <x v="0"/>
    <x v="395"/>
    <x v="1"/>
    <x v="18"/>
    <x v="0"/>
    <s v="Alberta - Calgary"/>
    <x v="0"/>
    <n v="24.64"/>
    <n v="13.22"/>
  </r>
  <r>
    <s v="TXN-2024-000374"/>
    <s v="CUST-0220"/>
    <x v="630"/>
    <x v="2"/>
    <s v="male"/>
    <x v="0"/>
    <x v="301"/>
    <n v="1"/>
    <x v="704"/>
    <s v="CAD 9.60"/>
    <x v="1"/>
    <x v="468"/>
    <x v="2"/>
    <x v="0"/>
    <x v="0"/>
    <s v="Sherbrooke / Quebe"/>
    <x v="2"/>
    <n v="26.5"/>
    <n v="9.6"/>
  </r>
  <r>
    <s v="TXN-2023-000452"/>
    <s v="CUST-0253"/>
    <x v="89"/>
    <x v="0"/>
    <s v="FEMALE"/>
    <x v="53"/>
    <x v="87"/>
    <n v="3"/>
    <x v="43"/>
    <n v="26.05"/>
    <x v="0"/>
    <x v="88"/>
    <x v="1"/>
    <x v="51"/>
    <x v="3"/>
    <s v="Saskatoon  SK"/>
    <x v="3"/>
    <m/>
    <n v="26.05"/>
  </r>
  <r>
    <s v="TXN-2023-000843"/>
    <s v="CUST-0028"/>
    <x v="545"/>
    <x v="1"/>
    <s v="male"/>
    <x v="31"/>
    <x v="73"/>
    <n v="1"/>
    <x v="590"/>
    <s v=" 5.94 CAD "/>
    <x v="0"/>
    <x v="314"/>
    <x v="2"/>
    <x v="31"/>
    <x v="2"/>
    <s v="Quebec City (QUEBEC)"/>
    <x v="2"/>
    <n v="13.41"/>
    <n v="5.94"/>
  </r>
  <r>
    <s v="TXN-2023-000234"/>
    <s v="CUST-0261"/>
    <x v="631"/>
    <x v="4"/>
    <s v="N/A"/>
    <x v="34"/>
    <x v="518"/>
    <n v="1"/>
    <x v="705"/>
    <n v="3.72"/>
    <x v="1"/>
    <x v="469"/>
    <x v="0"/>
    <x v="34"/>
    <x v="0"/>
    <s v="Mississauga-Ontari"/>
    <x v="1"/>
    <n v="8.51"/>
    <n v="3.72"/>
  </r>
  <r>
    <s v="TXN-2024-000786"/>
    <s v="CUST-0163"/>
    <x v="632"/>
    <x v="0"/>
    <s v="male"/>
    <x v="51"/>
    <x v="173"/>
    <n v="1"/>
    <x v="706"/>
    <s v=" 11.00 CAD "/>
    <x v="0"/>
    <x v="470"/>
    <x v="2"/>
    <x v="49"/>
    <x v="2"/>
    <s v="Windsor / ONTARIO"/>
    <x v="1"/>
    <n v="20.65"/>
    <n v="11"/>
  </r>
  <r>
    <s v="TXN-2023-000677"/>
    <s v="CUST-0249"/>
    <x v="380"/>
    <x v="1"/>
    <m/>
    <x v="16"/>
    <x v="519"/>
    <n v="1"/>
    <x v="707"/>
    <n v="8.3800000000000008"/>
    <x v="1"/>
    <x v="315"/>
    <x v="0"/>
    <x v="16"/>
    <x v="4"/>
    <s v="Brampton,Ontario"/>
    <x v="1"/>
    <n v="23.53"/>
    <n v="8.3800000000000008"/>
  </r>
  <r>
    <s v="TXN-2024-000318"/>
    <s v="CUST-0035"/>
    <x v="633"/>
    <x v="3"/>
    <s v="N/A"/>
    <x v="9"/>
    <x v="520"/>
    <n v="1"/>
    <x v="708"/>
    <n v="21.07"/>
    <x v="1"/>
    <x v="471"/>
    <x v="0"/>
    <x v="9"/>
    <x v="3"/>
    <s v="Sherbrooke  Quebec"/>
    <x v="2"/>
    <n v="36.99"/>
    <n v="21.07"/>
  </r>
  <r>
    <s v="TXN-2023-000649"/>
    <s v="CUST-0080"/>
    <x v="634"/>
    <x v="4"/>
    <s v="F"/>
    <x v="10"/>
    <x v="521"/>
    <n v="2"/>
    <x v="709"/>
    <n v="8.44"/>
    <x v="0"/>
    <x v="235"/>
    <x v="1"/>
    <x v="10"/>
    <x v="4"/>
    <s v="Kitchener-Ontario"/>
    <x v="1"/>
    <n v="19.91"/>
    <n v="8.44"/>
  </r>
  <r>
    <s v="TXN-2023-000411"/>
    <s v="CUST-0206"/>
    <x v="238"/>
    <x v="1"/>
    <s v="male"/>
    <x v="48"/>
    <x v="522"/>
    <n v="2"/>
    <x v="710"/>
    <n v="6.44"/>
    <x v="1"/>
    <x v="211"/>
    <x v="2"/>
    <x v="1"/>
    <x v="1"/>
    <s v="Vaughan Ontario"/>
    <x v="1"/>
    <n v="12.49"/>
    <n v="6.44"/>
  </r>
  <r>
    <s v="TXN-2024-000899"/>
    <s v="CUST-0150"/>
    <x v="635"/>
    <x v="4"/>
    <s v="FEMALE"/>
    <x v="38"/>
    <x v="523"/>
    <n v="1"/>
    <x v="711"/>
    <n v="1.97"/>
    <x v="1"/>
    <x v="347"/>
    <x v="1"/>
    <x v="37"/>
    <x v="3"/>
    <s v="Toronto-Ontari"/>
    <x v="1"/>
    <n v="3.89"/>
    <n v="1.97"/>
  </r>
  <r>
    <s v="TXN-2024-000710"/>
    <s v="CUST-0261"/>
    <x v="636"/>
    <x v="0"/>
    <s v="FEMALE"/>
    <x v="13"/>
    <x v="524"/>
    <n v="2"/>
    <x v="712"/>
    <n v="17.760000000000002"/>
    <x v="1"/>
    <x v="257"/>
    <x v="1"/>
    <x v="13"/>
    <x v="0"/>
    <s v="Brampton Ontari"/>
    <x v="1"/>
    <n v="42.86"/>
    <n v="17.760000000000002"/>
  </r>
  <r>
    <s v="TXN-2024-000359"/>
    <s v="CUST-0231"/>
    <x v="637"/>
    <x v="3"/>
    <s v="F"/>
    <x v="54"/>
    <x v="525"/>
    <n v="2"/>
    <x v="713"/>
    <n v="22.53"/>
    <x v="0"/>
    <x v="472"/>
    <x v="1"/>
    <x v="52"/>
    <x v="0"/>
    <s v="Windsor / Ontario"/>
    <x v="1"/>
    <n v="49.91"/>
    <n v="22.53"/>
  </r>
  <r>
    <s v="TXN-2023-000259"/>
    <s v="CUST-0164"/>
    <x v="638"/>
    <x v="2"/>
    <s v="FEMALE"/>
    <x v="6"/>
    <x v="526"/>
    <n v="2"/>
    <x v="714"/>
    <n v="20.73"/>
    <x v="1"/>
    <x v="421"/>
    <x v="1"/>
    <x v="6"/>
    <x v="0"/>
    <s v="Qu3b3c - Laval"/>
    <x v="2"/>
    <n v="47.13"/>
    <n v="20.73"/>
  </r>
  <r>
    <s v="TXN-2024-000745"/>
    <s v="CUST-0212"/>
    <x v="127"/>
    <x v="2"/>
    <s v="male"/>
    <x v="4"/>
    <x v="527"/>
    <n v="1"/>
    <x v="715"/>
    <m/>
    <x v="1"/>
    <x v="122"/>
    <x v="2"/>
    <x v="4"/>
    <x v="0"/>
    <s v="London, Ontario"/>
    <x v="1"/>
    <n v="13.39"/>
    <m/>
  </r>
  <r>
    <s v="TXN-2024-000628"/>
    <s v="CUST-0195"/>
    <x v="639"/>
    <x v="3"/>
    <s v="male"/>
    <x v="20"/>
    <x v="63"/>
    <n v="1"/>
    <x v="716"/>
    <n v="10.02"/>
    <x v="1"/>
    <x v="473"/>
    <x v="2"/>
    <x v="20"/>
    <x v="4"/>
    <s v="Toronto (Ontario)"/>
    <x v="1"/>
    <n v="31.89"/>
    <n v="10.02"/>
  </r>
  <r>
    <s v="TXN-2023-000633"/>
    <s v="CUST-0091"/>
    <x v="640"/>
    <x v="1"/>
    <s v="male"/>
    <x v="16"/>
    <x v="528"/>
    <n v="2"/>
    <x v="717"/>
    <n v="4.03"/>
    <x v="0"/>
    <x v="474"/>
    <x v="2"/>
    <x v="16"/>
    <x v="4"/>
    <s v="New Brunswic - Saint John"/>
    <x v="8"/>
    <n v="9.0299999999999994"/>
    <n v="4.03"/>
  </r>
  <r>
    <s v="TXN-2024-000283"/>
    <s v="CUST-0128"/>
    <x v="101"/>
    <x v="4"/>
    <s v="FEMALE"/>
    <x v="40"/>
    <x v="424"/>
    <n v="3"/>
    <x v="718"/>
    <n v="11.14"/>
    <x v="1"/>
    <x v="99"/>
    <x v="1"/>
    <x v="39"/>
    <x v="3"/>
    <s v="Richmond  bc"/>
    <x v="4"/>
    <n v="23.45"/>
    <n v="11.14"/>
  </r>
  <r>
    <s v="TXN-2023-000377"/>
    <s v="CUST-0065"/>
    <x v="641"/>
    <x v="4"/>
    <s v="FEMALE"/>
    <x v="25"/>
    <x v="529"/>
    <n v="1"/>
    <x v="719"/>
    <n v="1.4"/>
    <x v="1"/>
    <x v="190"/>
    <x v="1"/>
    <x v="25"/>
    <x v="3"/>
    <s v="New Brunswick - Moncton"/>
    <x v="8"/>
    <n v="4.13"/>
    <n v="1.4"/>
  </r>
  <r>
    <s v="TXN-2023-000385"/>
    <s v="CUST-0048 "/>
    <x v="642"/>
    <x v="4"/>
    <s v="M"/>
    <x v="52"/>
    <x v="336"/>
    <n v="2"/>
    <x v="720"/>
    <n v="16.16"/>
    <x v="0"/>
    <x v="475"/>
    <x v="2"/>
    <x v="50"/>
    <x v="3"/>
    <s v="Quebec City-Quebec"/>
    <x v="2"/>
    <n v="33.07"/>
    <n v="16.16"/>
  </r>
  <r>
    <s v="TXN-2024-000225"/>
    <s v="CUST-0309"/>
    <x v="435"/>
    <x v="0"/>
    <s v="FEMALE"/>
    <x v="67"/>
    <x v="146"/>
    <n v="1"/>
    <x v="721"/>
    <n v="6.33"/>
    <x v="0"/>
    <x v="351"/>
    <x v="1"/>
    <x v="63"/>
    <x v="0"/>
    <s v="Hamilton  Ontario"/>
    <x v="1"/>
    <n v="15.17"/>
    <n v="6.33"/>
  </r>
  <r>
    <s v="TXN-2024-000307"/>
    <s v="CUST-0170"/>
    <x v="228"/>
    <x v="3"/>
    <s v="male"/>
    <x v="17"/>
    <x v="66"/>
    <n v="2"/>
    <x v="238"/>
    <n v="26.48"/>
    <x v="1"/>
    <x v="118"/>
    <x v="2"/>
    <x v="17"/>
    <x v="4"/>
    <s v="Hamilton / ON"/>
    <x v="1"/>
    <n v="63.93"/>
    <n v="26.48"/>
  </r>
  <r>
    <s v="TXN-2024-000815"/>
    <s v="CUST-0032"/>
    <x v="205"/>
    <x v="4"/>
    <s v="male"/>
    <x v="49"/>
    <x v="530"/>
    <n v="2"/>
    <x v="102"/>
    <n v="6.21"/>
    <x v="0"/>
    <x v="148"/>
    <x v="2"/>
    <x v="47"/>
    <x v="0"/>
    <s v="Montreal (QC)"/>
    <x v="2"/>
    <n v="25.82"/>
    <n v="6.21"/>
  </r>
  <r>
    <s v="TXN-2023-000473"/>
    <s v="CUST-0138"/>
    <x v="128"/>
    <x v="0"/>
    <s v="male"/>
    <x v="17"/>
    <x v="531"/>
    <n v="1"/>
    <x v="131"/>
    <s v="CAD 6.68"/>
    <x v="0"/>
    <x v="123"/>
    <x v="2"/>
    <x v="17"/>
    <x v="4"/>
    <s v="Halifax (Nova Scoti)"/>
    <x v="6"/>
    <n v="14.16"/>
    <n v="6.68"/>
  </r>
  <r>
    <s v="TXN-2023-000348"/>
    <s v="CUST-0072"/>
    <x v="643"/>
    <x v="0"/>
    <s v="FEMALE"/>
    <x v="43"/>
    <x v="532"/>
    <n v="2"/>
    <x v="722"/>
    <n v="12.19"/>
    <x v="0"/>
    <x v="437"/>
    <x v="1"/>
    <x v="42"/>
    <x v="4"/>
    <s v="Sherbrooke-Quebec"/>
    <x v="2"/>
    <n v="24.07"/>
    <n v="12.19"/>
  </r>
  <r>
    <s v="TXN-2024-000506"/>
    <s v="CUST-0109"/>
    <x v="644"/>
    <x v="3"/>
    <s v="FEMALE"/>
    <x v="40"/>
    <x v="476"/>
    <n v="1"/>
    <x v="26"/>
    <n v="16.91"/>
    <x v="1"/>
    <x v="56"/>
    <x v="1"/>
    <x v="39"/>
    <x v="3"/>
    <s v="ON - Brampton"/>
    <x v="1"/>
    <n v="31.02"/>
    <n v="16.91"/>
  </r>
  <r>
    <s v="TXN-2023-000640"/>
    <s v="CUST-0163"/>
    <x v="556"/>
    <x v="4"/>
    <s v="male"/>
    <x v="47"/>
    <x v="519"/>
    <n v="2"/>
    <x v="723"/>
    <s v="5,67"/>
    <x v="0"/>
    <x v="218"/>
    <x v="2"/>
    <x v="46"/>
    <x v="2"/>
    <s v="Brampton,Ontario"/>
    <x v="1"/>
    <n v="12.95"/>
    <n v="5.67"/>
  </r>
  <r>
    <s v="TXN-2023-000858"/>
    <s v="CUST-0068"/>
    <x v="645"/>
    <x v="3"/>
    <s v="FEMALE"/>
    <x v="27"/>
    <x v="226"/>
    <n v="2"/>
    <x v="47"/>
    <n v="14.66"/>
    <x v="0"/>
    <x v="316"/>
    <x v="1"/>
    <x v="27"/>
    <x v="0"/>
    <s v="Lethbridge Alberta"/>
    <x v="0"/>
    <m/>
    <n v="14.66"/>
  </r>
  <r>
    <s v="TXN-2023-000929"/>
    <s v="CUST-0162"/>
    <x v="236"/>
    <x v="0"/>
    <s v="FEMALE"/>
    <x v="35"/>
    <x v="533"/>
    <n v="1"/>
    <x v="724"/>
    <n v="16.079999999999998"/>
    <x v="0"/>
    <x v="209"/>
    <x v="1"/>
    <x v="10"/>
    <x v="4"/>
    <s v="Richmond, BC"/>
    <x v="4"/>
    <n v="31.94"/>
    <n v="16.079999999999998"/>
  </r>
  <r>
    <s v="TXN-2023-000906"/>
    <s v="CUST-0073 "/>
    <x v="646"/>
    <x v="3"/>
    <s v="N/A"/>
    <x v="15"/>
    <x v="534"/>
    <n v="2"/>
    <x v="725"/>
    <n v="22.96"/>
    <x v="1"/>
    <x v="476"/>
    <x v="0"/>
    <x v="15"/>
    <x v="3"/>
    <s v="Brampton-on"/>
    <x v="1"/>
    <n v="43.24"/>
    <n v="22.96"/>
  </r>
  <r>
    <s v="TXN-2024-000620"/>
    <s v="CUST-0205"/>
    <x v="647"/>
    <x v="1"/>
    <s v="male"/>
    <x v="23"/>
    <x v="384"/>
    <n v="2"/>
    <x v="726"/>
    <n v="12.07"/>
    <x v="0"/>
    <x v="477"/>
    <x v="2"/>
    <x v="23"/>
    <x v="0"/>
    <s v="ONTARIO - Hamilton"/>
    <x v="1"/>
    <n v="22.98"/>
    <n v="12.07"/>
  </r>
  <r>
    <s v="TXN-2024-000856"/>
    <s v="Cust-0021"/>
    <x v="648"/>
    <x v="1"/>
    <s v="F"/>
    <x v="7"/>
    <x v="443"/>
    <n v="2"/>
    <x v="727"/>
    <n v="9.81"/>
    <x v="0"/>
    <x v="478"/>
    <x v="1"/>
    <x v="7"/>
    <x v="0"/>
    <s v="Kitchener,ONTARIO"/>
    <x v="1"/>
    <n v="23.15"/>
    <n v="9.81"/>
  </r>
  <r>
    <s v="TXN-2023-000804"/>
    <s v="CUST-0296"/>
    <x v="649"/>
    <x v="3"/>
    <s v="male"/>
    <x v="58"/>
    <x v="535"/>
    <n v="1"/>
    <x v="728"/>
    <n v="9.43"/>
    <x v="0"/>
    <x v="479"/>
    <x v="2"/>
    <x v="55"/>
    <x v="0"/>
    <s v="Edmonton Albert"/>
    <x v="0"/>
    <n v="16.440000000000001"/>
    <n v="9.43"/>
  </r>
  <r>
    <s v="TXN-2023-000646"/>
    <s v="CUST-0244"/>
    <x v="650"/>
    <x v="4"/>
    <s v="male"/>
    <x v="49"/>
    <x v="181"/>
    <n v="1"/>
    <x v="729"/>
    <n v="1.48"/>
    <x v="0"/>
    <x v="414"/>
    <x v="2"/>
    <x v="47"/>
    <x v="0"/>
    <s v="London  Ontario"/>
    <x v="1"/>
    <n v="4.45"/>
    <n v="1.48"/>
  </r>
  <r>
    <s v="TXN-2024-000847"/>
    <s v="CUST-0051"/>
    <x v="651"/>
    <x v="3"/>
    <s v="U"/>
    <x v="36"/>
    <x v="536"/>
    <n v="1"/>
    <x v="730"/>
    <n v="11.08"/>
    <x v="1"/>
    <x v="480"/>
    <x v="0"/>
    <x v="35"/>
    <x v="3"/>
    <s v="Red Deer / Albert"/>
    <x v="0"/>
    <n v="34.36"/>
    <n v="11.08"/>
  </r>
  <r>
    <s v="TXN-2024-000557"/>
    <s v="CUST-0165"/>
    <x v="39"/>
    <x v="3"/>
    <m/>
    <x v="29"/>
    <x v="537"/>
    <n v="2"/>
    <x v="731"/>
    <n v="51.83"/>
    <x v="1"/>
    <x v="39"/>
    <x v="0"/>
    <x v="29"/>
    <x v="2"/>
    <s v="Laval, qc"/>
    <x v="2"/>
    <n v="87.29"/>
    <n v="51.83"/>
  </r>
  <r>
    <s v="TXN-2024-000865"/>
    <s v="CUST-0123"/>
    <x v="555"/>
    <x v="4"/>
    <s v="U"/>
    <x v="17"/>
    <x v="61"/>
    <n v="1"/>
    <x v="602"/>
    <n v="3.85"/>
    <x v="1"/>
    <x v="430"/>
    <x v="0"/>
    <x v="17"/>
    <x v="4"/>
    <s v="Saskatoon / Saskatchewan"/>
    <x v="3"/>
    <n v="11.69"/>
    <n v="3.85"/>
  </r>
  <r>
    <s v="TXN-2023-000578"/>
    <s v="CUST-0134"/>
    <x v="603"/>
    <x v="2"/>
    <s v="male"/>
    <x v="27"/>
    <x v="538"/>
    <n v="2"/>
    <x v="732"/>
    <n v="16.64"/>
    <x v="0"/>
    <x v="456"/>
    <x v="2"/>
    <x v="27"/>
    <x v="0"/>
    <s v="St. John's,Newfoundland and Labrador"/>
    <x v="7"/>
    <n v="28.83"/>
    <n v="16.64"/>
  </r>
  <r>
    <s v="TXN-2024-000796"/>
    <s v="CUST-0263"/>
    <x v="403"/>
    <x v="0"/>
    <s v="male"/>
    <x v="67"/>
    <x v="539"/>
    <n v="3"/>
    <x v="733"/>
    <s v=" 43.40 CAD "/>
    <x v="0"/>
    <x v="332"/>
    <x v="2"/>
    <x v="63"/>
    <x v="0"/>
    <s v="BRITISH COLUMBIA - Richmond"/>
    <x v="4"/>
    <n v="83.23"/>
    <n v="43.4"/>
  </r>
  <r>
    <s v="TXN-2023-000086"/>
    <s v="CUST-0186"/>
    <x v="652"/>
    <x v="0"/>
    <s v="male"/>
    <x v="5"/>
    <x v="75"/>
    <n v="5"/>
    <x v="734"/>
    <n v="76.44"/>
    <x v="0"/>
    <x v="481"/>
    <x v="2"/>
    <x v="5"/>
    <x v="0"/>
    <s v="Montreal-QUEBEC"/>
    <x v="2"/>
    <n v="174.89"/>
    <n v="76.44"/>
  </r>
  <r>
    <s v="TXN-2023-000243"/>
    <s v="CUST-0296"/>
    <x v="653"/>
    <x v="1"/>
    <s v="FEMALE"/>
    <x v="60"/>
    <x v="502"/>
    <n v="2"/>
    <x v="735"/>
    <n v="5.63"/>
    <x v="0"/>
    <x v="482"/>
    <x v="1"/>
    <x v="57"/>
    <x v="5"/>
    <s v="Montreal,Quebe"/>
    <x v="2"/>
    <n v="15.19"/>
    <n v="5.63"/>
  </r>
  <r>
    <s v="TXN-2024-000699"/>
    <s v="CUST-0102"/>
    <x v="654"/>
    <x v="2"/>
    <s v="N/A"/>
    <x v="58"/>
    <x v="305"/>
    <n v="1"/>
    <x v="736"/>
    <n v="12.41"/>
    <x v="0"/>
    <x v="183"/>
    <x v="0"/>
    <x v="55"/>
    <x v="0"/>
    <s v="Gatineau / Quebec"/>
    <x v="2"/>
    <n v="33.020000000000003"/>
    <n v="12.41"/>
  </r>
  <r>
    <s v="TXN-2023-000160"/>
    <s v="CUST-0056"/>
    <x v="105"/>
    <x v="0"/>
    <s v="male"/>
    <x v="7"/>
    <x v="540"/>
    <n v="5"/>
    <x v="737"/>
    <s v=" 30.60 CAD "/>
    <x v="0"/>
    <x v="103"/>
    <x v="2"/>
    <x v="7"/>
    <x v="0"/>
    <s v="Sydney NS"/>
    <x v="6"/>
    <n v="64.709999999999994"/>
    <n v="30.6"/>
  </r>
  <r>
    <s v="TXN-2024-000525"/>
    <s v="CUST-0259"/>
    <x v="655"/>
    <x v="3"/>
    <s v="male"/>
    <x v="8"/>
    <x v="285"/>
    <n v="1"/>
    <x v="202"/>
    <n v="7.21"/>
    <x v="0"/>
    <x v="461"/>
    <x v="2"/>
    <x v="8"/>
    <x v="3"/>
    <s v="Montreal  QC"/>
    <x v="2"/>
    <n v="16.64"/>
    <n v="7.21"/>
  </r>
  <r>
    <s v="TXN-2023-000036"/>
    <s v="CUST-0258"/>
    <x v="233"/>
    <x v="0"/>
    <s v="M"/>
    <x v="19"/>
    <x v="541"/>
    <n v="1"/>
    <x v="738"/>
    <n v="3.28"/>
    <x v="1"/>
    <x v="207"/>
    <x v="2"/>
    <x v="19"/>
    <x v="0"/>
    <s v="Victoria-British Columbi"/>
    <x v="4"/>
    <n v="7.75"/>
    <n v="3.28"/>
  </r>
  <r>
    <s v="TXN-2024-000541"/>
    <s v="CUST-0246"/>
    <x v="139"/>
    <x v="2"/>
    <s v="FEMALE"/>
    <x v="8"/>
    <x v="461"/>
    <n v="1"/>
    <x v="604"/>
    <s v="CAD 7.67"/>
    <x v="0"/>
    <x v="132"/>
    <x v="1"/>
    <x v="8"/>
    <x v="3"/>
    <s v="London,Ontari"/>
    <x v="1"/>
    <n v="16.54"/>
    <n v="7.67"/>
  </r>
  <r>
    <s v="Txn-2023-000171"/>
    <s v="CUST-0174 "/>
    <x v="428"/>
    <x v="4"/>
    <s v="FEMALE"/>
    <x v="8"/>
    <x v="542"/>
    <n v="1"/>
    <x v="739"/>
    <s v="6,80"/>
    <x v="0"/>
    <x v="348"/>
    <x v="1"/>
    <x v="8"/>
    <x v="3"/>
    <s v="Red Deer-Albert"/>
    <x v="0"/>
    <n v="15.25"/>
    <n v="6.8"/>
  </r>
  <r>
    <s v="TXN-2024-000655"/>
    <s v="Cust-0234"/>
    <x v="656"/>
    <x v="1"/>
    <s v="male"/>
    <x v="12"/>
    <x v="543"/>
    <n v="1"/>
    <x v="740"/>
    <n v="2.2999999999999998"/>
    <x v="0"/>
    <x v="259"/>
    <x v="2"/>
    <x v="12"/>
    <x v="0"/>
    <s v="ab - Red Deer"/>
    <x v="0"/>
    <n v="5.49"/>
    <n v="2.2999999999999998"/>
  </r>
  <r>
    <s v="TXN-2023-000891"/>
    <s v="CUST-0285"/>
    <x v="657"/>
    <x v="3"/>
    <s v="FEMALE"/>
    <x v="19"/>
    <x v="172"/>
    <n v="1"/>
    <x v="741"/>
    <n v="6.79"/>
    <x v="0"/>
    <x v="425"/>
    <x v="1"/>
    <x v="19"/>
    <x v="0"/>
    <s v="Richmond-bc"/>
    <x v="4"/>
    <n v="23.22"/>
    <n v="6.79"/>
  </r>
  <r>
    <s v="TXN-2023-000858"/>
    <s v="CUST-0068"/>
    <x v="645"/>
    <x v="3"/>
    <s v="FEMALE"/>
    <x v="27"/>
    <x v="226"/>
    <n v="2"/>
    <x v="47"/>
    <n v="14.66"/>
    <x v="0"/>
    <x v="316"/>
    <x v="1"/>
    <x v="27"/>
    <x v="0"/>
    <s v="Lethbridge Alberta"/>
    <x v="0"/>
    <m/>
    <n v="14.66"/>
  </r>
  <r>
    <s v="TXN-2023-000848"/>
    <s v="CUST-0038"/>
    <x v="658"/>
    <x v="3"/>
    <s v="FEMALE"/>
    <x v="29"/>
    <x v="544"/>
    <n v="4"/>
    <x v="742"/>
    <n v="78.11"/>
    <x v="0"/>
    <x v="281"/>
    <x v="1"/>
    <x v="29"/>
    <x v="2"/>
    <s v="Kitchener,ON"/>
    <x v="1"/>
    <n v="144.32"/>
    <n v="78.11"/>
  </r>
  <r>
    <s v="TXN-2023-000945"/>
    <s v="Cust-0320"/>
    <x v="659"/>
    <x v="4"/>
    <s v="male"/>
    <x v="39"/>
    <x v="81"/>
    <n v="2"/>
    <x v="743"/>
    <n v="7.12"/>
    <x v="0"/>
    <x v="325"/>
    <x v="2"/>
    <x v="38"/>
    <x v="2"/>
    <s v="Kitchener-ON"/>
    <x v="1"/>
    <n v="12.75"/>
    <n v="7.12"/>
  </r>
  <r>
    <s v="TXN-2024-000734"/>
    <s v="CUST-0231"/>
    <x v="0"/>
    <x v="1"/>
    <s v="FEMALE"/>
    <x v="30"/>
    <x v="545"/>
    <n v="1"/>
    <x v="744"/>
    <s v="CAD 8.72"/>
    <x v="0"/>
    <x v="0"/>
    <x v="1"/>
    <x v="30"/>
    <x v="2"/>
    <s v="Winnipeg,MANITOBA"/>
    <x v="5"/>
    <n v="15.31"/>
    <n v="8.7200000000000006"/>
  </r>
  <r>
    <s v="TXN-2024-000096"/>
    <s v="CUST-0099"/>
    <x v="660"/>
    <x v="3"/>
    <s v="U"/>
    <x v="49"/>
    <x v="4"/>
    <n v="1"/>
    <x v="745"/>
    <s v=" 12.17 CAD "/>
    <x v="1"/>
    <x v="22"/>
    <x v="0"/>
    <x v="47"/>
    <x v="0"/>
    <s v="Vaughan (Ontario)"/>
    <x v="1"/>
    <n v="22.08"/>
    <n v="12.17"/>
  </r>
  <r>
    <s v="TXN-2024-000564"/>
    <s v="CUST-0145"/>
    <x v="51"/>
    <x v="1"/>
    <s v="U"/>
    <x v="8"/>
    <x v="546"/>
    <n v="4"/>
    <x v="746"/>
    <n v="23.82"/>
    <x v="0"/>
    <x v="51"/>
    <x v="0"/>
    <x v="8"/>
    <x v="3"/>
    <s v="Longueuil, Quebe"/>
    <x v="2"/>
    <n v="65.58"/>
    <n v="23.82"/>
  </r>
  <r>
    <s v="TXN-2024-000241"/>
    <s v="CUST-0315"/>
    <x v="661"/>
    <x v="4"/>
    <s v="male"/>
    <x v="43"/>
    <x v="122"/>
    <n v="4"/>
    <x v="747"/>
    <n v="4.84"/>
    <x v="1"/>
    <x v="194"/>
    <x v="2"/>
    <x v="42"/>
    <x v="4"/>
    <s v="Mississauga-Ontario"/>
    <x v="1"/>
    <n v="11.97"/>
    <n v="4.84"/>
  </r>
  <r>
    <s v="Txn-2024-000743"/>
    <s v="CUST-0154"/>
    <x v="662"/>
    <x v="1"/>
    <s v="FEMALE"/>
    <x v="58"/>
    <x v="547"/>
    <n v="2"/>
    <x v="748"/>
    <n v="24.58"/>
    <x v="0"/>
    <x v="483"/>
    <x v="1"/>
    <x v="55"/>
    <x v="0"/>
    <s v="Halifax NOVA SCOTIA"/>
    <x v="6"/>
    <n v="48.44"/>
    <n v="24.58"/>
  </r>
  <r>
    <s v="TXN-2024-000575"/>
    <s v="CUST-0229"/>
    <x v="663"/>
    <x v="0"/>
    <s v="FEMALE"/>
    <x v="22"/>
    <x v="548"/>
    <n v="3"/>
    <x v="749"/>
    <n v="41.22"/>
    <x v="0"/>
    <x v="484"/>
    <x v="1"/>
    <x v="22"/>
    <x v="3"/>
    <s v="Brandon Manitoba"/>
    <x v="5"/>
    <n v="76.150000000000006"/>
    <n v="41.22"/>
  </r>
  <r>
    <s v="TXN-2023-000691"/>
    <s v="CUST-0293"/>
    <x v="664"/>
    <x v="1"/>
    <s v="FEMALE"/>
    <x v="59"/>
    <x v="17"/>
    <n v="1"/>
    <x v="750"/>
    <s v="3,54"/>
    <x v="0"/>
    <x v="239"/>
    <x v="1"/>
    <x v="56"/>
    <x v="3"/>
    <s v="Laval Quebec"/>
    <x v="2"/>
    <n v="18.27"/>
    <n v="3.54"/>
  </r>
  <r>
    <s v="TXN-2024-000461"/>
    <s v="CUST-0136"/>
    <x v="665"/>
    <x v="0"/>
    <s v="male"/>
    <x v="58"/>
    <x v="549"/>
    <n v="6"/>
    <x v="751"/>
    <s v=" 51.20 CAD "/>
    <x v="1"/>
    <x v="485"/>
    <x v="2"/>
    <x v="55"/>
    <x v="0"/>
    <s v="ab - Lethbridge"/>
    <x v="0"/>
    <n v="131.61000000000001"/>
    <n v="51.2"/>
  </r>
  <r>
    <s v="TXN-2024-000554"/>
    <s v="CUST-0317"/>
    <x v="666"/>
    <x v="3"/>
    <m/>
    <x v="50"/>
    <x v="143"/>
    <n v="2"/>
    <x v="752"/>
    <n v="23.13"/>
    <x v="0"/>
    <x v="486"/>
    <x v="0"/>
    <x v="48"/>
    <x v="2"/>
    <s v="QC - Laval"/>
    <x v="2"/>
    <n v="54.91"/>
    <n v="23.13"/>
  </r>
  <r>
    <s v="TXN-2024-000889"/>
    <s v="CUST-0307"/>
    <x v="667"/>
    <x v="2"/>
    <s v="FEMALE"/>
    <x v="23"/>
    <x v="405"/>
    <n v="1"/>
    <x v="753"/>
    <s v="9,58"/>
    <x v="1"/>
    <x v="487"/>
    <x v="1"/>
    <x v="23"/>
    <x v="0"/>
    <s v="Mississauga  Ontario"/>
    <x v="1"/>
    <n v="36.03"/>
    <n v="9.58"/>
  </r>
  <r>
    <s v=" TXN-2023-000207"/>
    <s v="CUST-0231"/>
    <x v="668"/>
    <x v="3"/>
    <s v="male"/>
    <x v="34"/>
    <x v="550"/>
    <n v="4"/>
    <x v="754"/>
    <n v="70.260000000000005"/>
    <x v="0"/>
    <x v="488"/>
    <x v="2"/>
    <x v="34"/>
    <x v="0"/>
    <s v="Ottawa,ON"/>
    <x v="1"/>
    <n v="160.35"/>
    <n v="70.260000000000005"/>
  </r>
  <r>
    <s v="TXN-2023-000393"/>
    <s v="CUST-0142"/>
    <x v="669"/>
    <x v="3"/>
    <s v="Prefer not to say"/>
    <x v="43"/>
    <x v="551"/>
    <n v="2"/>
    <x v="755"/>
    <n v="23.51"/>
    <x v="1"/>
    <x v="281"/>
    <x v="3"/>
    <x v="42"/>
    <x v="4"/>
    <s v="Saskatoon, Saskatch3wa"/>
    <x v="3"/>
    <n v="43.91"/>
    <n v="23.51"/>
  </r>
  <r>
    <s v="TXN-2024-000795"/>
    <s v="CUST-0040"/>
    <x v="670"/>
    <x v="0"/>
    <s v="F"/>
    <x v="13"/>
    <x v="552"/>
    <n v="5"/>
    <x v="756"/>
    <n v="13.8"/>
    <x v="0"/>
    <x v="489"/>
    <x v="1"/>
    <x v="13"/>
    <x v="0"/>
    <s v="Edmonton, Alberta"/>
    <x v="0"/>
    <n v="48.24"/>
    <n v="13.8"/>
  </r>
  <r>
    <s v="TXN-2024-000398"/>
    <s v="CUST-0260 "/>
    <x v="671"/>
    <x v="0"/>
    <s v="male"/>
    <x v="19"/>
    <x v="59"/>
    <n v="2"/>
    <x v="757"/>
    <n v="8.6999999999999993"/>
    <x v="0"/>
    <x v="490"/>
    <x v="2"/>
    <x v="19"/>
    <x v="0"/>
    <s v="Toronto,ONTARIO"/>
    <x v="1"/>
    <n v="23.26"/>
    <n v="8.6999999999999993"/>
  </r>
  <r>
    <s v="TXN-2024-000767"/>
    <s v="CUST-0264"/>
    <x v="497"/>
    <x v="2"/>
    <s v="FEMALE"/>
    <x v="13"/>
    <x v="423"/>
    <n v="2"/>
    <x v="535"/>
    <n v="11.05"/>
    <x v="1"/>
    <x v="193"/>
    <x v="1"/>
    <x v="13"/>
    <x v="0"/>
    <s v="BritishC0lumbia - Victoria"/>
    <x v="4"/>
    <n v="36.979999999999997"/>
    <n v="11.05"/>
  </r>
  <r>
    <s v="TXN-2024-000849"/>
    <s v="CUST-0313"/>
    <x v="39"/>
    <x v="3"/>
    <s v="FEMALE"/>
    <x v="32"/>
    <x v="553"/>
    <n v="3"/>
    <x v="758"/>
    <n v="34.799999999999997"/>
    <x v="0"/>
    <x v="39"/>
    <x v="1"/>
    <x v="32"/>
    <x v="2"/>
    <s v="QUEBEC - Quebec City"/>
    <x v="2"/>
    <n v="86.86"/>
    <n v="34.799999999999997"/>
  </r>
  <r>
    <s v="TXN-2023-000218"/>
    <s v="CUST-0246"/>
    <x v="389"/>
    <x v="0"/>
    <s v="M"/>
    <x v="3"/>
    <x v="405"/>
    <n v="1"/>
    <x v="759"/>
    <n v="15.66"/>
    <x v="1"/>
    <x v="322"/>
    <x v="2"/>
    <x v="3"/>
    <x v="3"/>
    <s v="Mississauga  Ontario"/>
    <x v="1"/>
    <n v="29.25"/>
    <n v="15.66"/>
  </r>
  <r>
    <s v="TXN-2023-000005"/>
    <s v="CUST-0080"/>
    <x v="672"/>
    <x v="4"/>
    <m/>
    <x v="46"/>
    <x v="65"/>
    <n v="1"/>
    <x v="760"/>
    <n v="2.72"/>
    <x v="1"/>
    <x v="491"/>
    <x v="0"/>
    <x v="45"/>
    <x v="3"/>
    <s v="London,ON"/>
    <x v="1"/>
    <n v="8.26"/>
    <n v="2.72"/>
  </r>
  <r>
    <s v="TXN-2023-000769"/>
    <s v="CUST-0015"/>
    <x v="673"/>
    <x v="3"/>
    <s v="F"/>
    <x v="4"/>
    <x v="277"/>
    <n v="1"/>
    <x v="761"/>
    <s v=" 13.08 CAD "/>
    <x v="0"/>
    <x v="492"/>
    <x v="1"/>
    <x v="4"/>
    <x v="0"/>
    <s v="Calgary,AB"/>
    <x v="0"/>
    <n v="32.380000000000003"/>
    <n v="13.08"/>
  </r>
  <r>
    <s v="TXN-2023-000643"/>
    <s v="CUST-0243"/>
    <x v="674"/>
    <x v="1"/>
    <s v="FEMALE"/>
    <x v="51"/>
    <x v="279"/>
    <n v="-5"/>
    <x v="762"/>
    <s v="-10,08"/>
    <x v="1"/>
    <x v="493"/>
    <x v="1"/>
    <x v="49"/>
    <x v="2"/>
    <s v="Calgary Alberta"/>
    <x v="0"/>
    <n v="-46.32"/>
    <n v="-10.08"/>
  </r>
  <r>
    <s v="TXN-2023-000930"/>
    <s v="CUST-0156"/>
    <x v="675"/>
    <x v="2"/>
    <s v="FEMALE"/>
    <x v="3"/>
    <x v="554"/>
    <n v="1"/>
    <x v="763"/>
    <s v="â€”"/>
    <x v="1"/>
    <x v="142"/>
    <x v="1"/>
    <x v="3"/>
    <x v="3"/>
    <s v="Quebec City (qc)"/>
    <x v="2"/>
    <n v="33.03"/>
    <m/>
  </r>
  <r>
    <s v="TXN-2024-000613"/>
    <s v="CUST-0036"/>
    <x v="676"/>
    <x v="1"/>
    <s v="male"/>
    <x v="41"/>
    <x v="37"/>
    <n v="1"/>
    <x v="764"/>
    <n v="2.93"/>
    <x v="1"/>
    <x v="24"/>
    <x v="2"/>
    <x v="40"/>
    <x v="5"/>
    <s v="Quebec - Longueuil"/>
    <x v="2"/>
    <n v="8.4700000000000006"/>
    <n v="2.93"/>
  </r>
  <r>
    <s v=" TXN-2023-000739"/>
    <s v="CUST-0041"/>
    <x v="677"/>
    <x v="0"/>
    <s v="male"/>
    <x v="15"/>
    <x v="363"/>
    <n v="4"/>
    <x v="765"/>
    <s v="CAD 12.73"/>
    <x v="1"/>
    <x v="494"/>
    <x v="2"/>
    <x v="15"/>
    <x v="3"/>
    <s v="Lethbridge / Alberta"/>
    <x v="0"/>
    <n v="43.65"/>
    <n v="12.73"/>
  </r>
  <r>
    <s v="TXN-2023-000547"/>
    <s v="CUST-0227"/>
    <x v="40"/>
    <x v="2"/>
    <s v="male"/>
    <x v="32"/>
    <x v="555"/>
    <n v="1"/>
    <x v="766"/>
    <n v="6.66"/>
    <x v="1"/>
    <x v="40"/>
    <x v="2"/>
    <x v="32"/>
    <x v="2"/>
    <s v="Quebec City / Quebe"/>
    <x v="2"/>
    <n v="18.84"/>
    <n v="6.66"/>
  </r>
  <r>
    <s v="TXN-2023-000726"/>
    <s v="CUST-0225"/>
    <x v="678"/>
    <x v="3"/>
    <s v="FEMALE"/>
    <x v="48"/>
    <x v="550"/>
    <n v="1"/>
    <x v="767"/>
    <n v="28.25"/>
    <x v="0"/>
    <x v="370"/>
    <x v="1"/>
    <x v="1"/>
    <x v="1"/>
    <s v="Ottawa,on"/>
    <x v="1"/>
    <n v="62.2"/>
    <n v="28.25"/>
  </r>
  <r>
    <s v="TXN-2023-000684"/>
    <s v="CUST-0093"/>
    <x v="679"/>
    <x v="3"/>
    <s v="male"/>
    <x v="67"/>
    <x v="399"/>
    <n v="2"/>
    <x v="768"/>
    <s v=" 13.55 CAD "/>
    <x v="0"/>
    <x v="495"/>
    <x v="2"/>
    <x v="63"/>
    <x v="0"/>
    <s v="Calgary-Alberta"/>
    <x v="0"/>
    <n v="33.479999999999997"/>
    <n v="13.55"/>
  </r>
  <r>
    <s v="TXN-2024-000099"/>
    <s v="CUST-0053"/>
    <x v="680"/>
    <x v="0"/>
    <s v="FEMALE"/>
    <x v="29"/>
    <x v="405"/>
    <n v="1"/>
    <x v="769"/>
    <n v="2.81"/>
    <x v="1"/>
    <x v="496"/>
    <x v="1"/>
    <x v="29"/>
    <x v="2"/>
    <s v="Mississauga  ONTARIO"/>
    <x v="1"/>
    <n v="8.85"/>
    <n v="2.81"/>
  </r>
  <r>
    <s v="TXN-2024-000805"/>
    <s v="CUST-0238"/>
    <x v="681"/>
    <x v="3"/>
    <s v="male"/>
    <x v="17"/>
    <x v="329"/>
    <n v="1"/>
    <x v="770"/>
    <n v="23.33"/>
    <x v="0"/>
    <x v="196"/>
    <x v="2"/>
    <x v="17"/>
    <x v="4"/>
    <s v="Calgary / ALBERTA"/>
    <x v="0"/>
    <n v="47.82"/>
    <n v="23.33"/>
  </r>
  <r>
    <s v="TXN-2023-000728"/>
    <s v="CUST-0232"/>
    <x v="675"/>
    <x v="1"/>
    <s v="male"/>
    <x v="58"/>
    <x v="556"/>
    <n v="1"/>
    <x v="385"/>
    <n v="4.75"/>
    <x v="0"/>
    <x v="142"/>
    <x v="2"/>
    <x v="55"/>
    <x v="0"/>
    <s v="Fredericton,NewBrunswick"/>
    <x v="8"/>
    <n v="12.03"/>
    <n v="4.75"/>
  </r>
  <r>
    <s v="TXN-2024-000574"/>
    <s v="CUST-0114"/>
    <x v="682"/>
    <x v="3"/>
    <s v="male"/>
    <x v="3"/>
    <x v="143"/>
    <n v="3"/>
    <x v="771"/>
    <n v="30.31"/>
    <x v="0"/>
    <x v="271"/>
    <x v="2"/>
    <x v="3"/>
    <x v="3"/>
    <s v="qc - Laval"/>
    <x v="2"/>
    <n v="105.2"/>
    <n v="30.31"/>
  </r>
  <r>
    <s v="TXN-2023-000407"/>
    <s v="CUST-0060"/>
    <x v="109"/>
    <x v="2"/>
    <s v="F"/>
    <x v="54"/>
    <x v="106"/>
    <n v="2"/>
    <x v="110"/>
    <n v="13.7"/>
    <x v="1"/>
    <x v="106"/>
    <x v="1"/>
    <x v="52"/>
    <x v="0"/>
    <s v="Ottawa, ON"/>
    <x v="1"/>
    <n v="31.64"/>
    <n v="13.7"/>
  </r>
  <r>
    <s v="TXN-2023-000503"/>
    <s v="CUST-0053"/>
    <x v="409"/>
    <x v="3"/>
    <s v="FEMALE"/>
    <x v="19"/>
    <x v="557"/>
    <n v="1"/>
    <x v="772"/>
    <n v="6.13"/>
    <x v="0"/>
    <x v="211"/>
    <x v="1"/>
    <x v="19"/>
    <x v="0"/>
    <s v="Burnaby bc"/>
    <x v="4"/>
    <n v="27.27"/>
    <n v="6.13"/>
  </r>
  <r>
    <s v="TXN-2024-000048"/>
    <s v="CUST-0187"/>
    <x v="683"/>
    <x v="4"/>
    <s v="male"/>
    <x v="15"/>
    <x v="558"/>
    <n v="1"/>
    <x v="43"/>
    <n v="3.07"/>
    <x v="1"/>
    <x v="287"/>
    <x v="2"/>
    <x v="15"/>
    <x v="3"/>
    <s v="Vancouver / British Columbia"/>
    <x v="4"/>
    <m/>
    <n v="3.07"/>
  </r>
  <r>
    <s v="TXN-2023-000033"/>
    <s v="CUST-0206"/>
    <x v="552"/>
    <x v="3"/>
    <s v="male"/>
    <x v="64"/>
    <x v="23"/>
    <n v="1"/>
    <x v="773"/>
    <n v="2.04"/>
    <x v="1"/>
    <x v="329"/>
    <x v="2"/>
    <x v="61"/>
    <x v="0"/>
    <s v="Markham,ON"/>
    <x v="1"/>
    <n v="8.36"/>
    <n v="2.04"/>
  </r>
  <r>
    <s v="TXN-2023-000780"/>
    <s v="CUST-0158"/>
    <x v="231"/>
    <x v="3"/>
    <s v="M"/>
    <x v="18"/>
    <x v="559"/>
    <n v="1"/>
    <x v="774"/>
    <n v="14.79"/>
    <x v="0"/>
    <x v="205"/>
    <x v="2"/>
    <x v="18"/>
    <x v="0"/>
    <s v="Markham,Ontario"/>
    <x v="1"/>
    <n v="35.869999999999997"/>
    <n v="14.79"/>
  </r>
  <r>
    <s v="TXN-2023-000840"/>
    <s v="CUST-0215"/>
    <x v="684"/>
    <x v="4"/>
    <s v="male"/>
    <x v="36"/>
    <x v="179"/>
    <n v="1"/>
    <x v="775"/>
    <n v="7.54"/>
    <x v="1"/>
    <x v="497"/>
    <x v="2"/>
    <x v="35"/>
    <x v="3"/>
    <s v="Hamilton on"/>
    <x v="1"/>
    <n v="18.98"/>
    <n v="7.54"/>
  </r>
  <r>
    <s v="TXN-2024-000201"/>
    <s v="CUST-0079"/>
    <x v="685"/>
    <x v="0"/>
    <s v="FEMALE"/>
    <x v="57"/>
    <x v="560"/>
    <n v="2"/>
    <x v="776"/>
    <n v="15.56"/>
    <x v="1"/>
    <x v="498"/>
    <x v="1"/>
    <x v="1"/>
    <x v="1"/>
    <s v="Longueuil,QC"/>
    <x v="2"/>
    <n v="52.17"/>
    <n v="15.56"/>
  </r>
  <r>
    <s v="TXN-2023-000135"/>
    <s v="CUST-0005"/>
    <x v="686"/>
    <x v="4"/>
    <s v="FEMALE"/>
    <x v="5"/>
    <x v="424"/>
    <n v="2"/>
    <x v="777"/>
    <n v="7.07"/>
    <x v="0"/>
    <x v="7"/>
    <x v="1"/>
    <x v="5"/>
    <x v="0"/>
    <s v="Richmond  BC"/>
    <x v="4"/>
    <n v="20.61"/>
    <n v="7.07"/>
  </r>
  <r>
    <s v="TXN-2023-000028"/>
    <s v="CUST-0049"/>
    <x v="333"/>
    <x v="3"/>
    <s v="U"/>
    <x v="66"/>
    <x v="455"/>
    <n v="1"/>
    <x v="778"/>
    <n v="14.81"/>
    <x v="1"/>
    <x v="282"/>
    <x v="0"/>
    <x v="62"/>
    <x v="4"/>
    <s v="Corner Brook,Newfoundland and Labrador"/>
    <x v="7"/>
    <n v="31.53"/>
    <n v="14.81"/>
  </r>
  <r>
    <s v="TXN-2023-000881"/>
    <s v="CUST-0290"/>
    <x v="687"/>
    <x v="3"/>
    <m/>
    <x v="54"/>
    <x v="164"/>
    <n v="2"/>
    <x v="779"/>
    <s v="CAD 42.73"/>
    <x v="0"/>
    <x v="499"/>
    <x v="0"/>
    <x v="52"/>
    <x v="0"/>
    <s v="Victoria  British Columbia"/>
    <x v="4"/>
    <n v="83.38"/>
    <n v="42.73"/>
  </r>
  <r>
    <s v="TXN-2023-000231"/>
    <s v="CUST-0135"/>
    <x v="688"/>
    <x v="1"/>
    <s v="U"/>
    <x v="45"/>
    <x v="561"/>
    <n v="1"/>
    <x v="780"/>
    <n v="8.8000000000000007"/>
    <x v="0"/>
    <x v="500"/>
    <x v="0"/>
    <x v="44"/>
    <x v="5"/>
    <s v="Longueuil (qc)"/>
    <x v="2"/>
    <n v="18.190000000000001"/>
    <n v="8.8000000000000007"/>
  </r>
  <r>
    <s v="TXN-2024-000490"/>
    <s v="CUST-0152"/>
    <x v="131"/>
    <x v="0"/>
    <s v="FEMALE"/>
    <x v="41"/>
    <x v="562"/>
    <n v="4"/>
    <x v="781"/>
    <n v="34.67"/>
    <x v="0"/>
    <x v="125"/>
    <x v="1"/>
    <x v="40"/>
    <x v="5"/>
    <s v="Montreal, QUEBEC"/>
    <x v="2"/>
    <n v="69"/>
    <n v="34.67"/>
  </r>
  <r>
    <s v="TXN-2023-000773"/>
    <s v="CUST-0201"/>
    <x v="408"/>
    <x v="4"/>
    <s v="FEMALE"/>
    <x v="43"/>
    <x v="563"/>
    <n v="3"/>
    <x v="782"/>
    <n v="24.48"/>
    <x v="1"/>
    <x v="13"/>
    <x v="1"/>
    <x v="42"/>
    <x v="4"/>
    <s v="Quebe - Laval"/>
    <x v="2"/>
    <n v="36.21"/>
    <n v="24.48"/>
  </r>
  <r>
    <s v="TXN-2024-000379"/>
    <s v="CUST-0039"/>
    <x v="282"/>
    <x v="0"/>
    <s v="FEMALE"/>
    <x v="26"/>
    <x v="564"/>
    <n v="1"/>
    <x v="783"/>
    <s v="CAD 8.36"/>
    <x v="1"/>
    <x v="245"/>
    <x v="1"/>
    <x v="26"/>
    <x v="3"/>
    <s v="Quebec - Gatineau"/>
    <x v="2"/>
    <n v="22.48"/>
    <n v="8.36"/>
  </r>
  <r>
    <s v="TXN-2023-000289"/>
    <s v="CUST-0259"/>
    <x v="689"/>
    <x v="2"/>
    <s v="male"/>
    <x v="14"/>
    <x v="565"/>
    <n v="1"/>
    <x v="26"/>
    <n v="11.41"/>
    <x v="1"/>
    <x v="341"/>
    <x v="2"/>
    <x v="14"/>
    <x v="3"/>
    <s v="on - Toronto"/>
    <x v="1"/>
    <n v="31.02"/>
    <n v="11.41"/>
  </r>
  <r>
    <s v="TXN-2023-000419"/>
    <s v="CUST-0291"/>
    <x v="235"/>
    <x v="2"/>
    <s v="male"/>
    <x v="27"/>
    <x v="530"/>
    <n v="1"/>
    <x v="245"/>
    <n v="8.5"/>
    <x v="1"/>
    <x v="208"/>
    <x v="2"/>
    <x v="27"/>
    <x v="0"/>
    <s v="Montreal (qc)"/>
    <x v="2"/>
    <n v="25.71"/>
    <n v="8.5"/>
  </r>
  <r>
    <s v="TXN-2024-000675"/>
    <s v="CUST-0314"/>
    <x v="690"/>
    <x v="3"/>
    <s v="U"/>
    <x v="44"/>
    <x v="489"/>
    <n v="1"/>
    <x v="784"/>
    <n v="9.57"/>
    <x v="0"/>
    <x v="501"/>
    <x v="0"/>
    <x v="43"/>
    <x v="3"/>
    <s v="Ontario - Vaughan"/>
    <x v="1"/>
    <n v="17.22"/>
    <n v="9.57"/>
  </r>
  <r>
    <s v="TXN-2023-000392"/>
    <s v="CUST-0072"/>
    <x v="691"/>
    <x v="1"/>
    <s v="FEMALE"/>
    <x v="31"/>
    <x v="339"/>
    <n v="1"/>
    <x v="785"/>
    <s v="N/A"/>
    <x v="1"/>
    <x v="502"/>
    <x v="1"/>
    <x v="31"/>
    <x v="2"/>
    <s v="Ottawa,Ontario"/>
    <x v="1"/>
    <n v="39.21"/>
    <m/>
  </r>
  <r>
    <s v="TXN-2023-000593"/>
    <s v="CUST-0211"/>
    <x v="13"/>
    <x v="3"/>
    <s v="FEMALE"/>
    <x v="13"/>
    <x v="13"/>
    <n v="1"/>
    <x v="13"/>
    <n v="2.65"/>
    <x v="1"/>
    <x v="13"/>
    <x v="1"/>
    <x v="13"/>
    <x v="0"/>
    <s v="Mississauga (Ontario)"/>
    <x v="1"/>
    <n v="8.39"/>
    <n v="2.65"/>
  </r>
  <r>
    <s v="TXN-2024-000499"/>
    <s v="CUST-0141"/>
    <x v="692"/>
    <x v="0"/>
    <s v="FEMALE"/>
    <x v="63"/>
    <x v="195"/>
    <n v="1"/>
    <x v="786"/>
    <n v="8.77"/>
    <x v="1"/>
    <x v="503"/>
    <x v="1"/>
    <x v="60"/>
    <x v="0"/>
    <s v="Toronto ONTARIO"/>
    <x v="1"/>
    <n v="30.47"/>
    <n v="8.77"/>
  </r>
  <r>
    <s v="TXN-2024-000139"/>
    <s v="CUST-0255"/>
    <x v="663"/>
    <x v="2"/>
    <s v="male"/>
    <x v="6"/>
    <x v="330"/>
    <n v="2"/>
    <x v="787"/>
    <n v="13.07"/>
    <x v="0"/>
    <x v="484"/>
    <x v="2"/>
    <x v="6"/>
    <x v="0"/>
    <s v="St. John's / nl"/>
    <x v="7"/>
    <n v="28.86"/>
    <n v="13.07"/>
  </r>
  <r>
    <s v="TXN-2023-000063"/>
    <s v="CUST-0318"/>
    <x v="693"/>
    <x v="2"/>
    <s v="male"/>
    <x v="2"/>
    <x v="245"/>
    <n v="1"/>
    <x v="516"/>
    <n v="5.17"/>
    <x v="0"/>
    <x v="64"/>
    <x v="2"/>
    <x v="2"/>
    <x v="2"/>
    <s v="Hamilton (Ontario)"/>
    <x v="1"/>
    <n v="9.58"/>
    <n v="5.17"/>
  </r>
  <r>
    <s v="TXN-2024-000472"/>
    <s v="CUST-0074"/>
    <x v="694"/>
    <x v="0"/>
    <s v="male"/>
    <x v="20"/>
    <x v="133"/>
    <n v="1"/>
    <x v="788"/>
    <n v="6.18"/>
    <x v="0"/>
    <x v="407"/>
    <x v="2"/>
    <x v="20"/>
    <x v="4"/>
    <s v="Laval / Quebec"/>
    <x v="2"/>
    <n v="22.1"/>
    <n v="6.18"/>
  </r>
  <r>
    <s v="TXN-2023-000648"/>
    <s v="CUST-0277 "/>
    <x v="695"/>
    <x v="0"/>
    <s v="U"/>
    <x v="50"/>
    <x v="149"/>
    <n v="3"/>
    <x v="789"/>
    <n v="33.89"/>
    <x v="1"/>
    <x v="504"/>
    <x v="0"/>
    <x v="48"/>
    <x v="2"/>
    <s v="Quebec - Laval"/>
    <x v="2"/>
    <n v="81.67"/>
    <n v="33.89"/>
  </r>
  <r>
    <s v="TXN-2024-000129"/>
    <s v="CUST-0195"/>
    <x v="696"/>
    <x v="2"/>
    <s v="male"/>
    <x v="53"/>
    <x v="57"/>
    <n v="1"/>
    <x v="790"/>
    <n v="5.09"/>
    <x v="0"/>
    <x v="97"/>
    <x v="2"/>
    <x v="51"/>
    <x v="3"/>
    <s v="Sherbrooke, Quebe"/>
    <x v="2"/>
    <n v="21.5"/>
    <n v="5.09"/>
  </r>
  <r>
    <s v="TXN-2024-000543"/>
    <s v="CUST-0083"/>
    <x v="61"/>
    <x v="4"/>
    <s v="male"/>
    <x v="20"/>
    <x v="60"/>
    <n v="-1"/>
    <x v="62"/>
    <n v="-1.1599999999999999"/>
    <x v="0"/>
    <x v="61"/>
    <x v="2"/>
    <x v="20"/>
    <x v="4"/>
    <s v="Surrey, bc"/>
    <x v="4"/>
    <n v="-4.59"/>
    <n v="-1.1599999999999999"/>
  </r>
  <r>
    <s v="TXN-2023-000521"/>
    <s v="CUST-0195"/>
    <x v="697"/>
    <x v="2"/>
    <s v="M"/>
    <x v="56"/>
    <x v="518"/>
    <n v="1"/>
    <x v="791"/>
    <n v="15.17"/>
    <x v="0"/>
    <x v="185"/>
    <x v="2"/>
    <x v="54"/>
    <x v="5"/>
    <s v="Mississauga-Ontari"/>
    <x v="1"/>
    <n v="35.99"/>
    <n v="15.17"/>
  </r>
  <r>
    <s v="TXN-2024-000839"/>
    <s v="CUST-0090"/>
    <x v="698"/>
    <x v="3"/>
    <s v="FEMALE"/>
    <x v="1"/>
    <x v="269"/>
    <n v="2"/>
    <x v="792"/>
    <n v="39.4"/>
    <x v="1"/>
    <x v="403"/>
    <x v="1"/>
    <x v="1"/>
    <x v="1"/>
    <s v="Richmond BRITISH COLUMBIA"/>
    <x v="4"/>
    <n v="83.26"/>
    <n v="39.4"/>
  </r>
  <r>
    <s v="TXN-2023-000484"/>
    <s v="CUST-0308"/>
    <x v="377"/>
    <x v="3"/>
    <s v="male"/>
    <x v="62"/>
    <x v="224"/>
    <n v="-2"/>
    <x v="404"/>
    <n v="-24.9"/>
    <x v="1"/>
    <x v="312"/>
    <x v="2"/>
    <x v="59"/>
    <x v="3"/>
    <s v="Sherbrooke (Quebec)"/>
    <x v="2"/>
    <n v="-62.4"/>
    <n v="-24.9"/>
  </r>
  <r>
    <s v="TXN-2023-000065"/>
    <s v="CUST-0295"/>
    <x v="699"/>
    <x v="0"/>
    <s v="FEMALE"/>
    <x v="8"/>
    <x v="566"/>
    <n v="1"/>
    <x v="691"/>
    <s v="5,21"/>
    <x v="1"/>
    <x v="505"/>
    <x v="1"/>
    <x v="8"/>
    <x v="3"/>
    <s v="Gatineau,QUEBEC"/>
    <x v="2"/>
    <n v="11.77"/>
    <n v="5.21"/>
  </r>
  <r>
    <s v="TXN-2023-000813"/>
    <s v="CUST-0095"/>
    <x v="700"/>
    <x v="2"/>
    <s v="FEMALE"/>
    <x v="61"/>
    <x v="567"/>
    <n v="2"/>
    <x v="793"/>
    <n v="5.48"/>
    <x v="1"/>
    <x v="506"/>
    <x v="1"/>
    <x v="58"/>
    <x v="0"/>
    <s v="Lethbridge (Alberta)"/>
    <x v="0"/>
    <n v="14.64"/>
    <n v="5.48"/>
  </r>
  <r>
    <s v="TXN-2024-000015"/>
    <s v="CUST-0057"/>
    <x v="306"/>
    <x v="1"/>
    <s v="N/A"/>
    <x v="49"/>
    <x v="502"/>
    <n v="2"/>
    <x v="43"/>
    <n v="21.69"/>
    <x v="1"/>
    <x v="263"/>
    <x v="0"/>
    <x v="47"/>
    <x v="0"/>
    <s v="Montreal,Quebe"/>
    <x v="2"/>
    <m/>
    <n v="21.69"/>
  </r>
  <r>
    <s v="TXN-2024-000157"/>
    <s v="CUST-0270"/>
    <x v="701"/>
    <x v="0"/>
    <s v="M"/>
    <x v="37"/>
    <x v="568"/>
    <n v="3"/>
    <x v="794"/>
    <n v="21.09"/>
    <x v="1"/>
    <x v="507"/>
    <x v="2"/>
    <x v="36"/>
    <x v="0"/>
    <s v="Surrey  BRITISH COLUMBIA"/>
    <x v="4"/>
    <n v="63.9"/>
    <n v="21.09"/>
  </r>
  <r>
    <s v="TXN-2023-000041"/>
    <s v="CUST-0036"/>
    <x v="702"/>
    <x v="4"/>
    <s v="FEMALE"/>
    <x v="23"/>
    <x v="177"/>
    <n v="6"/>
    <x v="795"/>
    <s v="â€”"/>
    <x v="1"/>
    <x v="508"/>
    <x v="1"/>
    <x v="23"/>
    <x v="0"/>
    <s v="Mississauga  on"/>
    <x v="1"/>
    <n v="54.03"/>
    <m/>
  </r>
  <r>
    <s v="TXN-2024-000493"/>
    <s v="CUST-0287"/>
    <x v="244"/>
    <x v="4"/>
    <s v="Prefer not to say"/>
    <x v="50"/>
    <x v="134"/>
    <n v="1"/>
    <x v="796"/>
    <n v="1.96"/>
    <x v="1"/>
    <x v="217"/>
    <x v="3"/>
    <x v="48"/>
    <x v="2"/>
    <s v="Mississauga Ontario"/>
    <x v="1"/>
    <n v="6.77"/>
    <n v="1.96"/>
  </r>
  <r>
    <s v="TXN-2024-000380"/>
    <s v="CUST-0168 "/>
    <x v="323"/>
    <x v="0"/>
    <s v="F"/>
    <x v="58"/>
    <x v="125"/>
    <n v="2"/>
    <x v="797"/>
    <n v="26.56"/>
    <x v="1"/>
    <x v="274"/>
    <x v="1"/>
    <x v="55"/>
    <x v="0"/>
    <s v="Markham  Ontario"/>
    <x v="1"/>
    <n v="54.21"/>
    <n v="26.56"/>
  </r>
  <r>
    <s v="TXN-2023-000188"/>
    <s v="CUST-0078 "/>
    <x v="168"/>
    <x v="4"/>
    <s v="FEMALE"/>
    <x v="55"/>
    <x v="516"/>
    <n v="2"/>
    <x v="798"/>
    <n v="4.59"/>
    <x v="0"/>
    <x v="156"/>
    <x v="1"/>
    <x v="53"/>
    <x v="3"/>
    <s v="Red Deer (ALBERTA)"/>
    <x v="0"/>
    <n v="35.700000000000003"/>
    <n v="4.59"/>
  </r>
  <r>
    <s v="TXN-2023-000764"/>
    <s v="CUST-0024"/>
    <x v="703"/>
    <x v="0"/>
    <s v="male"/>
    <x v="34"/>
    <x v="569"/>
    <n v="1"/>
    <x v="799"/>
    <n v="7.15"/>
    <x v="1"/>
    <x v="294"/>
    <x v="2"/>
    <x v="34"/>
    <x v="0"/>
    <s v="London (ON)"/>
    <x v="1"/>
    <n v="13.66"/>
    <n v="7.15"/>
  </r>
  <r>
    <s v="TXN-2024-000217"/>
    <s v="CUST-0054"/>
    <x v="352"/>
    <x v="3"/>
    <s v="F"/>
    <x v="18"/>
    <x v="570"/>
    <n v="6"/>
    <x v="370"/>
    <n v="59.09"/>
    <x v="0"/>
    <x v="295"/>
    <x v="1"/>
    <x v="18"/>
    <x v="0"/>
    <s v="Ontario - London"/>
    <x v="1"/>
    <n v="173.7"/>
    <n v="59.09"/>
  </r>
  <r>
    <s v="TXN-2024-000792"/>
    <s v="CUST-0257"/>
    <x v="671"/>
    <x v="3"/>
    <s v="FEMALE"/>
    <x v="46"/>
    <x v="350"/>
    <n v="2"/>
    <x v="800"/>
    <n v="27.24"/>
    <x v="0"/>
    <x v="490"/>
    <x v="1"/>
    <x v="45"/>
    <x v="3"/>
    <s v="Sherbrooke, QC"/>
    <x v="2"/>
    <n v="65.19"/>
    <n v="27.24"/>
  </r>
  <r>
    <s v="TXN-2024-000053"/>
    <s v="CUST-0099"/>
    <x v="704"/>
    <x v="1"/>
    <s v="male"/>
    <x v="16"/>
    <x v="571"/>
    <n v="2"/>
    <x v="1"/>
    <n v="5.61"/>
    <x v="0"/>
    <x v="178"/>
    <x v="2"/>
    <x v="16"/>
    <x v="4"/>
    <s v="Moncton New Brunswic"/>
    <x v="8"/>
    <m/>
    <n v="5.61"/>
  </r>
  <r>
    <s v="TXN-2023-000879"/>
    <s v="CUST-0208"/>
    <x v="705"/>
    <x v="1"/>
    <s v="FEMALE"/>
    <x v="32"/>
    <x v="572"/>
    <n v="2"/>
    <x v="801"/>
    <n v="14.34"/>
    <x v="0"/>
    <x v="393"/>
    <x v="1"/>
    <x v="32"/>
    <x v="2"/>
    <s v="Ottawa-Ontario"/>
    <x v="1"/>
    <n v="29.85"/>
    <n v="14.34"/>
  </r>
  <r>
    <s v="TXN-2023-000338"/>
    <s v="CUST-0287"/>
    <x v="706"/>
    <x v="1"/>
    <s v="FEMALE"/>
    <x v="42"/>
    <x v="443"/>
    <n v="1"/>
    <x v="802"/>
    <n v="7.8"/>
    <x v="1"/>
    <x v="86"/>
    <x v="1"/>
    <x v="41"/>
    <x v="4"/>
    <s v="Kitchener,Ontario"/>
    <x v="1"/>
    <n v="22.29"/>
    <n v="7.8"/>
  </r>
  <r>
    <s v="TXN-2024-000749"/>
    <s v="CUST-0239"/>
    <x v="707"/>
    <x v="1"/>
    <s v="FEMALE"/>
    <x v="12"/>
    <x v="502"/>
    <n v="1"/>
    <x v="803"/>
    <n v="4.8099999999999996"/>
    <x v="1"/>
    <x v="509"/>
    <x v="1"/>
    <x v="12"/>
    <x v="0"/>
    <s v="Montreal,Quebe"/>
    <x v="2"/>
    <n v="14.33"/>
    <n v="4.8099999999999996"/>
  </r>
  <r>
    <s v="TXN-2023-000720"/>
    <s v="CUST-0164"/>
    <x v="708"/>
    <x v="1"/>
    <s v="FEMALE"/>
    <x v="64"/>
    <x v="224"/>
    <n v="1"/>
    <x v="804"/>
    <n v="4.1900000000000004"/>
    <x v="0"/>
    <x v="510"/>
    <x v="1"/>
    <x v="61"/>
    <x v="0"/>
    <s v="Sherbrooke (QUEBEC)"/>
    <x v="2"/>
    <n v="9.0399999999999991"/>
    <n v="4.1900000000000004"/>
  </r>
  <r>
    <s v="TXN-2024-000725"/>
    <s v="CUST-0212"/>
    <x v="244"/>
    <x v="4"/>
    <s v="male"/>
    <x v="13"/>
    <x v="76"/>
    <n v="1"/>
    <x v="805"/>
    <n v="3.18"/>
    <x v="1"/>
    <x v="217"/>
    <x v="2"/>
    <x v="13"/>
    <x v="0"/>
    <s v="Toronto / Ontari"/>
    <x v="1"/>
    <n v="7.16"/>
    <n v="3.18"/>
  </r>
  <r>
    <s v="TXN-2023-000296"/>
    <s v="CUST-0092"/>
    <x v="709"/>
    <x v="1"/>
    <s v="N/A"/>
    <x v="26"/>
    <x v="83"/>
    <n v="2"/>
    <x v="806"/>
    <n v="22"/>
    <x v="0"/>
    <x v="157"/>
    <x v="0"/>
    <x v="26"/>
    <x v="3"/>
    <s v="London / Ontario"/>
    <x v="1"/>
    <n v="61.55"/>
    <n v="22"/>
  </r>
  <r>
    <s v="TXN-2023-000702"/>
    <s v="CUST-0180"/>
    <x v="78"/>
    <x v="3"/>
    <s v="N/A"/>
    <x v="55"/>
    <x v="150"/>
    <n v="1"/>
    <x v="807"/>
    <n v="8.44"/>
    <x v="0"/>
    <x v="77"/>
    <x v="0"/>
    <x v="53"/>
    <x v="3"/>
    <s v="Red Deer, ALBERTA"/>
    <x v="0"/>
    <n v="29.21"/>
    <n v="8.44"/>
  </r>
  <r>
    <s v="TXN-2024-000252"/>
    <s v="CUST-0299"/>
    <x v="241"/>
    <x v="3"/>
    <s v="M"/>
    <x v="5"/>
    <x v="101"/>
    <n v="2"/>
    <x v="808"/>
    <n v="26.72"/>
    <x v="0"/>
    <x v="214"/>
    <x v="2"/>
    <x v="5"/>
    <x v="0"/>
    <s v="Brampton  Ontario"/>
    <x v="1"/>
    <n v="48.85"/>
    <n v="26.72"/>
  </r>
  <r>
    <s v="TXN-2023-000727"/>
    <s v="CUST-0312"/>
    <x v="599"/>
    <x v="1"/>
    <s v="Prefer not to say"/>
    <x v="24"/>
    <x v="286"/>
    <n v="2"/>
    <x v="809"/>
    <n v="21.98"/>
    <x v="0"/>
    <x v="455"/>
    <x v="3"/>
    <x v="24"/>
    <x v="3"/>
    <s v="Richmond, BRITISH COLUMBIA"/>
    <x v="4"/>
    <n v="53.81"/>
    <n v="21.98"/>
  </r>
  <r>
    <s v="TXN-2024-000462"/>
    <s v="CUST-0096"/>
    <x v="61"/>
    <x v="4"/>
    <s v="FEMALE"/>
    <x v="63"/>
    <x v="411"/>
    <n v="3"/>
    <x v="810"/>
    <s v="CAD 13.07"/>
    <x v="0"/>
    <x v="61"/>
    <x v="1"/>
    <x v="60"/>
    <x v="0"/>
    <s v="Gatineau  QUEBEC"/>
    <x v="2"/>
    <n v="31.85"/>
    <n v="13.07"/>
  </r>
  <r>
    <s v="TXN-2023-000456"/>
    <s v="CUST-0028"/>
    <x v="710"/>
    <x v="3"/>
    <s v="FEMALE"/>
    <x v="42"/>
    <x v="573"/>
    <n v="1"/>
    <x v="811"/>
    <s v=" 20.13 CAD "/>
    <x v="1"/>
    <x v="502"/>
    <x v="1"/>
    <x v="41"/>
    <x v="4"/>
    <s v="Lethbridge,ab"/>
    <x v="0"/>
    <n v="37.81"/>
    <n v="20.13"/>
  </r>
  <r>
    <s v="TXN-2023-000846"/>
    <s v="cust-0167"/>
    <x v="172"/>
    <x v="2"/>
    <s v="MALE "/>
    <x v="46"/>
    <x v="574"/>
    <n v="1"/>
    <x v="179"/>
    <n v="11.84"/>
    <x v="0"/>
    <x v="160"/>
    <x v="2"/>
    <x v="45"/>
    <x v="3"/>
    <s v="Victoria bc"/>
    <x v="4"/>
    <n v="20.43"/>
    <n v="11.84"/>
  </r>
  <r>
    <s v="TXN-2024-000816"/>
    <s v="CUST-0226"/>
    <x v="648"/>
    <x v="3"/>
    <s v="male"/>
    <x v="53"/>
    <x v="575"/>
    <n v="1"/>
    <x v="812"/>
    <s v="15,39"/>
    <x v="1"/>
    <x v="478"/>
    <x v="2"/>
    <x v="51"/>
    <x v="3"/>
    <s v="Laval,Quebec"/>
    <x v="2"/>
    <n v="35.590000000000003"/>
    <n v="15.39"/>
  </r>
  <r>
    <s v="TXN-2023-000863"/>
    <s v="Cust-0187"/>
    <x v="386"/>
    <x v="2"/>
    <s v="U"/>
    <x v="11"/>
    <x v="186"/>
    <n v="2"/>
    <x v="813"/>
    <n v="19.07"/>
    <x v="1"/>
    <x v="320"/>
    <x v="0"/>
    <x v="11"/>
    <x v="5"/>
    <s v="Toronto  Ontario"/>
    <x v="1"/>
    <n v="42.53"/>
    <n v="19.07"/>
  </r>
  <r>
    <s v="TXN-2024-000270"/>
    <s v="CUST-0294"/>
    <x v="711"/>
    <x v="1"/>
    <s v="Prefer not to say"/>
    <x v="18"/>
    <x v="576"/>
    <n v="1"/>
    <x v="814"/>
    <s v="N/A"/>
    <x v="0"/>
    <x v="511"/>
    <x v="3"/>
    <x v="18"/>
    <x v="0"/>
    <s v="Hamilton-Ontari"/>
    <x v="1"/>
    <n v="19.96"/>
    <m/>
  </r>
  <r>
    <s v="TXN-2024-000202"/>
    <s v="CUST-0228"/>
    <x v="173"/>
    <x v="3"/>
    <s v="FEMALE"/>
    <x v="2"/>
    <x v="260"/>
    <n v="1"/>
    <x v="495"/>
    <n v="8.99"/>
    <x v="0"/>
    <x v="161"/>
    <x v="1"/>
    <x v="2"/>
    <x v="2"/>
    <s v="London / on"/>
    <x v="1"/>
    <n v="20.059999999999999"/>
    <n v="8.99"/>
  </r>
  <r>
    <s v="TXN-2023-000162"/>
    <s v="CUST-0272"/>
    <x v="712"/>
    <x v="2"/>
    <s v="FEMALE"/>
    <x v="33"/>
    <x v="577"/>
    <n v="1"/>
    <x v="815"/>
    <n v="25.24"/>
    <x v="0"/>
    <x v="512"/>
    <x v="1"/>
    <x v="33"/>
    <x v="0"/>
    <s v="Kitchener ON"/>
    <x v="1"/>
    <n v="48.48"/>
    <n v="25.24"/>
  </r>
  <r>
    <s v="TXN-2024-000556"/>
    <s v="CUST-0277"/>
    <x v="713"/>
    <x v="4"/>
    <s v="FEMALE"/>
    <x v="42"/>
    <x v="578"/>
    <n v="6"/>
    <x v="1"/>
    <m/>
    <x v="0"/>
    <x v="513"/>
    <x v="1"/>
    <x v="41"/>
    <x v="4"/>
    <s v="Richmond  BritishColumbia"/>
    <x v="4"/>
    <m/>
    <m/>
  </r>
  <r>
    <s v="TXN-2024-000730"/>
    <s v="CUST-0086"/>
    <x v="39"/>
    <x v="0"/>
    <s v="FEMALE"/>
    <x v="2"/>
    <x v="98"/>
    <n v="4"/>
    <x v="816"/>
    <n v="34.35"/>
    <x v="0"/>
    <x v="39"/>
    <x v="1"/>
    <x v="2"/>
    <x v="2"/>
    <s v="Laval, Quebec"/>
    <x v="2"/>
    <n v="67.02"/>
    <n v="34.35"/>
  </r>
  <r>
    <s v="TXN-2024-000402"/>
    <s v="CUST-0312"/>
    <x v="39"/>
    <x v="2"/>
    <s v="FEMALE"/>
    <x v="39"/>
    <x v="194"/>
    <n v="1"/>
    <x v="817"/>
    <n v="11.81"/>
    <x v="1"/>
    <x v="39"/>
    <x v="1"/>
    <x v="38"/>
    <x v="2"/>
    <s v="Markham-Ontario"/>
    <x v="1"/>
    <n v="32.68"/>
    <n v="11.81"/>
  </r>
  <r>
    <s v="TXN-2024-000703"/>
    <s v="CUST-0192"/>
    <x v="277"/>
    <x v="3"/>
    <s v="F"/>
    <x v="21"/>
    <x v="579"/>
    <n v="1"/>
    <x v="818"/>
    <n v="6.68"/>
    <x v="1"/>
    <x v="241"/>
    <x v="1"/>
    <x v="21"/>
    <x v="3"/>
    <s v="Saskatoon, SK"/>
    <x v="3"/>
    <n v="16.79"/>
    <n v="6.68"/>
  </r>
  <r>
    <s v="TXN-2023-000477"/>
    <s v="CUST-0207"/>
    <x v="714"/>
    <x v="2"/>
    <s v="F"/>
    <x v="67"/>
    <x v="62"/>
    <n v="1"/>
    <x v="819"/>
    <n v="1.96"/>
    <x v="1"/>
    <x v="169"/>
    <x v="1"/>
    <x v="63"/>
    <x v="0"/>
    <s v="Sherbrooke / qc"/>
    <x v="2"/>
    <n v="7.61"/>
    <n v="1.96"/>
  </r>
  <r>
    <s v="TXN-2024-000822"/>
    <s v="CUST-0291"/>
    <x v="388"/>
    <x v="1"/>
    <s v="FEMALE"/>
    <x v="67"/>
    <x v="225"/>
    <n v="2"/>
    <x v="820"/>
    <n v="5.0199999999999996"/>
    <x v="0"/>
    <x v="283"/>
    <x v="1"/>
    <x v="63"/>
    <x v="0"/>
    <s v="Markham, ONTARIO"/>
    <x v="1"/>
    <n v="12.33"/>
    <n v="5.0199999999999996"/>
  </r>
  <r>
    <s v="TXN-2024-000772"/>
    <s v="CUST-0159"/>
    <x v="715"/>
    <x v="0"/>
    <s v="FEMALE"/>
    <x v="39"/>
    <x v="359"/>
    <n v="6"/>
    <x v="821"/>
    <s v="â€”"/>
    <x v="0"/>
    <x v="332"/>
    <x v="1"/>
    <x v="38"/>
    <x v="2"/>
    <s v="Calgary-ab"/>
    <x v="0"/>
    <n v="206.42"/>
    <m/>
  </r>
  <r>
    <s v="TXN-2024-000106"/>
    <s v="CUST-0145"/>
    <x v="716"/>
    <x v="4"/>
    <s v="FEMALE"/>
    <x v="29"/>
    <x v="580"/>
    <n v="3"/>
    <x v="822"/>
    <n v="8.27"/>
    <x v="0"/>
    <x v="514"/>
    <x v="1"/>
    <x v="29"/>
    <x v="2"/>
    <s v="Brampton / Ontario"/>
    <x v="1"/>
    <n v="16.920000000000002"/>
    <n v="8.27"/>
  </r>
  <r>
    <s v="TXN-2023-000566"/>
    <s v="CUST-0153"/>
    <x v="304"/>
    <x v="3"/>
    <s v="male"/>
    <x v="12"/>
    <x v="350"/>
    <n v="1"/>
    <x v="823"/>
    <n v="18.11"/>
    <x v="0"/>
    <x v="261"/>
    <x v="2"/>
    <x v="12"/>
    <x v="0"/>
    <s v="Sherbrooke, QC"/>
    <x v="2"/>
    <n v="33.68"/>
    <n v="18.11"/>
  </r>
  <r>
    <s v="TXN-2023-000390"/>
    <s v="CUST-0074"/>
    <x v="489"/>
    <x v="3"/>
    <s v="F"/>
    <x v="18"/>
    <x v="581"/>
    <n v="1"/>
    <x v="527"/>
    <n v="23.84"/>
    <x v="1"/>
    <x v="329"/>
    <x v="1"/>
    <x v="18"/>
    <x v="0"/>
    <s v="Richmond-BritishColumbia"/>
    <x v="4"/>
    <n v="52.85"/>
    <n v="23.84"/>
  </r>
  <r>
    <s v="TXN-2023-000002"/>
    <s v="CUST-0303"/>
    <x v="717"/>
    <x v="1"/>
    <m/>
    <x v="52"/>
    <x v="415"/>
    <n v="1"/>
    <x v="824"/>
    <s v=" 8.61 CAD "/>
    <x v="0"/>
    <x v="515"/>
    <x v="0"/>
    <x v="50"/>
    <x v="3"/>
    <s v="Vaughan / ON"/>
    <x v="1"/>
    <n v="21.08"/>
    <n v="8.61"/>
  </r>
  <r>
    <s v="TXN-2023-000938"/>
    <s v="CUST-0216"/>
    <x v="718"/>
    <x v="2"/>
    <s v="male"/>
    <x v="59"/>
    <x v="71"/>
    <n v="1"/>
    <x v="825"/>
    <n v="6.96"/>
    <x v="0"/>
    <x v="516"/>
    <x v="2"/>
    <x v="56"/>
    <x v="3"/>
    <s v="Longueuil, Quebec"/>
    <x v="2"/>
    <n v="17.11"/>
    <n v="6.96"/>
  </r>
  <r>
    <s v="TXN-2023-000382"/>
    <s v="CUST-0166"/>
    <x v="250"/>
    <x v="4"/>
    <s v="FEMALE"/>
    <x v="29"/>
    <x v="230"/>
    <n v="1"/>
    <x v="260"/>
    <s v="CAD 2.77"/>
    <x v="0"/>
    <x v="222"/>
    <x v="1"/>
    <x v="29"/>
    <x v="2"/>
    <s v="Gatineau  Quebec"/>
    <x v="2"/>
    <n v="5.53"/>
    <n v="2.77"/>
  </r>
  <r>
    <s v="TXN-2023-000562"/>
    <s v="CUST-0162"/>
    <x v="719"/>
    <x v="0"/>
    <s v="M"/>
    <x v="10"/>
    <x v="3"/>
    <n v="1"/>
    <x v="826"/>
    <n v="2.0699999999999998"/>
    <x v="1"/>
    <x v="517"/>
    <x v="2"/>
    <x v="10"/>
    <x v="4"/>
    <s v="Kitchener Ontario"/>
    <x v="1"/>
    <n v="5.59"/>
    <n v="2.0699999999999998"/>
  </r>
  <r>
    <s v="TXN-2023-000081"/>
    <s v="CUST-0289"/>
    <x v="720"/>
    <x v="1"/>
    <s v="male"/>
    <x v="14"/>
    <x v="582"/>
    <n v="1"/>
    <x v="22"/>
    <n v="2.09"/>
    <x v="1"/>
    <x v="518"/>
    <x v="2"/>
    <x v="14"/>
    <x v="3"/>
    <s v="Ontari - Markham"/>
    <x v="1"/>
    <n v="4.92"/>
    <n v="2.09"/>
  </r>
  <r>
    <s v="TXN-2023-000206"/>
    <s v="CUST-0083"/>
    <x v="721"/>
    <x v="1"/>
    <s v="FEMALE"/>
    <x v="2"/>
    <x v="583"/>
    <n v="2"/>
    <x v="827"/>
    <n v="7.08"/>
    <x v="0"/>
    <x v="519"/>
    <x v="1"/>
    <x v="2"/>
    <x v="2"/>
    <s v="Burnaby,British Columbi"/>
    <x v="4"/>
    <n v="27.97"/>
    <n v="7.08"/>
  </r>
  <r>
    <s v="TXN-2023-000035"/>
    <s v="CUST-0030"/>
    <x v="722"/>
    <x v="3"/>
    <s v="FEMALE"/>
    <x v="0"/>
    <x v="537"/>
    <n v="5"/>
    <x v="828"/>
    <s v="CAD 56.00"/>
    <x v="1"/>
    <x v="494"/>
    <x v="1"/>
    <x v="0"/>
    <x v="0"/>
    <s v="Laval, QC"/>
    <x v="2"/>
    <n v="152.54"/>
    <n v="56"/>
  </r>
  <r>
    <s v="TXN-2024-000776"/>
    <s v="CUST-0167"/>
    <x v="723"/>
    <x v="1"/>
    <s v="FEMALE"/>
    <x v="23"/>
    <x v="584"/>
    <n v="2"/>
    <x v="829"/>
    <s v="CAD 5.45"/>
    <x v="1"/>
    <x v="478"/>
    <x v="1"/>
    <x v="23"/>
    <x v="0"/>
    <s v="Richmond,BRITISH COLUMBIA"/>
    <x v="4"/>
    <n v="10.68"/>
    <n v="5.45"/>
  </r>
  <r>
    <s v="TXN-2023-000509"/>
    <s v="CUST-0106"/>
    <x v="724"/>
    <x v="3"/>
    <s v="male"/>
    <x v="15"/>
    <x v="269"/>
    <n v="2"/>
    <x v="722"/>
    <n v="7.85"/>
    <x v="1"/>
    <x v="520"/>
    <x v="2"/>
    <x v="15"/>
    <x v="3"/>
    <s v="Richmond British Columbia"/>
    <x v="4"/>
    <n v="24.07"/>
    <n v="7.85"/>
  </r>
  <r>
    <s v="TXN-2024-000428"/>
    <s v="CUST-0299"/>
    <x v="725"/>
    <x v="1"/>
    <s v="F"/>
    <x v="28"/>
    <x v="260"/>
    <n v="1"/>
    <x v="830"/>
    <n v="10.32"/>
    <x v="0"/>
    <x v="521"/>
    <x v="1"/>
    <x v="28"/>
    <x v="2"/>
    <s v="London / ON"/>
    <x v="1"/>
    <n v="34.01"/>
    <n v="10.32"/>
  </r>
  <r>
    <s v="TXN-2024-000455"/>
    <s v="CUST-0174"/>
    <x v="459"/>
    <x v="1"/>
    <s v="M"/>
    <x v="42"/>
    <x v="120"/>
    <n v="1"/>
    <x v="831"/>
    <n v="5.88"/>
    <x v="0"/>
    <x v="368"/>
    <x v="2"/>
    <x v="41"/>
    <x v="4"/>
    <s v="Victoria-BRITISH COLUMBIA"/>
    <x v="4"/>
    <n v="17.239999999999998"/>
    <n v="5.88"/>
  </r>
  <r>
    <s v="TXN-2023-000367"/>
    <s v="CUST-0318"/>
    <x v="726"/>
    <x v="0"/>
    <m/>
    <x v="36"/>
    <x v="193"/>
    <n v="1"/>
    <x v="832"/>
    <n v="6.97"/>
    <x v="1"/>
    <x v="522"/>
    <x v="0"/>
    <x v="35"/>
    <x v="3"/>
    <s v="Laval-QUEBEC"/>
    <x v="2"/>
    <n v="18.96"/>
    <n v="6.97"/>
  </r>
  <r>
    <s v="TXN-2024-000092"/>
    <s v="CUST-0124 "/>
    <x v="727"/>
    <x v="2"/>
    <s v="FEMALE"/>
    <x v="57"/>
    <x v="585"/>
    <n v="2"/>
    <x v="331"/>
    <n v="11.29"/>
    <x v="0"/>
    <x v="49"/>
    <x v="1"/>
    <x v="1"/>
    <x v="1"/>
    <s v="Markham, Ontari"/>
    <x v="1"/>
    <n v="22.26"/>
    <n v="11.29"/>
  </r>
  <r>
    <s v="TXN-2024-000340"/>
    <s v="CUST-0142"/>
    <x v="136"/>
    <x v="0"/>
    <s v="FEMALE"/>
    <x v="11"/>
    <x v="586"/>
    <n v="2"/>
    <x v="833"/>
    <n v="7.91"/>
    <x v="0"/>
    <x v="129"/>
    <x v="1"/>
    <x v="11"/>
    <x v="5"/>
    <s v="Surrey British Columbi"/>
    <x v="4"/>
    <n v="21.65"/>
    <n v="7.91"/>
  </r>
  <r>
    <s v="TXN-2023-000898"/>
    <s v="CUST-0028"/>
    <x v="728"/>
    <x v="3"/>
    <s v="FEMALE"/>
    <x v="17"/>
    <x v="434"/>
    <n v="4"/>
    <x v="834"/>
    <n v="23.39"/>
    <x v="0"/>
    <x v="523"/>
    <x v="1"/>
    <x v="17"/>
    <x v="4"/>
    <s v="Ontario - London"/>
    <x v="1"/>
    <n v="67.97"/>
    <n v="23.39"/>
  </r>
  <r>
    <s v="TXN-2024-000565"/>
    <s v="CUST-0274"/>
    <x v="729"/>
    <x v="3"/>
    <s v="FEMALE"/>
    <x v="34"/>
    <x v="587"/>
    <n v="1"/>
    <x v="835"/>
    <n v="4.47"/>
    <x v="1"/>
    <x v="116"/>
    <x v="1"/>
    <x v="34"/>
    <x v="0"/>
    <s v="Gatineau (Quebe)"/>
    <x v="2"/>
    <n v="19.3"/>
    <n v="4.47"/>
  </r>
  <r>
    <s v="TXN-2023-000346"/>
    <s v="CUST-0304"/>
    <x v="6"/>
    <x v="3"/>
    <s v="F"/>
    <x v="20"/>
    <x v="31"/>
    <n v="1"/>
    <x v="836"/>
    <n v="7.39"/>
    <x v="1"/>
    <x v="6"/>
    <x v="1"/>
    <x v="20"/>
    <x v="4"/>
    <s v="Windsor  Ontario"/>
    <x v="1"/>
    <n v="16.18"/>
    <n v="7.39"/>
  </r>
  <r>
    <s v="TXN-2024-000777"/>
    <s v="CUST-0125"/>
    <x v="730"/>
    <x v="2"/>
    <s v="male"/>
    <x v="66"/>
    <x v="588"/>
    <n v="1"/>
    <x v="837"/>
    <n v="27.94"/>
    <x v="1"/>
    <x v="524"/>
    <x v="2"/>
    <x v="62"/>
    <x v="4"/>
    <s v="QC - Quebec City"/>
    <x v="2"/>
    <n v="49.26"/>
    <n v="27.94"/>
  </r>
  <r>
    <s v="TXN-2024-000242"/>
    <s v="CUST-0310"/>
    <x v="731"/>
    <x v="2"/>
    <m/>
    <x v="19"/>
    <x v="472"/>
    <n v="3"/>
    <x v="838"/>
    <n v="24.87"/>
    <x v="0"/>
    <x v="328"/>
    <x v="0"/>
    <x v="19"/>
    <x v="0"/>
    <s v="Mississauga, Ontari"/>
    <x v="1"/>
    <n v="71.5"/>
    <n v="24.87"/>
  </r>
  <r>
    <s v="TXN-2023-000014"/>
    <s v="CUST-0299"/>
    <x v="732"/>
    <x v="0"/>
    <s v="N/A"/>
    <x v="49"/>
    <x v="589"/>
    <n v="1"/>
    <x v="839"/>
    <s v=" 8.03 CAD "/>
    <x v="0"/>
    <x v="425"/>
    <x v="0"/>
    <x v="47"/>
    <x v="0"/>
    <s v="Longueuil  qc"/>
    <x v="2"/>
    <n v="17.489999999999998"/>
    <n v="8.0299999999999994"/>
  </r>
  <r>
    <s v="TXN-2024-000316"/>
    <s v="CUST-0087"/>
    <x v="733"/>
    <x v="0"/>
    <s v="FEMALE"/>
    <x v="40"/>
    <x v="125"/>
    <n v="2"/>
    <x v="840"/>
    <n v="25.34"/>
    <x v="0"/>
    <x v="233"/>
    <x v="1"/>
    <x v="39"/>
    <x v="3"/>
    <s v="Markham  Ontario"/>
    <x v="1"/>
    <n v="47.74"/>
    <n v="25.34"/>
  </r>
  <r>
    <s v="TXN-2023-000601"/>
    <s v="CUST-0210"/>
    <x v="81"/>
    <x v="4"/>
    <s v="male"/>
    <x v="66"/>
    <x v="224"/>
    <n v="1"/>
    <x v="841"/>
    <n v="6.11"/>
    <x v="0"/>
    <x v="80"/>
    <x v="2"/>
    <x v="62"/>
    <x v="4"/>
    <s v="Sherbrooke (QUEBEC)"/>
    <x v="2"/>
    <n v="19.5"/>
    <n v="6.11"/>
  </r>
  <r>
    <s v="TXN-2024-000388"/>
    <s v="CUST-0176"/>
    <x v="734"/>
    <x v="1"/>
    <s v="FEMALE"/>
    <x v="35"/>
    <x v="590"/>
    <n v="1"/>
    <x v="842"/>
    <n v="6.45"/>
    <x v="1"/>
    <x v="441"/>
    <x v="1"/>
    <x v="10"/>
    <x v="4"/>
    <s v="Vancouver BRITISH COLUMBIA"/>
    <x v="4"/>
    <n v="17.7"/>
    <n v="6.45"/>
  </r>
  <r>
    <s v="TXN-2023-000274"/>
    <s v="CUST-0242"/>
    <x v="606"/>
    <x v="4"/>
    <s v="male"/>
    <x v="21"/>
    <x v="591"/>
    <n v="-1"/>
    <x v="843"/>
    <n v="-2.2200000000000002"/>
    <x v="1"/>
    <x v="276"/>
    <x v="2"/>
    <x v="21"/>
    <x v="3"/>
    <s v="Gatineau-QC"/>
    <x v="2"/>
    <n v="-4.25"/>
    <n v="-2.2200000000000002"/>
  </r>
  <r>
    <s v="TXN-2023-000167"/>
    <s v="CUST-0211"/>
    <x v="717"/>
    <x v="1"/>
    <s v="FEMALE"/>
    <x v="60"/>
    <x v="57"/>
    <n v="2"/>
    <x v="844"/>
    <n v="15.69"/>
    <x v="0"/>
    <x v="515"/>
    <x v="1"/>
    <x v="57"/>
    <x v="5"/>
    <s v="Sherbrooke, Quebe"/>
    <x v="2"/>
    <n v="46.25"/>
    <n v="15.69"/>
  </r>
  <r>
    <s v="TXN-2023-000841"/>
    <s v="CUST-0317"/>
    <x v="560"/>
    <x v="1"/>
    <s v="male"/>
    <x v="32"/>
    <x v="493"/>
    <n v="1"/>
    <x v="845"/>
    <n v="4.1399999999999997"/>
    <x v="0"/>
    <x v="223"/>
    <x v="2"/>
    <x v="32"/>
    <x v="2"/>
    <s v="Longueuil / QUEBEC"/>
    <x v="2"/>
    <n v="7.63"/>
    <n v="4.1399999999999997"/>
  </r>
  <r>
    <s v="TXN-2024-000558"/>
    <s v="cust-0108"/>
    <x v="189"/>
    <x v="1"/>
    <s v="MALE "/>
    <x v="9"/>
    <x v="592"/>
    <n v="1"/>
    <x v="198"/>
    <n v="7.77"/>
    <x v="1"/>
    <x v="172"/>
    <x v="2"/>
    <x v="9"/>
    <x v="3"/>
    <s v="Kelowna British Columbi"/>
    <x v="4"/>
    <n v="14.9"/>
    <n v="7.77"/>
  </r>
  <r>
    <s v="TXN-2024-000647"/>
    <s v="CUST-0091"/>
    <x v="735"/>
    <x v="2"/>
    <s v="U"/>
    <x v="52"/>
    <x v="593"/>
    <n v="1"/>
    <x v="846"/>
    <s v=" 7.94 CAD "/>
    <x v="0"/>
    <x v="525"/>
    <x v="0"/>
    <x v="50"/>
    <x v="3"/>
    <s v="Surrey (BritishColumbia)"/>
    <x v="4"/>
    <n v="26.3"/>
    <n v="7.94"/>
  </r>
  <r>
    <s v="TXN-2023-000819"/>
    <s v="CUST-0255"/>
    <x v="736"/>
    <x v="1"/>
    <m/>
    <x v="32"/>
    <x v="594"/>
    <n v="5"/>
    <x v="847"/>
    <n v="13.08"/>
    <x v="1"/>
    <x v="312"/>
    <x v="0"/>
    <x v="32"/>
    <x v="2"/>
    <s v="Regina,SK"/>
    <x v="3"/>
    <n v="28.61"/>
    <n v="13.08"/>
  </r>
  <r>
    <s v="TXN-2024-000485"/>
    <s v="CUST-0193"/>
    <x v="24"/>
    <x v="0"/>
    <s v="FEMALE"/>
    <x v="38"/>
    <x v="595"/>
    <n v="3"/>
    <x v="848"/>
    <s v="34,75"/>
    <x v="0"/>
    <x v="24"/>
    <x v="1"/>
    <x v="37"/>
    <x v="3"/>
    <s v="Red Deer  ab"/>
    <x v="0"/>
    <n v="75.98"/>
    <n v="34.75"/>
  </r>
  <r>
    <s v="TXN-2024-000284"/>
    <s v="CUST-0155"/>
    <x v="540"/>
    <x v="4"/>
    <s v="FEMALE"/>
    <x v="58"/>
    <x v="90"/>
    <n v="4"/>
    <x v="585"/>
    <n v="18.649999999999999"/>
    <x v="1"/>
    <x v="423"/>
    <x v="1"/>
    <x v="55"/>
    <x v="0"/>
    <s v="Red Deer / Alberta"/>
    <x v="0"/>
    <n v="40.17"/>
    <n v="18.649999999999999"/>
  </r>
  <r>
    <s v="TXN-2023-000505"/>
    <s v="CUST-0184"/>
    <x v="737"/>
    <x v="0"/>
    <s v="male"/>
    <x v="3"/>
    <x v="205"/>
    <n v="1"/>
    <x v="849"/>
    <s v="CAD 9.70"/>
    <x v="1"/>
    <x v="526"/>
    <x v="2"/>
    <x v="3"/>
    <x v="3"/>
    <s v="Laval / QC"/>
    <x v="2"/>
    <n v="24.45"/>
    <n v="9.6999999999999993"/>
  </r>
  <r>
    <s v="TXN-2023-000832"/>
    <s v="CUST-0255"/>
    <x v="599"/>
    <x v="1"/>
    <s v="male"/>
    <x v="52"/>
    <x v="53"/>
    <n v="1"/>
    <x v="850"/>
    <n v="18"/>
    <x v="1"/>
    <x v="455"/>
    <x v="2"/>
    <x v="50"/>
    <x v="3"/>
    <s v="SASKATCHEWAN - Saskatoon"/>
    <x v="3"/>
    <n v="30.66"/>
    <n v="18"/>
  </r>
  <r>
    <s v="TXN-2024-000244"/>
    <s v="CUST-0255"/>
    <x v="738"/>
    <x v="1"/>
    <s v="Prefer not to say"/>
    <x v="19"/>
    <x v="173"/>
    <n v="1"/>
    <x v="851"/>
    <s v=" 2.49 CAD "/>
    <x v="0"/>
    <x v="346"/>
    <x v="3"/>
    <x v="19"/>
    <x v="0"/>
    <s v="Windsor / ONTARIO"/>
    <x v="1"/>
    <n v="7.84"/>
    <n v="2.4900000000000002"/>
  </r>
  <r>
    <s v="TXN-2024-000567"/>
    <s v="CUST-0306"/>
    <x v="739"/>
    <x v="2"/>
    <s v="M"/>
    <x v="24"/>
    <x v="596"/>
    <n v="4"/>
    <x v="852"/>
    <n v="56.19"/>
    <x v="0"/>
    <x v="253"/>
    <x v="2"/>
    <x v="24"/>
    <x v="3"/>
    <s v="Toronto / Ontario"/>
    <x v="1"/>
    <n v="120.7"/>
    <n v="56.19"/>
  </r>
  <r>
    <s v="TXN-2023-000876"/>
    <s v="CUST-0083"/>
    <x v="740"/>
    <x v="3"/>
    <s v="M"/>
    <x v="29"/>
    <x v="122"/>
    <n v="4"/>
    <x v="853"/>
    <s v="N/A"/>
    <x v="1"/>
    <x v="527"/>
    <x v="2"/>
    <x v="29"/>
    <x v="2"/>
    <s v="Mississauga-Ontario"/>
    <x v="1"/>
    <n v="238.61"/>
    <m/>
  </r>
  <r>
    <s v="TXN-2023-000563"/>
    <s v="CUST-0184"/>
    <x v="741"/>
    <x v="1"/>
    <s v="male"/>
    <x v="50"/>
    <x v="227"/>
    <n v="5"/>
    <x v="854"/>
    <n v="34.31"/>
    <x v="1"/>
    <x v="212"/>
    <x v="2"/>
    <x v="48"/>
    <x v="2"/>
    <s v="Winnipeg (Manitob)"/>
    <x v="5"/>
    <n v="62.71"/>
    <n v="34.31"/>
  </r>
  <r>
    <s v="TXN-2023-000687"/>
    <s v="CUST-0230"/>
    <x v="742"/>
    <x v="0"/>
    <s v="F"/>
    <x v="17"/>
    <x v="208"/>
    <n v="1"/>
    <x v="855"/>
    <n v="1.71"/>
    <x v="0"/>
    <x v="528"/>
    <x v="1"/>
    <x v="17"/>
    <x v="4"/>
    <s v="Burnaby, British Columbia"/>
    <x v="4"/>
    <n v="4.71"/>
    <n v="1.71"/>
  </r>
  <r>
    <s v="TXN-2024-000190"/>
    <s v="CUST-0030"/>
    <x v="743"/>
    <x v="1"/>
    <s v="M"/>
    <x v="14"/>
    <x v="340"/>
    <n v="1"/>
    <x v="42"/>
    <n v="6.96"/>
    <x v="0"/>
    <x v="35"/>
    <x v="2"/>
    <x v="14"/>
    <x v="3"/>
    <s v="Markham Ontario"/>
    <x v="1"/>
    <n v="22.47"/>
    <n v="6.96"/>
  </r>
  <r>
    <s v="TXN-2023-000783"/>
    <s v="CUST-0292"/>
    <x v="744"/>
    <x v="4"/>
    <s v="male"/>
    <x v="64"/>
    <x v="80"/>
    <n v="2"/>
    <x v="856"/>
    <n v="16.34"/>
    <x v="0"/>
    <x v="522"/>
    <x v="2"/>
    <x v="61"/>
    <x v="0"/>
    <s v="London, ON"/>
    <x v="1"/>
    <n v="40.36"/>
    <n v="16.34"/>
  </r>
  <r>
    <s v="TXN-2023-000700"/>
    <s v="CUST-0137"/>
    <x v="745"/>
    <x v="1"/>
    <s v="M"/>
    <x v="17"/>
    <x v="597"/>
    <n v="1"/>
    <x v="857"/>
    <n v="4.78"/>
    <x v="0"/>
    <x v="408"/>
    <x v="2"/>
    <x v="17"/>
    <x v="4"/>
    <s v="Quebec City,QC"/>
    <x v="2"/>
    <n v="13.85"/>
    <n v="4.78"/>
  </r>
  <r>
    <s v="TXN-2024-000476"/>
    <s v="CUST-0192"/>
    <x v="746"/>
    <x v="2"/>
    <s v="male"/>
    <x v="34"/>
    <x v="112"/>
    <n v="2"/>
    <x v="858"/>
    <s v="CAD 9.13"/>
    <x v="1"/>
    <x v="396"/>
    <x v="2"/>
    <x v="34"/>
    <x v="0"/>
    <s v="Markham (ON)"/>
    <x v="1"/>
    <n v="20.73"/>
    <n v="9.1300000000000008"/>
  </r>
  <r>
    <s v="TXN-2024-000682"/>
    <s v="CUST-0270 "/>
    <x v="747"/>
    <x v="3"/>
    <s v="FEMALE"/>
    <x v="17"/>
    <x v="141"/>
    <n v="1"/>
    <x v="26"/>
    <n v="14.16"/>
    <x v="1"/>
    <x v="529"/>
    <x v="1"/>
    <x v="17"/>
    <x v="4"/>
    <s v="Quebec City,Quebec"/>
    <x v="2"/>
    <n v="31.02"/>
    <n v="14.16"/>
  </r>
  <r>
    <s v="TXN-2024-000511"/>
    <s v="CUST-0055"/>
    <x v="748"/>
    <x v="1"/>
    <s v="FEMALE"/>
    <x v="39"/>
    <x v="598"/>
    <n v="1"/>
    <x v="859"/>
    <n v="7.38"/>
    <x v="0"/>
    <x v="89"/>
    <x v="1"/>
    <x v="38"/>
    <x v="2"/>
    <s v="Burnaby (British Columbi)"/>
    <x v="4"/>
    <n v="23.27"/>
    <n v="7.38"/>
  </r>
  <r>
    <s v="TXN-2024-000059"/>
    <s v="CUST-0284"/>
    <x v="749"/>
    <x v="4"/>
    <s v="male"/>
    <x v="5"/>
    <x v="333"/>
    <n v="2"/>
    <x v="860"/>
    <n v="11.36"/>
    <x v="1"/>
    <x v="28"/>
    <x v="2"/>
    <x v="5"/>
    <x v="0"/>
    <s v="Sherbrooke,Quebec"/>
    <x v="2"/>
    <n v="32.11"/>
    <n v="11.36"/>
  </r>
  <r>
    <s v="TXN-2024-000475"/>
    <s v="CUST-0214"/>
    <x v="750"/>
    <x v="4"/>
    <s v="male"/>
    <x v="61"/>
    <x v="65"/>
    <n v="1"/>
    <x v="861"/>
    <n v="4.8600000000000003"/>
    <x v="1"/>
    <x v="308"/>
    <x v="2"/>
    <x v="58"/>
    <x v="0"/>
    <s v="London,on"/>
    <x v="1"/>
    <n v="8.4499999999999993"/>
    <n v="4.8600000000000003"/>
  </r>
  <r>
    <s v="TXN-2023-000561"/>
    <s v="CUST-0295 "/>
    <x v="645"/>
    <x v="1"/>
    <s v="FEMALE"/>
    <x v="2"/>
    <x v="1"/>
    <n v="1"/>
    <x v="862"/>
    <n v="5.31"/>
    <x v="1"/>
    <x v="316"/>
    <x v="1"/>
    <x v="2"/>
    <x v="2"/>
    <s v="Vaughan  ONTARIO"/>
    <x v="1"/>
    <n v="17.420000000000002"/>
    <n v="5.31"/>
  </r>
  <r>
    <s v="TXN-2023-000857"/>
    <s v="CUST-0232"/>
    <x v="91"/>
    <x v="1"/>
    <s v="F"/>
    <x v="18"/>
    <x v="225"/>
    <n v="2"/>
    <x v="863"/>
    <n v="22.15"/>
    <x v="0"/>
    <x v="90"/>
    <x v="1"/>
    <x v="18"/>
    <x v="0"/>
    <s v="Markham, Ontario"/>
    <x v="1"/>
    <n v="57.95"/>
    <n v="22.15"/>
  </r>
  <r>
    <s v="TXN-2023-000748"/>
    <s v="CUST-0313 "/>
    <x v="751"/>
    <x v="3"/>
    <s v="FEMALE"/>
    <x v="44"/>
    <x v="599"/>
    <n v="1"/>
    <x v="864"/>
    <n v="12.33"/>
    <x v="1"/>
    <x v="345"/>
    <x v="1"/>
    <x v="43"/>
    <x v="3"/>
    <s v="Markham, on"/>
    <x v="1"/>
    <n v="44.99"/>
    <n v="12.33"/>
  </r>
  <r>
    <s v="TXN-2024-000253"/>
    <s v="CUST-0147"/>
    <x v="752"/>
    <x v="0"/>
    <s v="male"/>
    <x v="67"/>
    <x v="50"/>
    <n v="2"/>
    <x v="865"/>
    <n v="11.86"/>
    <x v="1"/>
    <x v="295"/>
    <x v="2"/>
    <x v="63"/>
    <x v="0"/>
    <s v="Windsor (on)"/>
    <x v="1"/>
    <n v="27.98"/>
    <n v="11.86"/>
  </r>
  <r>
    <s v="TXN-2024-000022"/>
    <s v="CUST-0065"/>
    <x v="753"/>
    <x v="2"/>
    <s v="male"/>
    <x v="43"/>
    <x v="209"/>
    <n v="1"/>
    <x v="866"/>
    <n v="6.04"/>
    <x v="1"/>
    <x v="530"/>
    <x v="2"/>
    <x v="42"/>
    <x v="4"/>
    <s v="Ottawa-Ontario"/>
    <x v="1"/>
    <n v="20.76"/>
    <n v="6.04"/>
  </r>
  <r>
    <s v="TXN-2024-000314"/>
    <s v="CUST-0284"/>
    <x v="754"/>
    <x v="4"/>
    <s v="male"/>
    <x v="59"/>
    <x v="600"/>
    <n v="1"/>
    <x v="867"/>
    <n v="3.21"/>
    <x v="0"/>
    <x v="531"/>
    <x v="2"/>
    <x v="56"/>
    <x v="3"/>
    <s v="qc - Montreal"/>
    <x v="2"/>
    <n v="7.85"/>
    <n v="3.21"/>
  </r>
  <r>
    <s v="TXN-2024-000460"/>
    <s v="CUST-0042"/>
    <x v="132"/>
    <x v="4"/>
    <s v="Prefer not to say"/>
    <x v="29"/>
    <x v="199"/>
    <n v="2"/>
    <x v="868"/>
    <s v="CAD 25.51"/>
    <x v="0"/>
    <x v="126"/>
    <x v="3"/>
    <x v="29"/>
    <x v="2"/>
    <s v="Quebec City,Quebe"/>
    <x v="2"/>
    <n v="55"/>
    <n v="25.51"/>
  </r>
  <r>
    <s v="TXN-2023-000161"/>
    <s v="CUST-0076"/>
    <x v="755"/>
    <x v="2"/>
    <s v="FEMALE"/>
    <x v="37"/>
    <x v="601"/>
    <n v="1"/>
    <x v="869"/>
    <n v="7.47"/>
    <x v="1"/>
    <x v="409"/>
    <x v="1"/>
    <x v="36"/>
    <x v="0"/>
    <s v="BritishColumbia - Burnaby"/>
    <x v="4"/>
    <n v="15.2"/>
    <n v="7.47"/>
  </r>
  <r>
    <s v="TXN-2023-000277"/>
    <s v="CUST-0254"/>
    <x v="386"/>
    <x v="0"/>
    <s v="male"/>
    <x v="38"/>
    <x v="602"/>
    <n v="1"/>
    <x v="870"/>
    <n v="3.34"/>
    <x v="1"/>
    <x v="320"/>
    <x v="2"/>
    <x v="37"/>
    <x v="3"/>
    <s v="Vancouver, BC"/>
    <x v="4"/>
    <n v="7.3"/>
    <n v="3.34"/>
  </r>
  <r>
    <s v="TXN-2023-000028"/>
    <s v="CUST-0049"/>
    <x v="333"/>
    <x v="3"/>
    <s v="U"/>
    <x v="66"/>
    <x v="455"/>
    <n v="1"/>
    <x v="778"/>
    <n v="14.81"/>
    <x v="1"/>
    <x v="282"/>
    <x v="0"/>
    <x v="62"/>
    <x v="4"/>
    <s v="Corner Brook,Newfoundland and Labrador"/>
    <x v="7"/>
    <n v="31.53"/>
    <n v="14.81"/>
  </r>
  <r>
    <s v="TXN-2024-000192"/>
    <s v="CUST-0244"/>
    <x v="463"/>
    <x v="2"/>
    <s v="male"/>
    <x v="60"/>
    <x v="263"/>
    <n v="4"/>
    <x v="871"/>
    <n v="40.08"/>
    <x v="1"/>
    <x v="300"/>
    <x v="2"/>
    <x v="57"/>
    <x v="5"/>
    <s v="ON - London"/>
    <x v="1"/>
    <n v="121.27"/>
    <n v="40.08"/>
  </r>
  <r>
    <s v="TXN-2023-000386"/>
    <s v="CUST-0157"/>
    <x v="599"/>
    <x v="0"/>
    <s v="M"/>
    <x v="25"/>
    <x v="67"/>
    <n v="1"/>
    <x v="872"/>
    <n v="9.44"/>
    <x v="1"/>
    <x v="455"/>
    <x v="2"/>
    <x v="25"/>
    <x v="3"/>
    <s v="Montreal Quebec"/>
    <x v="2"/>
    <n v="20.72"/>
    <n v="9.44"/>
  </r>
  <r>
    <s v="TXN-2023-000806"/>
    <s v="Cust-0243"/>
    <x v="441"/>
    <x v="0"/>
    <s v="male"/>
    <x v="22"/>
    <x v="0"/>
    <n v="2"/>
    <x v="873"/>
    <n v="21.58"/>
    <x v="0"/>
    <x v="355"/>
    <x v="2"/>
    <x v="22"/>
    <x v="3"/>
    <s v="Lethbridge (AB)"/>
    <x v="0"/>
    <n v="41.34"/>
    <n v="21.58"/>
  </r>
  <r>
    <s v="TXN-2023-000414"/>
    <s v="CUST-0078"/>
    <x v="73"/>
    <x v="3"/>
    <s v="F"/>
    <x v="59"/>
    <x v="36"/>
    <n v="1"/>
    <x v="874"/>
    <n v="10.77"/>
    <x v="1"/>
    <x v="41"/>
    <x v="1"/>
    <x v="56"/>
    <x v="3"/>
    <s v="on - Vaughan"/>
    <x v="1"/>
    <n v="39.380000000000003"/>
    <n v="10.77"/>
  </r>
  <r>
    <s v="TXN-2023-000492"/>
    <s v="CUST-0154"/>
    <x v="238"/>
    <x v="2"/>
    <s v="N/A"/>
    <x v="68"/>
    <x v="603"/>
    <n v="1"/>
    <x v="875"/>
    <n v="9.6"/>
    <x v="1"/>
    <x v="211"/>
    <x v="0"/>
    <x v="20"/>
    <x v="4"/>
    <s v="London  ON"/>
    <x v="1"/>
    <n v="22.58"/>
    <n v="9.6"/>
  </r>
  <r>
    <s v="TXN-2023-000344"/>
    <s v="CUST-0091"/>
    <x v="756"/>
    <x v="4"/>
    <s v="FEMALE"/>
    <x v="5"/>
    <x v="411"/>
    <n v="1"/>
    <x v="876"/>
    <s v="CAD 1.13"/>
    <x v="0"/>
    <x v="10"/>
    <x v="1"/>
    <x v="5"/>
    <x v="0"/>
    <s v="Gatineau  Quebec"/>
    <x v="2"/>
    <n v="4.67"/>
    <n v="1.1299999999999999"/>
  </r>
  <r>
    <s v="TXN-2023-000770"/>
    <s v="CUST-0219"/>
    <x v="265"/>
    <x v="1"/>
    <s v="male"/>
    <x v="51"/>
    <x v="517"/>
    <n v="2"/>
    <x v="877"/>
    <n v="12.02"/>
    <x v="0"/>
    <x v="231"/>
    <x v="2"/>
    <x v="49"/>
    <x v="2"/>
    <s v="Alberta - Calgary"/>
    <x v="0"/>
    <n v="23.42"/>
    <n v="12.02"/>
  </r>
  <r>
    <s v="TXN-2023-000309"/>
    <s v="CUST-0171"/>
    <x v="343"/>
    <x v="3"/>
    <s v="FEMALE"/>
    <x v="25"/>
    <x v="604"/>
    <n v="1"/>
    <x v="878"/>
    <n v="7.9"/>
    <x v="0"/>
    <x v="58"/>
    <x v="1"/>
    <x v="25"/>
    <x v="3"/>
    <s v="Markham on"/>
    <x v="1"/>
    <n v="24.43"/>
    <n v="7.9"/>
  </r>
  <r>
    <s v="TXN-2023-000662"/>
    <s v="CUST-0243"/>
    <x v="757"/>
    <x v="3"/>
    <s v="male"/>
    <x v="5"/>
    <x v="123"/>
    <n v="2"/>
    <x v="879"/>
    <s v="â€”"/>
    <x v="0"/>
    <x v="532"/>
    <x v="2"/>
    <x v="5"/>
    <x v="0"/>
    <s v="Vaughan-Ontario"/>
    <x v="1"/>
    <n v="73.16"/>
    <m/>
  </r>
  <r>
    <s v="TXN-2024-000131"/>
    <s v="CUST-0228"/>
    <x v="575"/>
    <x v="1"/>
    <s v="male"/>
    <x v="23"/>
    <x v="605"/>
    <n v="1"/>
    <x v="880"/>
    <s v="CAD 8.45"/>
    <x v="1"/>
    <x v="439"/>
    <x v="2"/>
    <x v="23"/>
    <x v="0"/>
    <s v="Sherbrooke, QC"/>
    <x v="2"/>
    <n v="12.87"/>
    <n v="8.4499999999999993"/>
  </r>
  <r>
    <s v="TXN-2024-000664"/>
    <s v="CUST-0027"/>
    <x v="758"/>
    <x v="4"/>
    <s v="FEMALE"/>
    <x v="32"/>
    <x v="141"/>
    <n v="2"/>
    <x v="881"/>
    <s v="CAD 11.57"/>
    <x v="1"/>
    <x v="533"/>
    <x v="1"/>
    <x v="32"/>
    <x v="2"/>
    <s v="Quebec City,Quebec"/>
    <x v="2"/>
    <n v="30.24"/>
    <n v="11.57"/>
  </r>
  <r>
    <s v="TXN-2023-000872"/>
    <s v="CUST-0012"/>
    <x v="759"/>
    <x v="1"/>
    <s v="male"/>
    <x v="63"/>
    <x v="553"/>
    <n v="1"/>
    <x v="882"/>
    <n v="8.9700000000000006"/>
    <x v="1"/>
    <x v="205"/>
    <x v="2"/>
    <x v="60"/>
    <x v="0"/>
    <s v="QUEBEC - Quebec City"/>
    <x v="2"/>
    <n v="14.65"/>
    <n v="8.9700000000000006"/>
  </r>
  <r>
    <s v="TXN-2024-000100"/>
    <s v="CUST-0095"/>
    <x v="760"/>
    <x v="4"/>
    <s v="FEMALE"/>
    <x v="21"/>
    <x v="604"/>
    <n v="1"/>
    <x v="432"/>
    <n v="7.14"/>
    <x v="1"/>
    <x v="51"/>
    <x v="1"/>
    <x v="21"/>
    <x v="3"/>
    <s v="Markham ON"/>
    <x v="1"/>
    <n v="14.3"/>
    <n v="7.14"/>
  </r>
  <r>
    <s v="TXN-2023-000373"/>
    <s v="CUST-0225"/>
    <x v="222"/>
    <x v="1"/>
    <s v="FEMALE"/>
    <x v="32"/>
    <x v="200"/>
    <n v="-1"/>
    <x v="883"/>
    <n v="-0.77"/>
    <x v="1"/>
    <x v="198"/>
    <x v="1"/>
    <x v="32"/>
    <x v="2"/>
    <s v="Ontari - London"/>
    <x v="1"/>
    <n v="-5.42"/>
    <n v="-0.77"/>
  </r>
  <r>
    <s v="TXN-2024-000088"/>
    <s v="CUST-0045"/>
    <x v="761"/>
    <x v="3"/>
    <s v="male"/>
    <x v="33"/>
    <x v="214"/>
    <n v="3"/>
    <x v="884"/>
    <s v="CAD 44.45"/>
    <x v="0"/>
    <x v="129"/>
    <x v="2"/>
    <x v="33"/>
    <x v="0"/>
    <s v="London  Ontari"/>
    <x v="1"/>
    <n v="134.5"/>
    <n v="44.45"/>
  </r>
  <r>
    <s v="TXN-2024-000459"/>
    <s v="CUST-0151"/>
    <x v="762"/>
    <x v="1"/>
    <s v="M"/>
    <x v="20"/>
    <x v="606"/>
    <n v="1"/>
    <x v="885"/>
    <n v="3.07"/>
    <x v="0"/>
    <x v="438"/>
    <x v="2"/>
    <x v="20"/>
    <x v="4"/>
    <s v="Kitchener / ON"/>
    <x v="1"/>
    <n v="5.6"/>
    <n v="3.07"/>
  </r>
  <r>
    <s v="TXN-2024-000331"/>
    <s v="CUST-0315"/>
    <x v="763"/>
    <x v="2"/>
    <m/>
    <x v="7"/>
    <x v="607"/>
    <n v="1"/>
    <x v="886"/>
    <n v="4.91"/>
    <x v="0"/>
    <x v="17"/>
    <x v="0"/>
    <x v="7"/>
    <x v="0"/>
    <s v="Burnaby (British Columbia)"/>
    <x v="4"/>
    <n v="12.19"/>
    <n v="4.91"/>
  </r>
  <r>
    <s v="TXN-2024-000215"/>
    <s v="CUST-0035"/>
    <x v="764"/>
    <x v="4"/>
    <s v="FEMALE"/>
    <x v="9"/>
    <x v="608"/>
    <n v="2"/>
    <x v="887"/>
    <n v="10.32"/>
    <x v="1"/>
    <x v="93"/>
    <x v="1"/>
    <x v="9"/>
    <x v="3"/>
    <s v="Longueuil  Quebe"/>
    <x v="2"/>
    <n v="24.06"/>
    <n v="10.32"/>
  </r>
  <r>
    <s v="TXN-2024-000467"/>
    <s v="CUST-0022"/>
    <x v="153"/>
    <x v="3"/>
    <s v="FEMALE"/>
    <x v="18"/>
    <x v="609"/>
    <n v="2"/>
    <x v="888"/>
    <n v="9.2799999999999994"/>
    <x v="0"/>
    <x v="139"/>
    <x v="1"/>
    <x v="18"/>
    <x v="0"/>
    <s v="Edmonton-ab"/>
    <x v="0"/>
    <n v="20.03"/>
    <n v="9.2799999999999994"/>
  </r>
  <r>
    <s v="TXN-2023-000122"/>
    <s v="CUST-0213"/>
    <x v="765"/>
    <x v="4"/>
    <s v="male"/>
    <x v="7"/>
    <x v="610"/>
    <n v="3"/>
    <x v="889"/>
    <s v="6,26"/>
    <x v="0"/>
    <x v="231"/>
    <x v="2"/>
    <x v="7"/>
    <x v="0"/>
    <s v="Vancouver, British Columbi"/>
    <x v="4"/>
    <n v="13.05"/>
    <n v="6.26"/>
  </r>
  <r>
    <s v="TXN-2023-000615"/>
    <s v="CUST-0209"/>
    <x v="542"/>
    <x v="3"/>
    <s v="M"/>
    <x v="45"/>
    <x v="296"/>
    <n v="3"/>
    <x v="890"/>
    <s v=" 16.88 CAD "/>
    <x v="1"/>
    <x v="424"/>
    <x v="2"/>
    <x v="44"/>
    <x v="5"/>
    <s v="Laval (Quebec)"/>
    <x v="2"/>
    <n v="55.52"/>
    <n v="16.88"/>
  </r>
  <r>
    <s v="TXN-2024-000021"/>
    <s v="CUST-0030"/>
    <x v="766"/>
    <x v="3"/>
    <s v="M"/>
    <x v="41"/>
    <x v="611"/>
    <n v="4"/>
    <x v="891"/>
    <n v="91.53"/>
    <x v="1"/>
    <x v="534"/>
    <x v="2"/>
    <x v="40"/>
    <x v="5"/>
    <s v="Burnaby  BC"/>
    <x v="4"/>
    <n v="178.56"/>
    <n v="91.53"/>
  </r>
  <r>
    <s v="TXN-2023-000701"/>
    <s v="CUST-0179"/>
    <x v="767"/>
    <x v="4"/>
    <s v="male"/>
    <x v="12"/>
    <x v="473"/>
    <n v="2"/>
    <x v="892"/>
    <n v="8.89"/>
    <x v="1"/>
    <x v="535"/>
    <x v="2"/>
    <x v="12"/>
    <x v="0"/>
    <s v="Lethbridge, Alberta"/>
    <x v="0"/>
    <n v="19.510000000000002"/>
    <n v="8.89"/>
  </r>
  <r>
    <s v="TXN-2024-000072"/>
    <s v="CUST-0033 "/>
    <x v="768"/>
    <x v="3"/>
    <s v="FEMALE"/>
    <x v="25"/>
    <x v="405"/>
    <n v="1"/>
    <x v="893"/>
    <s v=" 8.26 CAD "/>
    <x v="0"/>
    <x v="429"/>
    <x v="1"/>
    <x v="25"/>
    <x v="3"/>
    <s v="Mississauga  Ontario"/>
    <x v="1"/>
    <n v="17.34"/>
    <n v="8.26"/>
  </r>
  <r>
    <s v="TXN-2024-000107"/>
    <s v="CUST-0279"/>
    <x v="769"/>
    <x v="1"/>
    <s v="FEMALE"/>
    <x v="36"/>
    <x v="612"/>
    <n v="1"/>
    <x v="894"/>
    <n v="15.65"/>
    <x v="1"/>
    <x v="536"/>
    <x v="1"/>
    <x v="35"/>
    <x v="3"/>
    <s v="Richmond-British Columbia"/>
    <x v="4"/>
    <n v="37.619999999999997"/>
    <n v="15.65"/>
  </r>
  <r>
    <s v="TXN-2023-000271"/>
    <s v="CUST-0041"/>
    <x v="770"/>
    <x v="4"/>
    <s v="FEMALE"/>
    <x v="1"/>
    <x v="596"/>
    <n v="2"/>
    <x v="895"/>
    <n v="6.34"/>
    <x v="0"/>
    <x v="537"/>
    <x v="1"/>
    <x v="1"/>
    <x v="1"/>
    <s v="Toronto / ONTARIO"/>
    <x v="1"/>
    <n v="14.26"/>
    <n v="6.34"/>
  </r>
  <r>
    <s v="TXN-2023-000861"/>
    <s v="Cust-0171"/>
    <x v="39"/>
    <x v="0"/>
    <s v="male"/>
    <x v="18"/>
    <x v="328"/>
    <n v="2"/>
    <x v="896"/>
    <n v="22.22"/>
    <x v="1"/>
    <x v="39"/>
    <x v="2"/>
    <x v="18"/>
    <x v="0"/>
    <s v="Calgary (ALBERTA)"/>
    <x v="0"/>
    <n v="43.15"/>
    <n v="22.22"/>
  </r>
  <r>
    <s v="TXN-2023-000436"/>
    <s v="CUST-0113"/>
    <x v="150"/>
    <x v="2"/>
    <s v="F"/>
    <x v="45"/>
    <x v="613"/>
    <n v="1"/>
    <x v="897"/>
    <n v="11.14"/>
    <x v="1"/>
    <x v="141"/>
    <x v="1"/>
    <x v="44"/>
    <x v="5"/>
    <s v="Brandon  Manitob"/>
    <x v="5"/>
    <n v="25.56"/>
    <n v="11.14"/>
  </r>
  <r>
    <s v="TXN-2023-000103"/>
    <s v="CUST-0153"/>
    <x v="771"/>
    <x v="0"/>
    <s v="F"/>
    <x v="36"/>
    <x v="614"/>
    <n v="1"/>
    <x v="898"/>
    <n v="3.42"/>
    <x v="0"/>
    <x v="482"/>
    <x v="1"/>
    <x v="35"/>
    <x v="3"/>
    <s v="Richmond BritishColumbia"/>
    <x v="4"/>
    <n v="6.21"/>
    <n v="3.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7FD831-C0C3-4561-A2A1-12CDEA27B37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6:C113" firstHeaderRow="0" firstDataRow="1" firstDataCol="1"/>
  <pivotFields count="22">
    <pivotField showAll="0"/>
    <pivotField showAll="0"/>
    <pivotField showAll="0">
      <items count="773">
        <item x="43"/>
        <item x="357"/>
        <item x="286"/>
        <item x="315"/>
        <item x="2"/>
        <item x="234"/>
        <item x="254"/>
        <item x="732"/>
        <item x="318"/>
        <item x="614"/>
        <item x="519"/>
        <item x="471"/>
        <item x="658"/>
        <item x="347"/>
        <item x="113"/>
        <item x="151"/>
        <item x="167"/>
        <item x="37"/>
        <item x="635"/>
        <item x="242"/>
        <item x="216"/>
        <item x="470"/>
        <item x="384"/>
        <item x="588"/>
        <item x="49"/>
        <item x="476"/>
        <item x="349"/>
        <item x="405"/>
        <item x="467"/>
        <item x="638"/>
        <item x="525"/>
        <item x="462"/>
        <item x="708"/>
        <item x="421"/>
        <item x="387"/>
        <item x="294"/>
        <item x="50"/>
        <item x="367"/>
        <item x="586"/>
        <item x="230"/>
        <item x="539"/>
        <item x="496"/>
        <item x="67"/>
        <item x="15"/>
        <item x="682"/>
        <item x="760"/>
        <item x="393"/>
        <item x="41"/>
        <item x="258"/>
        <item x="514"/>
        <item x="326"/>
        <item x="219"/>
        <item x="493"/>
        <item x="12"/>
        <item x="38"/>
        <item x="302"/>
        <item x="621"/>
        <item x="690"/>
        <item x="767"/>
        <item x="565"/>
        <item x="460"/>
        <item x="136"/>
        <item x="672"/>
        <item x="32"/>
        <item x="378"/>
        <item x="169"/>
        <item x="143"/>
        <item x="487"/>
        <item x="561"/>
        <item x="629"/>
        <item x="567"/>
        <item x="686"/>
        <item x="754"/>
        <item x="223"/>
        <item x="513"/>
        <item x="771"/>
        <item x="101"/>
        <item x="748"/>
        <item x="615"/>
        <item x="129"/>
        <item x="602"/>
        <item x="3"/>
        <item x="434"/>
        <item x="726"/>
        <item x="250"/>
        <item x="683"/>
        <item x="320"/>
        <item x="723"/>
        <item x="99"/>
        <item x="536"/>
        <item x="745"/>
        <item x="76"/>
        <item x="578"/>
        <item x="103"/>
        <item x="106"/>
        <item x="256"/>
        <item x="147"/>
        <item x="36"/>
        <item x="297"/>
        <item x="191"/>
        <item x="704"/>
        <item x="646"/>
        <item x="724"/>
        <item x="140"/>
        <item x="364"/>
        <item x="439"/>
        <item x="526"/>
        <item x="763"/>
        <item x="317"/>
        <item x="72"/>
        <item x="582"/>
        <item x="656"/>
        <item x="472"/>
        <item x="541"/>
        <item x="610"/>
        <item x="66"/>
        <item x="601"/>
        <item x="710"/>
        <item x="222"/>
        <item x="133"/>
        <item x="366"/>
        <item x="642"/>
        <item x="348"/>
        <item x="687"/>
        <item x="464"/>
        <item x="450"/>
        <item x="729"/>
        <item x="321"/>
        <item x="344"/>
        <item x="545"/>
        <item x="473"/>
        <item x="377"/>
        <item x="206"/>
        <item x="184"/>
        <item x="733"/>
        <item x="126"/>
        <item x="479"/>
        <item x="446"/>
        <item x="663"/>
        <item x="540"/>
        <item x="576"/>
        <item x="611"/>
        <item x="418"/>
        <item x="424"/>
        <item x="279"/>
        <item x="182"/>
        <item x="482"/>
        <item x="574"/>
        <item x="528"/>
        <item x="305"/>
        <item x="22"/>
        <item x="183"/>
        <item x="497"/>
        <item x="728"/>
        <item x="280"/>
        <item x="624"/>
        <item x="89"/>
        <item x="246"/>
        <item x="702"/>
        <item x="257"/>
        <item x="150"/>
        <item x="57"/>
        <item x="342"/>
        <item x="501"/>
        <item x="365"/>
        <item x="293"/>
        <item x="750"/>
        <item x="80"/>
        <item x="290"/>
        <item x="1"/>
        <item x="530"/>
        <item x="157"/>
        <item x="543"/>
        <item x="636"/>
        <item x="612"/>
        <item x="227"/>
        <item x="619"/>
        <item x="102"/>
        <item x="260"/>
        <item x="562"/>
        <item x="423"/>
        <item x="240"/>
        <item x="692"/>
        <item x="226"/>
        <item x="756"/>
        <item x="570"/>
        <item x="309"/>
        <item x="14"/>
        <item x="551"/>
        <item x="64"/>
        <item x="412"/>
        <item x="245"/>
        <item x="354"/>
        <item x="310"/>
        <item x="749"/>
        <item x="389"/>
        <item x="152"/>
        <item x="755"/>
        <item x="594"/>
        <item x="620"/>
        <item x="641"/>
        <item x="486"/>
        <item x="202"/>
        <item x="639"/>
        <item x="743"/>
        <item x="159"/>
        <item x="444"/>
        <item x="215"/>
        <item x="764"/>
        <item x="645"/>
        <item x="388"/>
        <item x="568"/>
        <item x="705"/>
        <item x="303"/>
        <item x="394"/>
        <item x="313"/>
        <item x="466"/>
        <item x="667"/>
        <item x="217"/>
        <item x="422"/>
        <item x="123"/>
        <item x="352"/>
        <item x="287"/>
        <item x="4"/>
        <item x="677"/>
        <item x="265"/>
        <item x="209"/>
        <item x="435"/>
        <item x="552"/>
        <item x="587"/>
        <item x="518"/>
        <item x="299"/>
        <item x="512"/>
        <item x="608"/>
        <item x="685"/>
        <item x="468"/>
        <item x="193"/>
        <item x="569"/>
        <item x="643"/>
        <item x="669"/>
        <item x="737"/>
        <item x="248"/>
        <item x="478"/>
        <item x="650"/>
        <item x="10"/>
        <item x="714"/>
        <item x="542"/>
        <item x="697"/>
        <item x="48"/>
        <item x="432"/>
        <item x="362"/>
        <item x="194"/>
        <item x="409"/>
        <item x="627"/>
        <item x="363"/>
        <item x="443"/>
        <item x="395"/>
        <item x="263"/>
        <item x="489"/>
        <item x="345"/>
        <item x="269"/>
        <item x="371"/>
        <item x="13"/>
        <item x="560"/>
        <item x="58"/>
        <item x="71"/>
        <item x="296"/>
        <item x="537"/>
        <item x="70"/>
        <item x="448"/>
        <item x="442"/>
        <item x="622"/>
        <item x="759"/>
        <item x="503"/>
        <item x="765"/>
        <item x="295"/>
        <item x="456"/>
        <item x="454"/>
        <item x="118"/>
        <item x="679"/>
        <item x="438"/>
        <item x="689"/>
        <item x="346"/>
        <item x="187"/>
        <item x="212"/>
        <item x="176"/>
        <item x="175"/>
        <item x="458"/>
        <item x="335"/>
        <item x="188"/>
        <item x="125"/>
        <item x="78"/>
        <item x="706"/>
        <item x="703"/>
        <item x="709"/>
        <item x="691"/>
        <item x="210"/>
        <item x="160"/>
        <item x="413"/>
        <item x="83"/>
        <item x="664"/>
        <item x="554"/>
        <item x="684"/>
        <item x="34"/>
        <item x="596"/>
        <item x="381"/>
        <item x="68"/>
        <item x="731"/>
        <item x="549"/>
        <item x="504"/>
        <item x="170"/>
        <item x="406"/>
        <item x="110"/>
        <item x="433"/>
        <item x="16"/>
        <item x="407"/>
        <item x="60"/>
        <item x="747"/>
        <item x="517"/>
        <item x="553"/>
        <item x="630"/>
        <item x="229"/>
        <item x="626"/>
        <item x="137"/>
        <item x="426"/>
        <item x="557"/>
        <item x="119"/>
        <item x="391"/>
        <item x="590"/>
        <item x="498"/>
        <item x="17"/>
        <item x="766"/>
        <item x="403"/>
        <item x="197"/>
        <item x="324"/>
        <item x="84"/>
        <item x="698"/>
        <item x="739"/>
        <item x="676"/>
        <item x="225"/>
        <item x="559"/>
        <item x="605"/>
        <item x="670"/>
        <item x="546"/>
        <item x="198"/>
        <item x="356"/>
        <item x="746"/>
        <item x="400"/>
        <item x="259"/>
        <item x="680"/>
        <item x="531"/>
        <item x="385"/>
        <item x="211"/>
        <item x="488"/>
        <item x="566"/>
        <item x="666"/>
        <item x="508"/>
        <item x="644"/>
        <item x="325"/>
        <item x="661"/>
        <item x="507"/>
        <item x="521"/>
        <item x="483"/>
        <item x="281"/>
        <item x="469"/>
        <item x="47"/>
        <item x="431"/>
        <item x="201"/>
        <item x="353"/>
        <item x="292"/>
        <item x="334"/>
        <item x="414"/>
        <item x="156"/>
        <item x="94"/>
        <item x="762"/>
        <item x="172"/>
        <item x="9"/>
        <item x="253"/>
        <item x="577"/>
        <item x="148"/>
        <item x="284"/>
        <item x="511"/>
        <item x="322"/>
        <item x="199"/>
        <item x="251"/>
        <item x="550"/>
        <item x="516"/>
        <item x="563"/>
        <item x="161"/>
        <item x="44"/>
        <item x="200"/>
        <item x="436"/>
        <item x="27"/>
        <item x="11"/>
        <item x="122"/>
        <item x="91"/>
        <item x="617"/>
        <item x="163"/>
        <item x="441"/>
        <item x="181"/>
        <item x="18"/>
        <item x="337"/>
        <item x="495"/>
        <item x="618"/>
        <item x="375"/>
        <item x="515"/>
        <item x="351"/>
        <item x="453"/>
        <item x="221"/>
        <item x="461"/>
        <item x="534"/>
        <item x="247"/>
        <item x="312"/>
        <item x="445"/>
        <item x="192"/>
        <item x="529"/>
        <item x="662"/>
        <item x="26"/>
        <item x="195"/>
        <item x="548"/>
        <item x="360"/>
        <item x="564"/>
        <item x="741"/>
        <item x="301"/>
        <item x="634"/>
        <item x="522"/>
        <item x="768"/>
        <item x="178"/>
        <item x="45"/>
        <item x="177"/>
        <item x="452"/>
        <item x="358"/>
        <item x="189"/>
        <item x="235"/>
        <item x="652"/>
        <item x="736"/>
        <item x="751"/>
        <item x="527"/>
        <item x="591"/>
        <item x="440"/>
        <item x="186"/>
        <item x="204"/>
        <item x="283"/>
        <item x="717"/>
        <item x="73"/>
        <item x="75"/>
        <item x="675"/>
        <item x="40"/>
        <item x="678"/>
        <item x="146"/>
        <item x="33"/>
        <item x="609"/>
        <item x="81"/>
        <item x="141"/>
        <item x="92"/>
        <item x="262"/>
        <item x="616"/>
        <item x="238"/>
        <item x="82"/>
        <item x="361"/>
        <item x="623"/>
        <item x="271"/>
        <item x="668"/>
        <item x="39"/>
        <item x="606"/>
        <item x="29"/>
        <item x="474"/>
        <item x="598"/>
        <item x="535"/>
        <item x="21"/>
        <item x="399"/>
        <item x="719"/>
        <item x="674"/>
        <item x="7"/>
        <item x="79"/>
        <item x="402"/>
        <item x="174"/>
        <item x="653"/>
        <item x="96"/>
        <item x="196"/>
        <item x="484"/>
        <item x="130"/>
        <item x="55"/>
        <item x="236"/>
        <item x="69"/>
        <item x="744"/>
        <item x="109"/>
        <item x="380"/>
        <item x="572"/>
        <item x="370"/>
        <item x="408"/>
        <item x="437"/>
        <item x="255"/>
        <item x="233"/>
        <item x="86"/>
        <item x="142"/>
        <item x="138"/>
        <item x="742"/>
        <item x="659"/>
        <item x="343"/>
        <item x="332"/>
        <item x="179"/>
        <item x="490"/>
        <item x="304"/>
        <item x="558"/>
        <item x="266"/>
        <item x="510"/>
        <item x="316"/>
        <item x="327"/>
        <item x="631"/>
        <item x="120"/>
        <item x="162"/>
        <item x="149"/>
        <item x="571"/>
        <item x="336"/>
        <item x="341"/>
        <item x="270"/>
        <item x="398"/>
        <item x="699"/>
        <item x="721"/>
        <item x="386"/>
        <item x="603"/>
        <item x="331"/>
        <item x="231"/>
        <item x="595"/>
        <item x="429"/>
        <item x="208"/>
        <item x="722"/>
        <item x="379"/>
        <item x="415"/>
        <item x="613"/>
        <item x="373"/>
        <item x="350"/>
        <item x="607"/>
        <item x="374"/>
        <item x="583"/>
        <item x="695"/>
        <item x="333"/>
        <item x="330"/>
        <item x="523"/>
        <item x="239"/>
        <item x="6"/>
        <item x="544"/>
        <item x="53"/>
        <item x="264"/>
        <item x="688"/>
        <item x="339"/>
        <item x="455"/>
        <item x="425"/>
        <item x="593"/>
        <item x="100"/>
        <item x="65"/>
        <item x="105"/>
        <item x="770"/>
        <item x="720"/>
        <item x="278"/>
        <item x="673"/>
        <item x="520"/>
        <item x="392"/>
        <item x="700"/>
        <item x="30"/>
        <item x="128"/>
        <item x="300"/>
        <item x="180"/>
        <item x="491"/>
        <item x="640"/>
        <item x="524"/>
        <item x="144"/>
        <item x="124"/>
        <item x="599"/>
        <item x="63"/>
        <item x="417"/>
        <item x="311"/>
        <item x="657"/>
        <item x="237"/>
        <item x="288"/>
        <item x="158"/>
        <item x="168"/>
        <item x="475"/>
        <item x="87"/>
        <item x="383"/>
        <item x="592"/>
        <item x="85"/>
        <item x="19"/>
        <item x="428"/>
        <item x="220"/>
        <item x="532"/>
        <item x="355"/>
        <item x="740"/>
        <item x="712"/>
        <item x="492"/>
        <item x="649"/>
        <item x="693"/>
        <item x="368"/>
        <item x="556"/>
        <item x="506"/>
        <item x="597"/>
        <item x="107"/>
        <item x="404"/>
        <item x="547"/>
        <item x="628"/>
        <item x="54"/>
        <item x="261"/>
        <item x="275"/>
        <item x="171"/>
        <item x="115"/>
        <item x="500"/>
        <item x="718"/>
        <item x="757"/>
        <item x="289"/>
        <item x="397"/>
        <item x="241"/>
        <item x="145"/>
        <item x="213"/>
        <item x="108"/>
        <item x="173"/>
        <item x="307"/>
        <item x="228"/>
        <item x="420"/>
        <item x="359"/>
        <item x="319"/>
        <item x="272"/>
        <item x="51"/>
        <item x="734"/>
        <item x="277"/>
        <item x="97"/>
        <item x="480"/>
        <item x="707"/>
        <item x="282"/>
        <item x="252"/>
        <item x="218"/>
        <item x="465"/>
        <item x="276"/>
        <item x="62"/>
        <item x="665"/>
        <item x="401"/>
        <item x="701"/>
        <item x="589"/>
        <item x="451"/>
        <item x="632"/>
        <item x="575"/>
        <item x="134"/>
        <item x="274"/>
        <item x="372"/>
        <item x="477"/>
        <item x="752"/>
        <item x="499"/>
        <item x="329"/>
        <item x="447"/>
        <item x="190"/>
        <item x="314"/>
        <item x="416"/>
        <item x="761"/>
        <item x="90"/>
        <item x="268"/>
        <item x="164"/>
        <item x="244"/>
        <item x="494"/>
        <item x="390"/>
        <item x="214"/>
        <item x="340"/>
        <item x="758"/>
        <item x="738"/>
        <item x="648"/>
        <item x="696"/>
        <item x="449"/>
        <item x="23"/>
        <item x="338"/>
        <item x="298"/>
        <item x="681"/>
        <item x="52"/>
        <item x="20"/>
        <item x="306"/>
        <item x="28"/>
        <item x="74"/>
        <item x="463"/>
        <item x="573"/>
        <item x="579"/>
        <item x="59"/>
        <item x="459"/>
        <item x="727"/>
        <item x="715"/>
        <item x="203"/>
        <item x="42"/>
        <item x="660"/>
        <item x="8"/>
        <item x="625"/>
        <item x="88"/>
        <item x="538"/>
        <item x="267"/>
        <item x="769"/>
        <item x="93"/>
        <item x="647"/>
        <item x="716"/>
        <item x="555"/>
        <item x="24"/>
        <item x="285"/>
        <item x="207"/>
        <item x="600"/>
        <item x="580"/>
        <item x="637"/>
        <item x="31"/>
        <item x="419"/>
        <item x="46"/>
        <item x="533"/>
        <item x="694"/>
        <item x="139"/>
        <item x="711"/>
        <item x="153"/>
        <item x="382"/>
        <item x="112"/>
        <item x="121"/>
        <item x="185"/>
        <item x="155"/>
        <item x="273"/>
        <item x="502"/>
        <item x="291"/>
        <item x="753"/>
        <item x="117"/>
        <item x="116"/>
        <item x="633"/>
        <item x="485"/>
        <item x="131"/>
        <item x="584"/>
        <item x="671"/>
        <item x="651"/>
        <item x="328"/>
        <item x="604"/>
        <item x="56"/>
        <item x="232"/>
        <item x="713"/>
        <item x="135"/>
        <item x="104"/>
        <item x="165"/>
        <item x="308"/>
        <item x="585"/>
        <item x="655"/>
        <item x="481"/>
        <item x="61"/>
        <item x="98"/>
        <item x="396"/>
        <item x="114"/>
        <item x="730"/>
        <item x="376"/>
        <item x="249"/>
        <item x="410"/>
        <item x="25"/>
        <item x="154"/>
        <item x="581"/>
        <item x="369"/>
        <item x="427"/>
        <item x="0"/>
        <item x="411"/>
        <item x="457"/>
        <item x="505"/>
        <item x="132"/>
        <item x="735"/>
        <item x="430"/>
        <item x="5"/>
        <item x="166"/>
        <item x="725"/>
        <item x="654"/>
        <item x="77"/>
        <item x="111"/>
        <item x="323"/>
        <item x="127"/>
        <item x="35"/>
        <item x="205"/>
        <item x="243"/>
        <item x="95"/>
        <item x="224"/>
        <item x="509"/>
        <item t="default"/>
      </items>
    </pivotField>
    <pivotField showAll="0"/>
    <pivotField showAll="0"/>
    <pivotField showAll="0"/>
    <pivotField showAll="0"/>
    <pivotField showAll="0"/>
    <pivotField showAll="0">
      <items count="900">
        <item x="328"/>
        <item x="350"/>
        <item x="9"/>
        <item x="762"/>
        <item x="656"/>
        <item x="499"/>
        <item x="270"/>
        <item x="554"/>
        <item x="249"/>
        <item x="347"/>
        <item x="493"/>
        <item x="489"/>
        <item x="367"/>
        <item x="18"/>
        <item x="697"/>
        <item x="600"/>
        <item x="438"/>
        <item x="883"/>
        <item x="608"/>
        <item x="62"/>
        <item x="843"/>
        <item x="181"/>
        <item x="251"/>
        <item x="315"/>
        <item x="417"/>
        <item x="124"/>
        <item x="541"/>
        <item x="440"/>
        <item x="603"/>
        <item x="629"/>
        <item x="615"/>
        <item x="55"/>
        <item x="711"/>
        <item x="464"/>
        <item x="575"/>
        <item x="719"/>
        <item x="68"/>
        <item x="280"/>
        <item x="583"/>
        <item x="729"/>
        <item x="649"/>
        <item x="115"/>
        <item x="876"/>
        <item x="700"/>
        <item x="855"/>
        <item x="38"/>
        <item x="22"/>
        <item x="239"/>
        <item x="252"/>
        <item x="570"/>
        <item x="740"/>
        <item x="326"/>
        <item x="305"/>
        <item x="317"/>
        <item x="898"/>
        <item x="137"/>
        <item x="344"/>
        <item x="796"/>
        <item x="320"/>
        <item x="491"/>
        <item x="375"/>
        <item x="387"/>
        <item x="805"/>
        <item x="870"/>
        <item x="3"/>
        <item x="534"/>
        <item x="295"/>
        <item x="819"/>
        <item x="207"/>
        <item x="845"/>
        <item x="253"/>
        <item x="851"/>
        <item x="867"/>
        <item x="361"/>
        <item x="277"/>
        <item x="591"/>
        <item x="34"/>
        <item x="405"/>
        <item x="652"/>
        <item x="118"/>
        <item x="760"/>
        <item x="13"/>
        <item x="861"/>
        <item x="764"/>
        <item x="228"/>
        <item x="683"/>
        <item x="769"/>
        <item x="674"/>
        <item x="246"/>
        <item x="717"/>
        <item x="804"/>
        <item x="170"/>
        <item x="671"/>
        <item x="162"/>
        <item x="513"/>
        <item x="466"/>
        <item x="516"/>
        <item x="364"/>
        <item x="127"/>
        <item x="242"/>
        <item x="396"/>
        <item x="146"/>
        <item x="605"/>
        <item x="45"/>
        <item x="626"/>
        <item x="191"/>
        <item x="220"/>
        <item x="233"/>
        <item x="829"/>
        <item x="515"/>
        <item x="165"/>
        <item x="399"/>
        <item x="453"/>
        <item x="436"/>
        <item x="337"/>
        <item x="141"/>
        <item x="160"/>
        <item x="415"/>
        <item x="384"/>
        <item x="180"/>
        <item x="71"/>
        <item x="520"/>
        <item x="271"/>
        <item x="157"/>
        <item x="588"/>
        <item x="602"/>
        <item x="276"/>
        <item x="616"/>
        <item x="691"/>
        <item x="214"/>
        <item x="63"/>
        <item x="459"/>
        <item x="0"/>
        <item x="886"/>
        <item x="553"/>
        <item x="556"/>
        <item x="820"/>
        <item x="348"/>
        <item x="644"/>
        <item x="710"/>
        <item x="636"/>
        <item x="581"/>
        <item x="653"/>
        <item x="222"/>
        <item x="880"/>
        <item x="723"/>
        <item x="327"/>
        <item x="435"/>
        <item x="658"/>
        <item x="446"/>
        <item x="103"/>
        <item x="673"/>
        <item x="31"/>
        <item x="623"/>
        <item x="590"/>
        <item x="185"/>
        <item x="177"/>
        <item x="667"/>
        <item x="409"/>
        <item x="422"/>
        <item x="145"/>
        <item x="59"/>
        <item x="143"/>
        <item x="122"/>
        <item x="799"/>
        <item x="126"/>
        <item x="857"/>
        <item x="108"/>
        <item x="78"/>
        <item x="156"/>
        <item x="432"/>
        <item x="803"/>
        <item x="618"/>
        <item x="620"/>
        <item x="120"/>
        <item x="692"/>
        <item x="573"/>
        <item x="229"/>
        <item x="234"/>
        <item x="624"/>
        <item x="334"/>
        <item x="198"/>
        <item x="150"/>
        <item x="721"/>
        <item x="168"/>
        <item x="735"/>
        <item x="869"/>
        <item x="739"/>
        <item x="192"/>
        <item x="186"/>
        <item x="744"/>
        <item x="23"/>
        <item x="241"/>
        <item x="578"/>
        <item x="299"/>
        <item x="314"/>
        <item x="6"/>
        <item x="359"/>
        <item x="418"/>
        <item x="116"/>
        <item x="16"/>
        <item x="836"/>
        <item x="188"/>
        <item x="297"/>
        <item x="448"/>
        <item x="604"/>
        <item x="104"/>
        <item x="202"/>
        <item x="635"/>
        <item x="601"/>
        <item x="818"/>
        <item x="486"/>
        <item x="822"/>
        <item x="538"/>
        <item x="128"/>
        <item x="825"/>
        <item x="261"/>
        <item x="218"/>
        <item x="784"/>
        <item x="702"/>
        <item x="831"/>
        <item x="210"/>
        <item x="893"/>
        <item x="550"/>
        <item x="613"/>
        <item x="862"/>
        <item x="839"/>
        <item x="648"/>
        <item x="264"/>
        <item x="318"/>
        <item x="679"/>
        <item x="666"/>
        <item x="842"/>
        <item x="204"/>
        <item x="406"/>
        <item x="339"/>
        <item x="338"/>
        <item x="201"/>
        <item x="569"/>
        <item x="780"/>
        <item x="379"/>
        <item x="750"/>
        <item x="15"/>
        <item x="669"/>
        <item x="285"/>
        <item x="123"/>
        <item x="766"/>
        <item x="33"/>
        <item x="154"/>
        <item x="281"/>
        <item x="48"/>
        <item x="138"/>
        <item x="688"/>
        <item x="431"/>
        <item x="483"/>
        <item x="212"/>
        <item x="835"/>
        <item x="841"/>
        <item x="892"/>
        <item x="452"/>
        <item x="69"/>
        <item x="650"/>
        <item x="101"/>
        <item x="612"/>
        <item x="182"/>
        <item x="449"/>
        <item x="709"/>
        <item x="814"/>
        <item x="888"/>
        <item x="684"/>
        <item x="495"/>
        <item x="175"/>
        <item x="21"/>
        <item x="410"/>
        <item x="366"/>
        <item x="525"/>
        <item x="179"/>
        <item x="777"/>
        <item x="267"/>
        <item x="706"/>
        <item x="531"/>
        <item x="872"/>
        <item x="231"/>
        <item x="824"/>
        <item x="236"/>
        <item x="790"/>
        <item x="167"/>
        <item x="833"/>
        <item x="97"/>
        <item x="296"/>
        <item x="196"/>
        <item x="424"/>
        <item x="377"/>
        <item x="745"/>
        <item x="788"/>
        <item x="77"/>
        <item x="331"/>
        <item x="802"/>
        <item x="42"/>
        <item x="783"/>
        <item x="875"/>
        <item x="194"/>
        <item x="119"/>
        <item x="509"/>
        <item x="258"/>
        <item x="275"/>
        <item x="10"/>
        <item x="727"/>
        <item x="741"/>
        <item x="757"/>
        <item x="859"/>
        <item x="546"/>
        <item x="363"/>
        <item x="20"/>
        <item x="707"/>
        <item x="155"/>
        <item x="208"/>
        <item x="475"/>
        <item x="105"/>
        <item x="887"/>
        <item x="722"/>
        <item x="392"/>
        <item x="98"/>
        <item x="646"/>
        <item x="639"/>
        <item x="638"/>
        <item x="8"/>
        <item x="878"/>
        <item x="849"/>
        <item x="365"/>
        <item x="703"/>
        <item x="641"/>
        <item x="660"/>
        <item x="85"/>
        <item x="662"/>
        <item x="426"/>
        <item x="427"/>
        <item x="357"/>
        <item x="631"/>
        <item x="171"/>
        <item x="897"/>
        <item x="421"/>
        <item x="672"/>
        <item x="245"/>
        <item x="262"/>
        <item x="472"/>
        <item x="322"/>
        <item x="102"/>
        <item x="240"/>
        <item x="501"/>
        <item x="40"/>
        <item x="352"/>
        <item x="412"/>
        <item x="259"/>
        <item x="846"/>
        <item x="420"/>
        <item x="283"/>
        <item x="704"/>
        <item x="247"/>
        <item x="682"/>
        <item x="86"/>
        <item x="74"/>
        <item x="96"/>
        <item x="481"/>
        <item x="325"/>
        <item x="536"/>
        <item x="323"/>
        <item x="696"/>
        <item x="552"/>
        <item x="572"/>
        <item x="634"/>
        <item x="457"/>
        <item x="169"/>
        <item x="468"/>
        <item x="827"/>
        <item x="865"/>
        <item x="66"/>
        <item x="394"/>
        <item x="184"/>
        <item x="693"/>
        <item x="461"/>
        <item x="542"/>
        <item x="248"/>
        <item x="308"/>
        <item x="732"/>
        <item x="787"/>
        <item x="496"/>
        <item x="506"/>
        <item x="482"/>
        <item x="163"/>
        <item x="807"/>
        <item x="759"/>
        <item x="324"/>
        <item x="61"/>
        <item x="382"/>
        <item x="801"/>
        <item x="87"/>
        <item x="699"/>
        <item x="312"/>
        <item x="256"/>
        <item x="540"/>
        <item x="471"/>
        <item x="166"/>
        <item x="112"/>
        <item x="391"/>
        <item x="786"/>
        <item x="64"/>
        <item x="311"/>
        <item x="430"/>
        <item x="407"/>
        <item x="26"/>
        <item x="301"/>
        <item x="778"/>
        <item x="503"/>
        <item x="226"/>
        <item x="654"/>
        <item x="625"/>
        <item x="507"/>
        <item x="716"/>
        <item x="630"/>
        <item x="724"/>
        <item x="860"/>
        <item x="462"/>
        <item x="93"/>
        <item x="637"/>
        <item x="761"/>
        <item x="681"/>
        <item x="657"/>
        <item x="817"/>
        <item x="173"/>
        <item x="215"/>
        <item x="763"/>
        <item x="720"/>
        <item x="768"/>
        <item x="300"/>
        <item x="130"/>
        <item x="823"/>
        <item x="395"/>
        <item x="463"/>
        <item x="287"/>
        <item x="492"/>
        <item x="830"/>
        <item x="378"/>
        <item x="645"/>
        <item x="319"/>
        <item x="111"/>
        <item x="355"/>
        <item x="164"/>
        <item x="478"/>
        <item x="598"/>
        <item x="304"/>
        <item x="140"/>
        <item x="289"/>
        <item x="812"/>
        <item x="307"/>
        <item x="798"/>
        <item x="100"/>
        <item x="663"/>
        <item x="528"/>
        <item x="753"/>
        <item x="782"/>
        <item x="437"/>
        <item x="661"/>
        <item x="125"/>
        <item x="689"/>
        <item x="211"/>
        <item x="485"/>
        <item x="535"/>
        <item x="708"/>
        <item x="216"/>
        <item x="523"/>
        <item x="135"/>
        <item x="664"/>
        <item x="894"/>
        <item x="690"/>
        <item x="811"/>
        <item x="537"/>
        <item x="443"/>
        <item x="694"/>
        <item x="597"/>
        <item x="46"/>
        <item x="785"/>
        <item x="358"/>
        <item x="106"/>
        <item x="425"/>
        <item x="585"/>
        <item x="41"/>
        <item x="856"/>
        <item x="217"/>
        <item x="340"/>
        <item x="549"/>
        <item x="73"/>
        <item x="678"/>
        <item x="416"/>
        <item x="235"/>
        <item x="873"/>
        <item x="292"/>
        <item x="76"/>
        <item x="567"/>
        <item x="701"/>
        <item x="633"/>
        <item x="284"/>
        <item x="354"/>
        <item x="589"/>
        <item x="451"/>
        <item x="627"/>
        <item x="237"/>
        <item x="813"/>
        <item x="117"/>
        <item x="362"/>
        <item x="896"/>
        <item x="725"/>
        <item x="517"/>
        <item x="345"/>
        <item x="755"/>
        <item x="30"/>
        <item x="190"/>
        <item x="302"/>
        <item x="864"/>
        <item x="617"/>
        <item x="389"/>
        <item x="148"/>
        <item x="686"/>
        <item x="844"/>
        <item x="11"/>
        <item x="675"/>
        <item x="172"/>
        <item x="480"/>
        <item x="579"/>
        <item x="303"/>
        <item x="714"/>
        <item x="408"/>
        <item x="53"/>
        <item x="840"/>
        <item x="28"/>
        <item x="770"/>
        <item x="551"/>
        <item x="514"/>
        <item x="402"/>
        <item x="756"/>
        <item x="748"/>
        <item x="27"/>
        <item x="837"/>
        <item x="713"/>
        <item x="441"/>
        <item x="219"/>
        <item x="529"/>
        <item x="80"/>
        <item x="776"/>
        <item x="200"/>
        <item x="109"/>
        <item x="527"/>
        <item x="580"/>
        <item x="595"/>
        <item x="797"/>
        <item x="533"/>
        <item x="17"/>
        <item x="209"/>
        <item x="343"/>
        <item x="752"/>
        <item x="868"/>
        <item x="454"/>
        <item x="890"/>
        <item x="614"/>
        <item x="494"/>
        <item x="114"/>
        <item x="450"/>
        <item x="698"/>
        <item x="203"/>
        <item x="321"/>
        <item x="374"/>
        <item x="442"/>
        <item x="90"/>
        <item x="611"/>
        <item x="863"/>
        <item x="193"/>
        <item x="265"/>
        <item x="142"/>
        <item x="250"/>
        <item x="360"/>
        <item x="488"/>
        <item x="456"/>
        <item x="414"/>
        <item x="487"/>
        <item x="606"/>
        <item x="628"/>
        <item x="81"/>
        <item x="176"/>
        <item x="607"/>
        <item x="349"/>
        <item x="767"/>
        <item x="854"/>
        <item x="134"/>
        <item x="643"/>
        <item x="574"/>
        <item x="400"/>
        <item x="329"/>
        <item x="269"/>
        <item x="794"/>
        <item x="238"/>
        <item x="51"/>
        <item x="737"/>
        <item x="543"/>
        <item x="133"/>
        <item x="423"/>
        <item x="800"/>
        <item x="504"/>
        <item x="746"/>
        <item x="558"/>
        <item x="668"/>
        <item x="497"/>
        <item x="816"/>
        <item x="594"/>
        <item x="376"/>
        <item x="834"/>
        <item x="353"/>
        <item x="781"/>
        <item x="19"/>
        <item x="582"/>
        <item x="49"/>
        <item x="224"/>
        <item x="838"/>
        <item x="397"/>
        <item x="113"/>
        <item x="879"/>
        <item x="268"/>
        <item x="560"/>
        <item x="95"/>
        <item x="479"/>
        <item x="848"/>
        <item x="749"/>
        <item x="539"/>
        <item x="227"/>
        <item x="50"/>
        <item x="91"/>
        <item x="555"/>
        <item x="502"/>
        <item x="390"/>
        <item x="789"/>
        <item x="291"/>
        <item x="640"/>
        <item x="547"/>
        <item x="44"/>
        <item x="733"/>
        <item x="792"/>
        <item x="779"/>
        <item x="313"/>
        <item x="243"/>
        <item x="758"/>
        <item x="577"/>
        <item x="398"/>
        <item x="559"/>
        <item x="254"/>
        <item x="221"/>
        <item x="39"/>
        <item x="266"/>
        <item x="70"/>
        <item x="369"/>
        <item x="272"/>
        <item x="129"/>
        <item x="139"/>
        <item x="419"/>
        <item x="205"/>
        <item x="373"/>
        <item x="136"/>
        <item x="83"/>
        <item x="521"/>
        <item x="286"/>
        <item x="197"/>
        <item x="852"/>
        <item x="151"/>
        <item x="36"/>
        <item x="670"/>
        <item x="751"/>
        <item x="490"/>
        <item x="548"/>
        <item x="884"/>
        <item x="263"/>
        <item x="351"/>
        <item x="568"/>
        <item x="742"/>
        <item x="609"/>
        <item x="596"/>
        <item x="498"/>
        <item x="576"/>
        <item x="346"/>
        <item x="828"/>
        <item x="316"/>
        <item x="754"/>
        <item x="665"/>
        <item x="428"/>
        <item x="584"/>
        <item x="370"/>
        <item x="477"/>
        <item x="891"/>
        <item x="273"/>
        <item x="213"/>
        <item x="522"/>
        <item x="821"/>
        <item x="35"/>
        <item x="72"/>
        <item x="371"/>
        <item x="183"/>
        <item x="159"/>
        <item x="565"/>
        <item x="676"/>
        <item x="29"/>
        <item x="131"/>
        <item x="25"/>
        <item x="149"/>
        <item x="775"/>
        <item x="619"/>
        <item x="444"/>
        <item x="232"/>
        <item x="99"/>
        <item x="680"/>
        <item x="571"/>
        <item x="561"/>
        <item x="877"/>
        <item x="458"/>
        <item x="306"/>
        <item x="107"/>
        <item x="298"/>
        <item x="58"/>
        <item x="187"/>
        <item x="563"/>
        <item x="810"/>
        <item x="147"/>
        <item x="380"/>
        <item x="524"/>
        <item x="65"/>
        <item x="310"/>
        <item x="257"/>
        <item x="260"/>
        <item x="512"/>
        <item x="586"/>
        <item x="413"/>
        <item x="356"/>
        <item x="795"/>
        <item x="189"/>
        <item x="526"/>
        <item x="476"/>
        <item x="225"/>
        <item x="56"/>
        <item x="771"/>
        <item x="5"/>
        <item x="199"/>
        <item x="282"/>
        <item x="89"/>
        <item x="385"/>
        <item x="393"/>
        <item x="429"/>
        <item x="206"/>
        <item x="895"/>
        <item x="511"/>
        <item x="447"/>
        <item x="386"/>
        <item x="500"/>
        <item x="341"/>
        <item x="562"/>
        <item x="223"/>
        <item x="60"/>
        <item x="52"/>
        <item x="734"/>
        <item x="599"/>
        <item x="687"/>
        <item x="465"/>
        <item x="655"/>
        <item x="610"/>
        <item x="726"/>
        <item x="853"/>
        <item x="587"/>
        <item x="332"/>
        <item x="772"/>
        <item x="621"/>
        <item x="847"/>
        <item x="2"/>
        <item x="881"/>
        <item x="850"/>
        <item x="110"/>
        <item x="333"/>
        <item x="695"/>
        <item x="736"/>
        <item x="161"/>
        <item x="730"/>
        <item x="32"/>
        <item x="874"/>
        <item x="309"/>
        <item x="564"/>
        <item x="765"/>
        <item x="330"/>
        <item x="279"/>
        <item x="519"/>
        <item x="885"/>
        <item x="642"/>
        <item x="75"/>
        <item x="738"/>
        <item x="518"/>
        <item x="88"/>
        <item x="14"/>
        <item x="484"/>
        <item x="152"/>
        <item x="174"/>
        <item x="84"/>
        <item x="57"/>
        <item x="7"/>
        <item x="43"/>
        <item x="144"/>
        <item x="467"/>
        <item x="94"/>
        <item x="545"/>
        <item x="747"/>
        <item x="342"/>
        <item x="67"/>
        <item x="743"/>
        <item x="469"/>
        <item x="593"/>
        <item x="871"/>
        <item x="889"/>
        <item x="715"/>
        <item x="470"/>
        <item x="178"/>
        <item x="793"/>
        <item x="882"/>
        <item x="79"/>
        <item x="274"/>
        <item x="92"/>
        <item x="12"/>
        <item x="728"/>
        <item x="651"/>
        <item x="401"/>
        <item x="832"/>
        <item x="677"/>
        <item x="858"/>
        <item x="866"/>
        <item x="434"/>
        <item x="566"/>
        <item x="718"/>
        <item x="288"/>
        <item x="121"/>
        <item x="388"/>
        <item x="403"/>
        <item x="659"/>
        <item x="445"/>
        <item x="473"/>
        <item x="82"/>
        <item x="381"/>
        <item x="460"/>
        <item x="530"/>
        <item x="294"/>
        <item x="774"/>
        <item x="791"/>
        <item x="37"/>
        <item x="647"/>
        <item x="54"/>
        <item x="532"/>
        <item x="622"/>
        <item x="712"/>
        <item x="336"/>
        <item x="632"/>
        <item x="544"/>
        <item x="411"/>
        <item x="815"/>
        <item x="808"/>
        <item x="474"/>
        <item x="826"/>
        <item x="335"/>
        <item x="592"/>
        <item x="195"/>
        <item x="153"/>
        <item x="255"/>
        <item x="809"/>
        <item x="368"/>
        <item x="505"/>
        <item x="4"/>
        <item x="510"/>
        <item x="433"/>
        <item x="806"/>
        <item x="404"/>
        <item x="244"/>
        <item x="372"/>
        <item x="383"/>
        <item x="508"/>
        <item x="455"/>
        <item x="290"/>
        <item x="557"/>
        <item x="439"/>
        <item x="773"/>
        <item x="132"/>
        <item x="705"/>
        <item x="278"/>
        <item x="731"/>
        <item x="685"/>
        <item x="230"/>
        <item x="158"/>
        <item x="293"/>
        <item x="24"/>
        <item x="1"/>
        <item x="47"/>
        <item t="default"/>
      </items>
    </pivotField>
    <pivotField showAll="0"/>
    <pivotField axis="axisRow" showAll="0">
      <items count="3">
        <item x="0"/>
        <item x="1"/>
        <item t="default"/>
      </items>
    </pivotField>
    <pivotField numFmtId="14" showAll="0">
      <items count="539">
        <item x="208"/>
        <item x="481"/>
        <item x="408"/>
        <item x="444"/>
        <item x="372"/>
        <item x="312"/>
        <item x="345"/>
        <item x="414"/>
        <item x="10"/>
        <item x="354"/>
        <item x="393"/>
        <item x="169"/>
        <item x="15"/>
        <item x="424"/>
        <item x="185"/>
        <item x="246"/>
        <item x="515"/>
        <item x="324"/>
        <item x="48"/>
        <item x="41"/>
        <item x="74"/>
        <item x="303"/>
        <item x="142"/>
        <item x="40"/>
        <item x="370"/>
        <item x="138"/>
        <item x="406"/>
        <item x="33"/>
        <item x="75"/>
        <item x="80"/>
        <item x="134"/>
        <item x="91"/>
        <item x="177"/>
        <item x="462"/>
        <item x="211"/>
        <item x="535"/>
        <item x="81"/>
        <item x="467"/>
        <item x="301"/>
        <item x="334"/>
        <item x="273"/>
        <item x="150"/>
        <item x="236"/>
        <item x="488"/>
        <item x="39"/>
        <item x="357"/>
        <item x="276"/>
        <item x="29"/>
        <item x="326"/>
        <item x="229"/>
        <item x="361"/>
        <item x="421"/>
        <item x="296"/>
        <item x="197"/>
        <item x="21"/>
        <item x="329"/>
        <item x="459"/>
        <item x="517"/>
        <item x="493"/>
        <item x="146"/>
        <item x="7"/>
        <item x="78"/>
        <item x="182"/>
        <item x="44"/>
        <item x="234"/>
        <item x="162"/>
        <item x="482"/>
        <item x="94"/>
        <item x="448"/>
        <item x="179"/>
        <item x="386"/>
        <item x="101"/>
        <item x="307"/>
        <item x="124"/>
        <item x="55"/>
        <item x="209"/>
        <item x="213"/>
        <item x="69"/>
        <item x="260"/>
        <item x="522"/>
        <item x="222"/>
        <item x="447"/>
        <item x="106"/>
        <item x="315"/>
        <item x="437"/>
        <item x="306"/>
        <item x="13"/>
        <item x="272"/>
        <item x="247"/>
        <item x="223"/>
        <item x="379"/>
        <item x="18"/>
        <item x="225"/>
        <item x="207"/>
        <item x="85"/>
        <item x="135"/>
        <item x="131"/>
        <item x="79"/>
        <item x="528"/>
        <item x="325"/>
        <item x="58"/>
        <item x="476"/>
        <item x="520"/>
        <item x="281"/>
        <item x="71"/>
        <item x="255"/>
        <item x="165"/>
        <item x="353"/>
        <item x="90"/>
        <item x="261"/>
        <item x="422"/>
        <item x="232"/>
        <item x="72"/>
        <item x="298"/>
        <item x="70"/>
        <item x="491"/>
        <item x="277"/>
        <item x="469"/>
        <item x="45"/>
        <item x="151"/>
        <item x="262"/>
        <item x="140"/>
        <item x="356"/>
        <item x="322"/>
        <item x="268"/>
        <item x="4"/>
        <item x="288"/>
        <item x="235"/>
        <item x="475"/>
        <item x="292"/>
        <item x="499"/>
        <item x="110"/>
        <item x="505"/>
        <item x="519"/>
        <item x="375"/>
        <item x="320"/>
        <item x="456"/>
        <item x="280"/>
        <item x="12"/>
        <item x="32"/>
        <item x="26"/>
        <item x="205"/>
        <item x="460"/>
        <item x="290"/>
        <item x="453"/>
        <item x="397"/>
        <item x="1"/>
        <item x="143"/>
        <item x="188"/>
        <item x="494"/>
        <item x="231"/>
        <item x="314"/>
        <item x="339"/>
        <item x="526"/>
        <item x="378"/>
        <item x="160"/>
        <item x="293"/>
        <item x="458"/>
        <item x="309"/>
        <item x="284"/>
        <item x="504"/>
        <item x="219"/>
        <item x="175"/>
        <item x="282"/>
        <item x="279"/>
        <item x="411"/>
        <item x="212"/>
        <item x="6"/>
        <item x="366"/>
        <item x="364"/>
        <item x="53"/>
        <item x="115"/>
        <item x="230"/>
        <item x="500"/>
        <item x="286"/>
        <item x="365"/>
        <item x="176"/>
        <item x="451"/>
        <item x="495"/>
        <item x="98"/>
        <item x="65"/>
        <item x="341"/>
        <item x="204"/>
        <item x="103"/>
        <item x="155"/>
        <item x="537"/>
        <item x="518"/>
        <item x="242"/>
        <item x="492"/>
        <item x="291"/>
        <item x="409"/>
        <item x="170"/>
        <item x="506"/>
        <item x="30"/>
        <item x="123"/>
        <item x="508"/>
        <item x="258"/>
        <item x="510"/>
        <item x="166"/>
        <item x="226"/>
        <item x="141"/>
        <item x="474"/>
        <item x="289"/>
        <item x="163"/>
        <item x="136"/>
        <item x="319"/>
        <item x="367"/>
        <item x="119"/>
        <item x="455"/>
        <item x="63"/>
        <item x="171"/>
        <item x="266"/>
        <item x="523"/>
        <item x="425"/>
        <item x="452"/>
        <item x="120"/>
        <item x="210"/>
        <item x="250"/>
        <item x="147"/>
        <item x="436"/>
        <item x="156"/>
        <item x="202"/>
        <item x="77"/>
        <item x="86"/>
        <item x="355"/>
        <item x="294"/>
        <item x="318"/>
        <item x="267"/>
        <item x="465"/>
        <item x="157"/>
        <item x="84"/>
        <item x="36"/>
        <item x="502"/>
        <item x="19"/>
        <item x="358"/>
        <item x="348"/>
        <item x="412"/>
        <item x="190"/>
        <item x="265"/>
        <item x="418"/>
        <item x="189"/>
        <item x="297"/>
        <item x="371"/>
        <item x="14"/>
        <item x="527"/>
        <item x="512"/>
        <item x="390"/>
        <item x="479"/>
        <item x="64"/>
        <item x="304"/>
        <item x="149"/>
        <item x="218"/>
        <item x="400"/>
        <item x="338"/>
        <item x="82"/>
        <item x="333"/>
        <item x="426"/>
        <item x="198"/>
        <item x="164"/>
        <item x="54"/>
        <item x="88"/>
        <item x="239"/>
        <item x="388"/>
        <item x="159"/>
        <item x="404"/>
        <item x="497"/>
        <item x="112"/>
        <item x="381"/>
        <item x="516"/>
        <item x="532"/>
        <item x="34"/>
        <item x="454"/>
        <item x="316"/>
        <item x="68"/>
        <item x="251"/>
        <item x="377"/>
        <item x="435"/>
        <item x="344"/>
        <item x="328"/>
        <item x="433"/>
        <item x="415"/>
        <item x="214"/>
        <item x="259"/>
        <item x="137"/>
        <item x="191"/>
        <item x="105"/>
        <item x="161"/>
        <item x="67"/>
        <item x="118"/>
        <item x="343"/>
        <item x="299"/>
        <item x="271"/>
        <item x="427"/>
        <item x="43"/>
        <item x="51"/>
        <item x="441"/>
        <item x="241"/>
        <item x="95"/>
        <item x="383"/>
        <item x="117"/>
        <item x="509"/>
        <item x="310"/>
        <item x="363"/>
        <item x="245"/>
        <item x="224"/>
        <item x="321"/>
        <item x="195"/>
        <item x="398"/>
        <item x="373"/>
        <item x="186"/>
        <item x="243"/>
        <item x="240"/>
        <item x="62"/>
        <item x="485"/>
        <item x="331"/>
        <item x="507"/>
        <item x="449"/>
        <item x="158"/>
        <item x="220"/>
        <item x="470"/>
        <item x="107"/>
        <item x="439"/>
        <item x="127"/>
        <item x="238"/>
        <item x="369"/>
        <item x="99"/>
        <item x="16"/>
        <item x="308"/>
        <item x="380"/>
        <item x="295"/>
        <item x="432"/>
        <item x="395"/>
        <item x="278"/>
        <item x="359"/>
        <item x="531"/>
        <item x="405"/>
        <item x="173"/>
        <item x="269"/>
        <item x="340"/>
        <item x="335"/>
        <item x="60"/>
        <item x="529"/>
        <item x="129"/>
        <item x="89"/>
        <item x="429"/>
        <item x="233"/>
        <item x="385"/>
        <item x="152"/>
        <item x="217"/>
        <item x="468"/>
        <item x="203"/>
        <item x="249"/>
        <item x="323"/>
        <item x="192"/>
        <item x="287"/>
        <item x="533"/>
        <item x="130"/>
        <item x="346"/>
        <item x="478"/>
        <item x="97"/>
        <item x="483"/>
        <item x="360"/>
        <item x="23"/>
        <item x="285"/>
        <item x="256"/>
        <item x="254"/>
        <item x="196"/>
        <item x="52"/>
        <item x="116"/>
        <item x="20"/>
        <item x="263"/>
        <item x="28"/>
        <item x="174"/>
        <item x="178"/>
        <item x="450"/>
        <item x="133"/>
        <item x="73"/>
        <item x="300"/>
        <item x="2"/>
        <item x="438"/>
        <item x="442"/>
        <item x="302"/>
        <item x="59"/>
        <item x="413"/>
        <item x="394"/>
        <item x="368"/>
        <item x="17"/>
        <item x="534"/>
        <item x="49"/>
        <item x="50"/>
        <item x="391"/>
        <item x="332"/>
        <item x="184"/>
        <item x="180"/>
        <item x="42"/>
        <item x="22"/>
        <item x="8"/>
        <item x="503"/>
        <item x="466"/>
        <item x="87"/>
        <item x="215"/>
        <item x="275"/>
        <item x="83"/>
        <item x="403"/>
        <item x="536"/>
        <item x="92"/>
        <item x="477"/>
        <item x="514"/>
        <item x="430"/>
        <item x="420"/>
        <item x="253"/>
        <item x="38"/>
        <item x="24"/>
        <item x="200"/>
        <item x="104"/>
        <item x="248"/>
        <item x="187"/>
        <item x="121"/>
        <item x="167"/>
        <item x="416"/>
        <item x="201"/>
        <item x="374"/>
        <item x="472"/>
        <item x="31"/>
        <item x="498"/>
        <item x="431"/>
        <item x="342"/>
        <item x="9"/>
        <item x="46"/>
        <item x="419"/>
        <item x="392"/>
        <item x="407"/>
        <item x="489"/>
        <item x="132"/>
        <item x="313"/>
        <item x="511"/>
        <item x="139"/>
        <item x="66"/>
        <item x="317"/>
        <item x="382"/>
        <item x="193"/>
        <item x="109"/>
        <item x="37"/>
        <item x="487"/>
        <item x="168"/>
        <item x="423"/>
        <item x="145"/>
        <item x="181"/>
        <item x="440"/>
        <item x="237"/>
        <item x="352"/>
        <item x="396"/>
        <item x="252"/>
        <item x="330"/>
        <item x="530"/>
        <item x="114"/>
        <item x="113"/>
        <item x="227"/>
        <item x="471"/>
        <item x="387"/>
        <item x="496"/>
        <item x="417"/>
        <item x="172"/>
        <item x="125"/>
        <item x="389"/>
        <item x="445"/>
        <item x="490"/>
        <item x="362"/>
        <item x="434"/>
        <item x="486"/>
        <item x="480"/>
        <item x="401"/>
        <item x="57"/>
        <item x="457"/>
        <item x="56"/>
        <item x="206"/>
        <item x="3"/>
        <item x="513"/>
        <item x="128"/>
        <item x="102"/>
        <item x="464"/>
        <item x="194"/>
        <item x="153"/>
        <item x="264"/>
        <item x="257"/>
        <item x="446"/>
        <item x="461"/>
        <item x="463"/>
        <item x="384"/>
        <item x="61"/>
        <item x="100"/>
        <item x="410"/>
        <item x="228"/>
        <item x="96"/>
        <item x="327"/>
        <item x="111"/>
        <item x="524"/>
        <item x="311"/>
        <item x="221"/>
        <item x="244"/>
        <item x="25"/>
        <item x="144"/>
        <item x="443"/>
        <item x="351"/>
        <item x="376"/>
        <item x="305"/>
        <item x="347"/>
        <item x="0"/>
        <item x="336"/>
        <item x="428"/>
        <item x="27"/>
        <item x="337"/>
        <item x="399"/>
        <item x="126"/>
        <item x="525"/>
        <item x="501"/>
        <item x="349"/>
        <item x="5"/>
        <item x="154"/>
        <item x="484"/>
        <item x="47"/>
        <item x="270"/>
        <item x="521"/>
        <item x="183"/>
        <item x="76"/>
        <item x="350"/>
        <item x="108"/>
        <item x="473"/>
        <item x="274"/>
        <item x="122"/>
        <item x="35"/>
        <item x="148"/>
        <item x="216"/>
        <item x="11"/>
        <item x="93"/>
        <item x="283"/>
        <item x="199"/>
        <item x="402"/>
        <item t="default"/>
      </items>
    </pivotField>
    <pivotField showAll="0"/>
    <pivotField showAll="0"/>
    <pivotField showAll="0" sortType="descending">
      <items count="7">
        <item x="2"/>
        <item x="3"/>
        <item x="0"/>
        <item x="5"/>
        <item x="1"/>
        <item x="4"/>
        <item t="default"/>
      </items>
      <autoSortScope>
        <pivotArea dataOnly="0" outline="0" fieldPosition="0">
          <references count="1">
            <reference field="4294967294" count="1" selected="0">
              <x v="0"/>
            </reference>
          </references>
        </pivotArea>
      </autoSortScope>
    </pivotField>
    <pivotField showAll="0"/>
    <pivotField showAll="0">
      <items count="11">
        <item x="0"/>
        <item x="4"/>
        <item x="5"/>
        <item x="8"/>
        <item x="7"/>
        <item x="6"/>
        <item x="1"/>
        <item x="9"/>
        <item x="2"/>
        <item x="3"/>
        <item t="default"/>
      </items>
    </pivotField>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21"/>
    <field x="10"/>
  </rowFields>
  <rowItems count="7">
    <i>
      <x v="1"/>
    </i>
    <i r="1">
      <x/>
    </i>
    <i r="1">
      <x v="1"/>
    </i>
    <i>
      <x v="2"/>
    </i>
    <i r="1">
      <x/>
    </i>
    <i r="1">
      <x v="1"/>
    </i>
    <i t="grand">
      <x/>
    </i>
  </rowItems>
  <colFields count="1">
    <field x="-2"/>
  </colFields>
  <colItems count="2">
    <i>
      <x/>
    </i>
    <i i="1">
      <x v="1"/>
    </i>
  </colItems>
  <dataFields count="2">
    <dataField name="Sum of Sales_CLEAN" fld="17" baseField="0" baseItem="0"/>
    <dataField name="Sum of Profit_CLEAN" fld="18" baseField="0" baseItem="0"/>
  </dataFields>
  <formats count="5">
    <format dxfId="4">
      <pivotArea dataOnly="0" grandRow="1" fieldPosition="0"/>
    </format>
    <format dxfId="3">
      <pivotArea dataOnly="0" labelOnly="1" grandRow="1" outline="0" fieldPosition="0"/>
    </format>
    <format dxfId="2">
      <pivotArea field="21" grandRow="1" outline="0" collapsedLevelsAreSubtotals="1" axis="axisRow" fieldPosition="0">
        <references count="1">
          <reference field="4294967294" count="1" selected="0">
            <x v="0"/>
          </reference>
        </references>
      </pivotArea>
    </format>
    <format dxfId="1">
      <pivotArea field="21" grandRow="1" outline="0" collapsedLevelsAreSubtotals="1" axis="axisRow" fieldPosition="0">
        <references count="1">
          <reference field="4294967294" count="1" selected="0">
            <x v="1"/>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AD34A6-B9B4-4167-B35A-B5F144B55F2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3:G58" firstHeaderRow="1" firstDataRow="2" firstDataCol="1"/>
  <pivotFields count="22">
    <pivotField showAll="0"/>
    <pivotField showAll="0"/>
    <pivotField showAll="0">
      <items count="773">
        <item x="43"/>
        <item x="357"/>
        <item x="286"/>
        <item x="315"/>
        <item x="2"/>
        <item x="234"/>
        <item x="254"/>
        <item x="732"/>
        <item x="318"/>
        <item x="614"/>
        <item x="519"/>
        <item x="471"/>
        <item x="658"/>
        <item x="347"/>
        <item x="113"/>
        <item x="151"/>
        <item x="167"/>
        <item x="37"/>
        <item x="635"/>
        <item x="242"/>
        <item x="216"/>
        <item x="470"/>
        <item x="384"/>
        <item x="588"/>
        <item x="49"/>
        <item x="476"/>
        <item x="349"/>
        <item x="405"/>
        <item x="467"/>
        <item x="638"/>
        <item x="525"/>
        <item x="462"/>
        <item x="708"/>
        <item x="421"/>
        <item x="387"/>
        <item x="294"/>
        <item x="50"/>
        <item x="367"/>
        <item x="586"/>
        <item x="230"/>
        <item x="539"/>
        <item x="496"/>
        <item x="67"/>
        <item x="15"/>
        <item x="682"/>
        <item x="760"/>
        <item x="393"/>
        <item x="41"/>
        <item x="258"/>
        <item x="514"/>
        <item x="326"/>
        <item x="219"/>
        <item x="493"/>
        <item x="12"/>
        <item x="38"/>
        <item x="302"/>
        <item x="621"/>
        <item x="690"/>
        <item x="767"/>
        <item x="565"/>
        <item x="460"/>
        <item x="136"/>
        <item x="672"/>
        <item x="32"/>
        <item x="378"/>
        <item x="169"/>
        <item x="143"/>
        <item x="487"/>
        <item x="561"/>
        <item x="629"/>
        <item x="567"/>
        <item x="686"/>
        <item x="754"/>
        <item x="223"/>
        <item x="513"/>
        <item x="771"/>
        <item x="101"/>
        <item x="748"/>
        <item x="615"/>
        <item x="129"/>
        <item x="602"/>
        <item x="3"/>
        <item x="434"/>
        <item x="726"/>
        <item x="250"/>
        <item x="683"/>
        <item x="320"/>
        <item x="723"/>
        <item x="99"/>
        <item x="536"/>
        <item x="745"/>
        <item x="76"/>
        <item x="578"/>
        <item x="103"/>
        <item x="106"/>
        <item x="256"/>
        <item x="147"/>
        <item x="36"/>
        <item x="297"/>
        <item x="191"/>
        <item x="704"/>
        <item x="646"/>
        <item x="724"/>
        <item x="140"/>
        <item x="364"/>
        <item x="439"/>
        <item x="526"/>
        <item x="763"/>
        <item x="317"/>
        <item x="72"/>
        <item x="582"/>
        <item x="656"/>
        <item x="472"/>
        <item x="541"/>
        <item x="610"/>
        <item x="66"/>
        <item x="601"/>
        <item x="710"/>
        <item x="222"/>
        <item x="133"/>
        <item x="366"/>
        <item x="642"/>
        <item x="348"/>
        <item x="687"/>
        <item x="464"/>
        <item x="450"/>
        <item x="729"/>
        <item x="321"/>
        <item x="344"/>
        <item x="545"/>
        <item x="473"/>
        <item x="377"/>
        <item x="206"/>
        <item x="184"/>
        <item x="733"/>
        <item x="126"/>
        <item x="479"/>
        <item x="446"/>
        <item x="663"/>
        <item x="540"/>
        <item x="576"/>
        <item x="611"/>
        <item x="418"/>
        <item x="424"/>
        <item x="279"/>
        <item x="182"/>
        <item x="482"/>
        <item x="574"/>
        <item x="528"/>
        <item x="305"/>
        <item x="22"/>
        <item x="183"/>
        <item x="497"/>
        <item x="728"/>
        <item x="280"/>
        <item x="624"/>
        <item x="89"/>
        <item x="246"/>
        <item x="702"/>
        <item x="257"/>
        <item x="150"/>
        <item x="57"/>
        <item x="342"/>
        <item x="501"/>
        <item x="365"/>
        <item x="293"/>
        <item x="750"/>
        <item x="80"/>
        <item x="290"/>
        <item x="1"/>
        <item x="530"/>
        <item x="157"/>
        <item x="543"/>
        <item x="636"/>
        <item x="612"/>
        <item x="227"/>
        <item x="619"/>
        <item x="102"/>
        <item x="260"/>
        <item x="562"/>
        <item x="423"/>
        <item x="240"/>
        <item x="692"/>
        <item x="226"/>
        <item x="756"/>
        <item x="570"/>
        <item x="309"/>
        <item x="14"/>
        <item x="551"/>
        <item x="64"/>
        <item x="412"/>
        <item x="245"/>
        <item x="354"/>
        <item x="310"/>
        <item x="749"/>
        <item x="389"/>
        <item x="152"/>
        <item x="755"/>
        <item x="594"/>
        <item x="620"/>
        <item x="641"/>
        <item x="486"/>
        <item x="202"/>
        <item x="639"/>
        <item x="743"/>
        <item x="159"/>
        <item x="444"/>
        <item x="215"/>
        <item x="764"/>
        <item x="645"/>
        <item x="388"/>
        <item x="568"/>
        <item x="705"/>
        <item x="303"/>
        <item x="394"/>
        <item x="313"/>
        <item x="466"/>
        <item x="667"/>
        <item x="217"/>
        <item x="422"/>
        <item x="123"/>
        <item x="352"/>
        <item x="287"/>
        <item x="4"/>
        <item x="677"/>
        <item x="265"/>
        <item x="209"/>
        <item x="435"/>
        <item x="552"/>
        <item x="587"/>
        <item x="518"/>
        <item x="299"/>
        <item x="512"/>
        <item x="608"/>
        <item x="685"/>
        <item x="468"/>
        <item x="193"/>
        <item x="569"/>
        <item x="643"/>
        <item x="669"/>
        <item x="737"/>
        <item x="248"/>
        <item x="478"/>
        <item x="650"/>
        <item x="10"/>
        <item x="714"/>
        <item x="542"/>
        <item x="697"/>
        <item x="48"/>
        <item x="432"/>
        <item x="362"/>
        <item x="194"/>
        <item x="409"/>
        <item x="627"/>
        <item x="363"/>
        <item x="443"/>
        <item x="395"/>
        <item x="263"/>
        <item x="489"/>
        <item x="345"/>
        <item x="269"/>
        <item x="371"/>
        <item x="13"/>
        <item x="560"/>
        <item x="58"/>
        <item x="71"/>
        <item x="296"/>
        <item x="537"/>
        <item x="70"/>
        <item x="448"/>
        <item x="442"/>
        <item x="622"/>
        <item x="759"/>
        <item x="503"/>
        <item x="765"/>
        <item x="295"/>
        <item x="456"/>
        <item x="454"/>
        <item x="118"/>
        <item x="679"/>
        <item x="438"/>
        <item x="689"/>
        <item x="346"/>
        <item x="187"/>
        <item x="212"/>
        <item x="176"/>
        <item x="175"/>
        <item x="458"/>
        <item x="335"/>
        <item x="188"/>
        <item x="125"/>
        <item x="78"/>
        <item x="706"/>
        <item x="703"/>
        <item x="709"/>
        <item x="691"/>
        <item x="210"/>
        <item x="160"/>
        <item x="413"/>
        <item x="83"/>
        <item x="664"/>
        <item x="554"/>
        <item x="684"/>
        <item x="34"/>
        <item x="596"/>
        <item x="381"/>
        <item x="68"/>
        <item x="731"/>
        <item x="549"/>
        <item x="504"/>
        <item x="170"/>
        <item x="406"/>
        <item x="110"/>
        <item x="433"/>
        <item x="16"/>
        <item x="407"/>
        <item x="60"/>
        <item x="747"/>
        <item x="517"/>
        <item x="553"/>
        <item x="630"/>
        <item x="229"/>
        <item x="626"/>
        <item x="137"/>
        <item x="426"/>
        <item x="557"/>
        <item x="119"/>
        <item x="391"/>
        <item x="590"/>
        <item x="498"/>
        <item x="17"/>
        <item x="766"/>
        <item x="403"/>
        <item x="197"/>
        <item x="324"/>
        <item x="84"/>
        <item x="698"/>
        <item x="739"/>
        <item x="676"/>
        <item x="225"/>
        <item x="559"/>
        <item x="605"/>
        <item x="670"/>
        <item x="546"/>
        <item x="198"/>
        <item x="356"/>
        <item x="746"/>
        <item x="400"/>
        <item x="259"/>
        <item x="680"/>
        <item x="531"/>
        <item x="385"/>
        <item x="211"/>
        <item x="488"/>
        <item x="566"/>
        <item x="666"/>
        <item x="508"/>
        <item x="644"/>
        <item x="325"/>
        <item x="661"/>
        <item x="507"/>
        <item x="521"/>
        <item x="483"/>
        <item x="281"/>
        <item x="469"/>
        <item x="47"/>
        <item x="431"/>
        <item x="201"/>
        <item x="353"/>
        <item x="292"/>
        <item x="334"/>
        <item x="414"/>
        <item x="156"/>
        <item x="94"/>
        <item x="762"/>
        <item x="172"/>
        <item x="9"/>
        <item x="253"/>
        <item x="577"/>
        <item x="148"/>
        <item x="284"/>
        <item x="511"/>
        <item x="322"/>
        <item x="199"/>
        <item x="251"/>
        <item x="550"/>
        <item x="516"/>
        <item x="563"/>
        <item x="161"/>
        <item x="44"/>
        <item x="200"/>
        <item x="436"/>
        <item x="27"/>
        <item x="11"/>
        <item x="122"/>
        <item x="91"/>
        <item x="617"/>
        <item x="163"/>
        <item x="441"/>
        <item x="181"/>
        <item x="18"/>
        <item x="337"/>
        <item x="495"/>
        <item x="618"/>
        <item x="375"/>
        <item x="515"/>
        <item x="351"/>
        <item x="453"/>
        <item x="221"/>
        <item x="461"/>
        <item x="534"/>
        <item x="247"/>
        <item x="312"/>
        <item x="445"/>
        <item x="192"/>
        <item x="529"/>
        <item x="662"/>
        <item x="26"/>
        <item x="195"/>
        <item x="548"/>
        <item x="360"/>
        <item x="564"/>
        <item x="741"/>
        <item x="301"/>
        <item x="634"/>
        <item x="522"/>
        <item x="768"/>
        <item x="178"/>
        <item x="45"/>
        <item x="177"/>
        <item x="452"/>
        <item x="358"/>
        <item x="189"/>
        <item x="235"/>
        <item x="652"/>
        <item x="736"/>
        <item x="751"/>
        <item x="527"/>
        <item x="591"/>
        <item x="440"/>
        <item x="186"/>
        <item x="204"/>
        <item x="283"/>
        <item x="717"/>
        <item x="73"/>
        <item x="75"/>
        <item x="675"/>
        <item x="40"/>
        <item x="678"/>
        <item x="146"/>
        <item x="33"/>
        <item x="609"/>
        <item x="81"/>
        <item x="141"/>
        <item x="92"/>
        <item x="262"/>
        <item x="616"/>
        <item x="238"/>
        <item x="82"/>
        <item x="361"/>
        <item x="623"/>
        <item x="271"/>
        <item x="668"/>
        <item x="39"/>
        <item x="606"/>
        <item x="29"/>
        <item x="474"/>
        <item x="598"/>
        <item x="535"/>
        <item x="21"/>
        <item x="399"/>
        <item x="719"/>
        <item x="674"/>
        <item x="7"/>
        <item x="79"/>
        <item x="402"/>
        <item x="174"/>
        <item x="653"/>
        <item x="96"/>
        <item x="196"/>
        <item x="484"/>
        <item x="130"/>
        <item x="55"/>
        <item x="236"/>
        <item x="69"/>
        <item x="744"/>
        <item x="109"/>
        <item x="380"/>
        <item x="572"/>
        <item x="370"/>
        <item x="408"/>
        <item x="437"/>
        <item x="255"/>
        <item x="233"/>
        <item x="86"/>
        <item x="142"/>
        <item x="138"/>
        <item x="742"/>
        <item x="659"/>
        <item x="343"/>
        <item x="332"/>
        <item x="179"/>
        <item x="490"/>
        <item x="304"/>
        <item x="558"/>
        <item x="266"/>
        <item x="510"/>
        <item x="316"/>
        <item x="327"/>
        <item x="631"/>
        <item x="120"/>
        <item x="162"/>
        <item x="149"/>
        <item x="571"/>
        <item x="336"/>
        <item x="341"/>
        <item x="270"/>
        <item x="398"/>
        <item x="699"/>
        <item x="721"/>
        <item x="386"/>
        <item x="603"/>
        <item x="331"/>
        <item x="231"/>
        <item x="595"/>
        <item x="429"/>
        <item x="208"/>
        <item x="722"/>
        <item x="379"/>
        <item x="415"/>
        <item x="613"/>
        <item x="373"/>
        <item x="350"/>
        <item x="607"/>
        <item x="374"/>
        <item x="583"/>
        <item x="695"/>
        <item x="333"/>
        <item x="330"/>
        <item x="523"/>
        <item x="239"/>
        <item x="6"/>
        <item x="544"/>
        <item x="53"/>
        <item x="264"/>
        <item x="688"/>
        <item x="339"/>
        <item x="455"/>
        <item x="425"/>
        <item x="593"/>
        <item x="100"/>
        <item x="65"/>
        <item x="105"/>
        <item x="770"/>
        <item x="720"/>
        <item x="278"/>
        <item x="673"/>
        <item x="520"/>
        <item x="392"/>
        <item x="700"/>
        <item x="30"/>
        <item x="128"/>
        <item x="300"/>
        <item x="180"/>
        <item x="491"/>
        <item x="640"/>
        <item x="524"/>
        <item x="144"/>
        <item x="124"/>
        <item x="599"/>
        <item x="63"/>
        <item x="417"/>
        <item x="311"/>
        <item x="657"/>
        <item x="237"/>
        <item x="288"/>
        <item x="158"/>
        <item x="168"/>
        <item x="475"/>
        <item x="87"/>
        <item x="383"/>
        <item x="592"/>
        <item x="85"/>
        <item x="19"/>
        <item x="428"/>
        <item x="220"/>
        <item x="532"/>
        <item x="355"/>
        <item x="740"/>
        <item x="712"/>
        <item x="492"/>
        <item x="649"/>
        <item x="693"/>
        <item x="368"/>
        <item x="556"/>
        <item x="506"/>
        <item x="597"/>
        <item x="107"/>
        <item x="404"/>
        <item x="547"/>
        <item x="628"/>
        <item x="54"/>
        <item x="261"/>
        <item x="275"/>
        <item x="171"/>
        <item x="115"/>
        <item x="500"/>
        <item x="718"/>
        <item x="757"/>
        <item x="289"/>
        <item x="397"/>
        <item x="241"/>
        <item x="145"/>
        <item x="213"/>
        <item x="108"/>
        <item x="173"/>
        <item x="307"/>
        <item x="228"/>
        <item x="420"/>
        <item x="359"/>
        <item x="319"/>
        <item x="272"/>
        <item x="51"/>
        <item x="734"/>
        <item x="277"/>
        <item x="97"/>
        <item x="480"/>
        <item x="707"/>
        <item x="282"/>
        <item x="252"/>
        <item x="218"/>
        <item x="465"/>
        <item x="276"/>
        <item x="62"/>
        <item x="665"/>
        <item x="401"/>
        <item x="701"/>
        <item x="589"/>
        <item x="451"/>
        <item x="632"/>
        <item x="575"/>
        <item x="134"/>
        <item x="274"/>
        <item x="372"/>
        <item x="477"/>
        <item x="752"/>
        <item x="499"/>
        <item x="329"/>
        <item x="447"/>
        <item x="190"/>
        <item x="314"/>
        <item x="416"/>
        <item x="761"/>
        <item x="90"/>
        <item x="268"/>
        <item x="164"/>
        <item x="244"/>
        <item x="494"/>
        <item x="390"/>
        <item x="214"/>
        <item x="340"/>
        <item x="758"/>
        <item x="738"/>
        <item x="648"/>
        <item x="696"/>
        <item x="449"/>
        <item x="23"/>
        <item x="338"/>
        <item x="298"/>
        <item x="681"/>
        <item x="52"/>
        <item x="20"/>
        <item x="306"/>
        <item x="28"/>
        <item x="74"/>
        <item x="463"/>
        <item x="573"/>
        <item x="579"/>
        <item x="59"/>
        <item x="459"/>
        <item x="727"/>
        <item x="715"/>
        <item x="203"/>
        <item x="42"/>
        <item x="660"/>
        <item x="8"/>
        <item x="625"/>
        <item x="88"/>
        <item x="538"/>
        <item x="267"/>
        <item x="769"/>
        <item x="93"/>
        <item x="647"/>
        <item x="716"/>
        <item x="555"/>
        <item x="24"/>
        <item x="285"/>
        <item x="207"/>
        <item x="600"/>
        <item x="580"/>
        <item x="637"/>
        <item x="31"/>
        <item x="419"/>
        <item x="46"/>
        <item x="533"/>
        <item x="694"/>
        <item x="139"/>
        <item x="711"/>
        <item x="153"/>
        <item x="382"/>
        <item x="112"/>
        <item x="121"/>
        <item x="185"/>
        <item x="155"/>
        <item x="273"/>
        <item x="502"/>
        <item x="291"/>
        <item x="753"/>
        <item x="117"/>
        <item x="116"/>
        <item x="633"/>
        <item x="485"/>
        <item x="131"/>
        <item x="584"/>
        <item x="671"/>
        <item x="651"/>
        <item x="328"/>
        <item x="604"/>
        <item x="56"/>
        <item x="232"/>
        <item x="713"/>
        <item x="135"/>
        <item x="104"/>
        <item x="165"/>
        <item x="308"/>
        <item x="585"/>
        <item x="655"/>
        <item x="481"/>
        <item x="61"/>
        <item x="98"/>
        <item x="396"/>
        <item x="114"/>
        <item x="730"/>
        <item x="376"/>
        <item x="249"/>
        <item x="410"/>
        <item x="25"/>
        <item x="154"/>
        <item x="581"/>
        <item x="369"/>
        <item x="427"/>
        <item x="0"/>
        <item x="411"/>
        <item x="457"/>
        <item x="505"/>
        <item x="132"/>
        <item x="735"/>
        <item x="430"/>
        <item x="5"/>
        <item x="166"/>
        <item x="725"/>
        <item x="654"/>
        <item x="77"/>
        <item x="111"/>
        <item x="323"/>
        <item x="127"/>
        <item x="35"/>
        <item x="205"/>
        <item x="243"/>
        <item x="95"/>
        <item x="224"/>
        <item x="509"/>
        <item t="default"/>
      </items>
    </pivotField>
    <pivotField axis="axisCol" showAll="0">
      <items count="6">
        <item x="1"/>
        <item x="3"/>
        <item x="4"/>
        <item x="2"/>
        <item x="0"/>
        <item t="default"/>
      </items>
    </pivotField>
    <pivotField showAll="0"/>
    <pivotField showAll="0">
      <items count="70">
        <item x="41"/>
        <item x="11"/>
        <item x="45"/>
        <item x="60"/>
        <item x="56"/>
        <item x="20"/>
        <item x="17"/>
        <item x="35"/>
        <item x="16"/>
        <item x="42"/>
        <item x="43"/>
        <item x="66"/>
        <item x="39"/>
        <item x="31"/>
        <item x="47"/>
        <item x="51"/>
        <item x="2"/>
        <item x="65"/>
        <item x="28"/>
        <item x="50"/>
        <item x="32"/>
        <item x="29"/>
        <item x="40"/>
        <item x="62"/>
        <item x="59"/>
        <item x="3"/>
        <item x="8"/>
        <item x="15"/>
        <item x="53"/>
        <item x="36"/>
        <item x="25"/>
        <item x="21"/>
        <item x="46"/>
        <item x="24"/>
        <item x="22"/>
        <item x="26"/>
        <item x="52"/>
        <item x="9"/>
        <item x="44"/>
        <item x="55"/>
        <item x="38"/>
        <item x="14"/>
        <item x="5"/>
        <item x="7"/>
        <item x="33"/>
        <item x="49"/>
        <item x="4"/>
        <item x="13"/>
        <item x="0"/>
        <item x="63"/>
        <item x="61"/>
        <item x="58"/>
        <item x="6"/>
        <item x="18"/>
        <item x="64"/>
        <item x="37"/>
        <item x="12"/>
        <item x="54"/>
        <item x="19"/>
        <item x="67"/>
        <item x="27"/>
        <item x="23"/>
        <item x="34"/>
        <item x="57"/>
        <item x="68"/>
        <item x="48"/>
        <item x="30"/>
        <item x="10"/>
        <item x="1"/>
        <item t="default"/>
      </items>
    </pivotField>
    <pivotField showAll="0"/>
    <pivotField showAll="0"/>
    <pivotField showAll="0">
      <items count="900">
        <item x="328"/>
        <item x="350"/>
        <item x="9"/>
        <item x="762"/>
        <item x="656"/>
        <item x="499"/>
        <item x="270"/>
        <item x="554"/>
        <item x="249"/>
        <item x="347"/>
        <item x="493"/>
        <item x="489"/>
        <item x="367"/>
        <item x="18"/>
        <item x="697"/>
        <item x="600"/>
        <item x="438"/>
        <item x="883"/>
        <item x="608"/>
        <item x="62"/>
        <item x="843"/>
        <item x="181"/>
        <item x="251"/>
        <item x="315"/>
        <item x="417"/>
        <item x="124"/>
        <item x="541"/>
        <item x="440"/>
        <item x="603"/>
        <item x="629"/>
        <item x="615"/>
        <item x="55"/>
        <item x="711"/>
        <item x="464"/>
        <item x="575"/>
        <item x="719"/>
        <item x="68"/>
        <item x="280"/>
        <item x="583"/>
        <item x="729"/>
        <item x="649"/>
        <item x="115"/>
        <item x="876"/>
        <item x="700"/>
        <item x="855"/>
        <item x="38"/>
        <item x="22"/>
        <item x="239"/>
        <item x="252"/>
        <item x="570"/>
        <item x="740"/>
        <item x="326"/>
        <item x="305"/>
        <item x="317"/>
        <item x="898"/>
        <item x="137"/>
        <item x="344"/>
        <item x="796"/>
        <item x="320"/>
        <item x="491"/>
        <item x="375"/>
        <item x="387"/>
        <item x="805"/>
        <item x="870"/>
        <item x="3"/>
        <item x="534"/>
        <item x="295"/>
        <item x="819"/>
        <item x="207"/>
        <item x="845"/>
        <item x="253"/>
        <item x="851"/>
        <item x="867"/>
        <item x="361"/>
        <item x="277"/>
        <item x="591"/>
        <item x="34"/>
        <item x="405"/>
        <item x="652"/>
        <item x="118"/>
        <item x="760"/>
        <item x="13"/>
        <item x="861"/>
        <item x="764"/>
        <item x="228"/>
        <item x="683"/>
        <item x="769"/>
        <item x="674"/>
        <item x="246"/>
        <item x="717"/>
        <item x="804"/>
        <item x="170"/>
        <item x="671"/>
        <item x="162"/>
        <item x="513"/>
        <item x="466"/>
        <item x="516"/>
        <item x="364"/>
        <item x="127"/>
        <item x="242"/>
        <item x="396"/>
        <item x="146"/>
        <item x="605"/>
        <item x="45"/>
        <item x="626"/>
        <item x="191"/>
        <item x="220"/>
        <item x="233"/>
        <item x="829"/>
        <item x="515"/>
        <item x="165"/>
        <item x="399"/>
        <item x="453"/>
        <item x="436"/>
        <item x="337"/>
        <item x="141"/>
        <item x="160"/>
        <item x="415"/>
        <item x="384"/>
        <item x="180"/>
        <item x="71"/>
        <item x="520"/>
        <item x="271"/>
        <item x="157"/>
        <item x="588"/>
        <item x="602"/>
        <item x="276"/>
        <item x="616"/>
        <item x="691"/>
        <item x="214"/>
        <item x="63"/>
        <item x="459"/>
        <item x="0"/>
        <item x="886"/>
        <item x="553"/>
        <item x="556"/>
        <item x="820"/>
        <item x="348"/>
        <item x="644"/>
        <item x="710"/>
        <item x="636"/>
        <item x="581"/>
        <item x="653"/>
        <item x="222"/>
        <item x="880"/>
        <item x="723"/>
        <item x="327"/>
        <item x="435"/>
        <item x="658"/>
        <item x="446"/>
        <item x="103"/>
        <item x="673"/>
        <item x="31"/>
        <item x="623"/>
        <item x="590"/>
        <item x="185"/>
        <item x="177"/>
        <item x="667"/>
        <item x="409"/>
        <item x="422"/>
        <item x="145"/>
        <item x="59"/>
        <item x="143"/>
        <item x="122"/>
        <item x="799"/>
        <item x="126"/>
        <item x="857"/>
        <item x="108"/>
        <item x="78"/>
        <item x="156"/>
        <item x="432"/>
        <item x="803"/>
        <item x="618"/>
        <item x="620"/>
        <item x="120"/>
        <item x="692"/>
        <item x="573"/>
        <item x="229"/>
        <item x="234"/>
        <item x="624"/>
        <item x="334"/>
        <item x="198"/>
        <item x="150"/>
        <item x="721"/>
        <item x="168"/>
        <item x="735"/>
        <item x="869"/>
        <item x="739"/>
        <item x="192"/>
        <item x="186"/>
        <item x="744"/>
        <item x="23"/>
        <item x="241"/>
        <item x="578"/>
        <item x="299"/>
        <item x="314"/>
        <item x="6"/>
        <item x="359"/>
        <item x="418"/>
        <item x="116"/>
        <item x="16"/>
        <item x="836"/>
        <item x="188"/>
        <item x="297"/>
        <item x="448"/>
        <item x="604"/>
        <item x="104"/>
        <item x="202"/>
        <item x="635"/>
        <item x="601"/>
        <item x="818"/>
        <item x="486"/>
        <item x="822"/>
        <item x="538"/>
        <item x="128"/>
        <item x="825"/>
        <item x="261"/>
        <item x="218"/>
        <item x="784"/>
        <item x="702"/>
        <item x="831"/>
        <item x="210"/>
        <item x="893"/>
        <item x="550"/>
        <item x="613"/>
        <item x="862"/>
        <item x="839"/>
        <item x="648"/>
        <item x="264"/>
        <item x="318"/>
        <item x="679"/>
        <item x="666"/>
        <item x="842"/>
        <item x="204"/>
        <item x="406"/>
        <item x="339"/>
        <item x="338"/>
        <item x="201"/>
        <item x="569"/>
        <item x="780"/>
        <item x="379"/>
        <item x="750"/>
        <item x="15"/>
        <item x="669"/>
        <item x="285"/>
        <item x="123"/>
        <item x="766"/>
        <item x="33"/>
        <item x="154"/>
        <item x="281"/>
        <item x="48"/>
        <item x="138"/>
        <item x="688"/>
        <item x="431"/>
        <item x="483"/>
        <item x="212"/>
        <item x="835"/>
        <item x="841"/>
        <item x="892"/>
        <item x="452"/>
        <item x="69"/>
        <item x="650"/>
        <item x="101"/>
        <item x="612"/>
        <item x="182"/>
        <item x="449"/>
        <item x="709"/>
        <item x="814"/>
        <item x="888"/>
        <item x="684"/>
        <item x="495"/>
        <item x="175"/>
        <item x="21"/>
        <item x="410"/>
        <item x="366"/>
        <item x="525"/>
        <item x="179"/>
        <item x="777"/>
        <item x="267"/>
        <item x="706"/>
        <item x="531"/>
        <item x="872"/>
        <item x="231"/>
        <item x="824"/>
        <item x="236"/>
        <item x="790"/>
        <item x="167"/>
        <item x="833"/>
        <item x="97"/>
        <item x="296"/>
        <item x="196"/>
        <item x="424"/>
        <item x="377"/>
        <item x="745"/>
        <item x="788"/>
        <item x="77"/>
        <item x="331"/>
        <item x="802"/>
        <item x="42"/>
        <item x="783"/>
        <item x="875"/>
        <item x="194"/>
        <item x="119"/>
        <item x="509"/>
        <item x="258"/>
        <item x="275"/>
        <item x="10"/>
        <item x="727"/>
        <item x="741"/>
        <item x="757"/>
        <item x="859"/>
        <item x="546"/>
        <item x="363"/>
        <item x="20"/>
        <item x="707"/>
        <item x="155"/>
        <item x="208"/>
        <item x="475"/>
        <item x="105"/>
        <item x="887"/>
        <item x="722"/>
        <item x="392"/>
        <item x="98"/>
        <item x="646"/>
        <item x="639"/>
        <item x="638"/>
        <item x="8"/>
        <item x="878"/>
        <item x="849"/>
        <item x="365"/>
        <item x="703"/>
        <item x="641"/>
        <item x="660"/>
        <item x="85"/>
        <item x="662"/>
        <item x="426"/>
        <item x="427"/>
        <item x="357"/>
        <item x="631"/>
        <item x="171"/>
        <item x="897"/>
        <item x="421"/>
        <item x="672"/>
        <item x="245"/>
        <item x="262"/>
        <item x="472"/>
        <item x="322"/>
        <item x="102"/>
        <item x="240"/>
        <item x="501"/>
        <item x="40"/>
        <item x="352"/>
        <item x="412"/>
        <item x="259"/>
        <item x="846"/>
        <item x="420"/>
        <item x="283"/>
        <item x="704"/>
        <item x="247"/>
        <item x="682"/>
        <item x="86"/>
        <item x="74"/>
        <item x="96"/>
        <item x="481"/>
        <item x="325"/>
        <item x="536"/>
        <item x="323"/>
        <item x="696"/>
        <item x="552"/>
        <item x="572"/>
        <item x="634"/>
        <item x="457"/>
        <item x="169"/>
        <item x="468"/>
        <item x="827"/>
        <item x="865"/>
        <item x="66"/>
        <item x="394"/>
        <item x="184"/>
        <item x="693"/>
        <item x="461"/>
        <item x="542"/>
        <item x="248"/>
        <item x="308"/>
        <item x="732"/>
        <item x="787"/>
        <item x="496"/>
        <item x="506"/>
        <item x="482"/>
        <item x="163"/>
        <item x="807"/>
        <item x="759"/>
        <item x="324"/>
        <item x="61"/>
        <item x="382"/>
        <item x="801"/>
        <item x="87"/>
        <item x="699"/>
        <item x="312"/>
        <item x="256"/>
        <item x="540"/>
        <item x="471"/>
        <item x="166"/>
        <item x="112"/>
        <item x="391"/>
        <item x="786"/>
        <item x="64"/>
        <item x="311"/>
        <item x="430"/>
        <item x="407"/>
        <item x="26"/>
        <item x="301"/>
        <item x="778"/>
        <item x="503"/>
        <item x="226"/>
        <item x="654"/>
        <item x="625"/>
        <item x="507"/>
        <item x="716"/>
        <item x="630"/>
        <item x="724"/>
        <item x="860"/>
        <item x="462"/>
        <item x="93"/>
        <item x="637"/>
        <item x="761"/>
        <item x="681"/>
        <item x="657"/>
        <item x="817"/>
        <item x="173"/>
        <item x="215"/>
        <item x="763"/>
        <item x="720"/>
        <item x="768"/>
        <item x="300"/>
        <item x="130"/>
        <item x="823"/>
        <item x="395"/>
        <item x="463"/>
        <item x="287"/>
        <item x="492"/>
        <item x="830"/>
        <item x="378"/>
        <item x="645"/>
        <item x="319"/>
        <item x="111"/>
        <item x="355"/>
        <item x="164"/>
        <item x="478"/>
        <item x="598"/>
        <item x="304"/>
        <item x="140"/>
        <item x="289"/>
        <item x="812"/>
        <item x="307"/>
        <item x="798"/>
        <item x="100"/>
        <item x="663"/>
        <item x="528"/>
        <item x="753"/>
        <item x="782"/>
        <item x="437"/>
        <item x="661"/>
        <item x="125"/>
        <item x="689"/>
        <item x="211"/>
        <item x="485"/>
        <item x="535"/>
        <item x="708"/>
        <item x="216"/>
        <item x="523"/>
        <item x="135"/>
        <item x="664"/>
        <item x="894"/>
        <item x="690"/>
        <item x="811"/>
        <item x="537"/>
        <item x="443"/>
        <item x="694"/>
        <item x="597"/>
        <item x="46"/>
        <item x="785"/>
        <item x="358"/>
        <item x="106"/>
        <item x="425"/>
        <item x="585"/>
        <item x="41"/>
        <item x="856"/>
        <item x="217"/>
        <item x="340"/>
        <item x="549"/>
        <item x="73"/>
        <item x="678"/>
        <item x="416"/>
        <item x="235"/>
        <item x="873"/>
        <item x="292"/>
        <item x="76"/>
        <item x="567"/>
        <item x="701"/>
        <item x="633"/>
        <item x="284"/>
        <item x="354"/>
        <item x="589"/>
        <item x="451"/>
        <item x="627"/>
        <item x="237"/>
        <item x="813"/>
        <item x="117"/>
        <item x="362"/>
        <item x="896"/>
        <item x="725"/>
        <item x="517"/>
        <item x="345"/>
        <item x="755"/>
        <item x="30"/>
        <item x="190"/>
        <item x="302"/>
        <item x="864"/>
        <item x="617"/>
        <item x="389"/>
        <item x="148"/>
        <item x="686"/>
        <item x="844"/>
        <item x="11"/>
        <item x="675"/>
        <item x="172"/>
        <item x="480"/>
        <item x="579"/>
        <item x="303"/>
        <item x="714"/>
        <item x="408"/>
        <item x="53"/>
        <item x="840"/>
        <item x="28"/>
        <item x="770"/>
        <item x="551"/>
        <item x="514"/>
        <item x="402"/>
        <item x="756"/>
        <item x="748"/>
        <item x="27"/>
        <item x="837"/>
        <item x="713"/>
        <item x="441"/>
        <item x="219"/>
        <item x="529"/>
        <item x="80"/>
        <item x="776"/>
        <item x="200"/>
        <item x="109"/>
        <item x="527"/>
        <item x="580"/>
        <item x="595"/>
        <item x="797"/>
        <item x="533"/>
        <item x="17"/>
        <item x="209"/>
        <item x="343"/>
        <item x="752"/>
        <item x="868"/>
        <item x="454"/>
        <item x="890"/>
        <item x="614"/>
        <item x="494"/>
        <item x="114"/>
        <item x="450"/>
        <item x="698"/>
        <item x="203"/>
        <item x="321"/>
        <item x="374"/>
        <item x="442"/>
        <item x="90"/>
        <item x="611"/>
        <item x="863"/>
        <item x="193"/>
        <item x="265"/>
        <item x="142"/>
        <item x="250"/>
        <item x="360"/>
        <item x="488"/>
        <item x="456"/>
        <item x="414"/>
        <item x="487"/>
        <item x="606"/>
        <item x="628"/>
        <item x="81"/>
        <item x="176"/>
        <item x="607"/>
        <item x="349"/>
        <item x="767"/>
        <item x="854"/>
        <item x="134"/>
        <item x="643"/>
        <item x="574"/>
        <item x="400"/>
        <item x="329"/>
        <item x="269"/>
        <item x="794"/>
        <item x="238"/>
        <item x="51"/>
        <item x="737"/>
        <item x="543"/>
        <item x="133"/>
        <item x="423"/>
        <item x="800"/>
        <item x="504"/>
        <item x="746"/>
        <item x="558"/>
        <item x="668"/>
        <item x="497"/>
        <item x="816"/>
        <item x="594"/>
        <item x="376"/>
        <item x="834"/>
        <item x="353"/>
        <item x="781"/>
        <item x="19"/>
        <item x="582"/>
        <item x="49"/>
        <item x="224"/>
        <item x="838"/>
        <item x="397"/>
        <item x="113"/>
        <item x="879"/>
        <item x="268"/>
        <item x="560"/>
        <item x="95"/>
        <item x="479"/>
        <item x="848"/>
        <item x="749"/>
        <item x="539"/>
        <item x="227"/>
        <item x="50"/>
        <item x="91"/>
        <item x="555"/>
        <item x="502"/>
        <item x="390"/>
        <item x="789"/>
        <item x="291"/>
        <item x="640"/>
        <item x="547"/>
        <item x="44"/>
        <item x="733"/>
        <item x="792"/>
        <item x="779"/>
        <item x="313"/>
        <item x="243"/>
        <item x="758"/>
        <item x="577"/>
        <item x="398"/>
        <item x="559"/>
        <item x="254"/>
        <item x="221"/>
        <item x="39"/>
        <item x="266"/>
        <item x="70"/>
        <item x="369"/>
        <item x="272"/>
        <item x="129"/>
        <item x="139"/>
        <item x="419"/>
        <item x="205"/>
        <item x="373"/>
        <item x="136"/>
        <item x="83"/>
        <item x="521"/>
        <item x="286"/>
        <item x="197"/>
        <item x="852"/>
        <item x="151"/>
        <item x="36"/>
        <item x="670"/>
        <item x="751"/>
        <item x="490"/>
        <item x="548"/>
        <item x="884"/>
        <item x="263"/>
        <item x="351"/>
        <item x="568"/>
        <item x="742"/>
        <item x="609"/>
        <item x="596"/>
        <item x="498"/>
        <item x="576"/>
        <item x="346"/>
        <item x="828"/>
        <item x="316"/>
        <item x="754"/>
        <item x="665"/>
        <item x="428"/>
        <item x="584"/>
        <item x="370"/>
        <item x="477"/>
        <item x="891"/>
        <item x="273"/>
        <item x="213"/>
        <item x="522"/>
        <item x="821"/>
        <item x="35"/>
        <item x="72"/>
        <item x="371"/>
        <item x="183"/>
        <item x="159"/>
        <item x="565"/>
        <item x="676"/>
        <item x="29"/>
        <item x="131"/>
        <item x="25"/>
        <item x="149"/>
        <item x="775"/>
        <item x="619"/>
        <item x="444"/>
        <item x="232"/>
        <item x="99"/>
        <item x="680"/>
        <item x="571"/>
        <item x="561"/>
        <item x="877"/>
        <item x="458"/>
        <item x="306"/>
        <item x="107"/>
        <item x="298"/>
        <item x="58"/>
        <item x="187"/>
        <item x="563"/>
        <item x="810"/>
        <item x="147"/>
        <item x="380"/>
        <item x="524"/>
        <item x="65"/>
        <item x="310"/>
        <item x="257"/>
        <item x="260"/>
        <item x="512"/>
        <item x="586"/>
        <item x="413"/>
        <item x="356"/>
        <item x="795"/>
        <item x="189"/>
        <item x="526"/>
        <item x="476"/>
        <item x="225"/>
        <item x="56"/>
        <item x="771"/>
        <item x="5"/>
        <item x="199"/>
        <item x="282"/>
        <item x="89"/>
        <item x="385"/>
        <item x="393"/>
        <item x="429"/>
        <item x="206"/>
        <item x="895"/>
        <item x="511"/>
        <item x="447"/>
        <item x="386"/>
        <item x="500"/>
        <item x="341"/>
        <item x="562"/>
        <item x="223"/>
        <item x="60"/>
        <item x="52"/>
        <item x="734"/>
        <item x="599"/>
        <item x="687"/>
        <item x="465"/>
        <item x="655"/>
        <item x="610"/>
        <item x="726"/>
        <item x="853"/>
        <item x="587"/>
        <item x="332"/>
        <item x="772"/>
        <item x="621"/>
        <item x="847"/>
        <item x="2"/>
        <item x="881"/>
        <item x="850"/>
        <item x="110"/>
        <item x="333"/>
        <item x="695"/>
        <item x="736"/>
        <item x="161"/>
        <item x="730"/>
        <item x="32"/>
        <item x="874"/>
        <item x="309"/>
        <item x="564"/>
        <item x="765"/>
        <item x="330"/>
        <item x="279"/>
        <item x="519"/>
        <item x="885"/>
        <item x="642"/>
        <item x="75"/>
        <item x="738"/>
        <item x="518"/>
        <item x="88"/>
        <item x="14"/>
        <item x="484"/>
        <item x="152"/>
        <item x="174"/>
        <item x="84"/>
        <item x="57"/>
        <item x="7"/>
        <item x="43"/>
        <item x="144"/>
        <item x="467"/>
        <item x="94"/>
        <item x="545"/>
        <item x="747"/>
        <item x="342"/>
        <item x="67"/>
        <item x="743"/>
        <item x="469"/>
        <item x="593"/>
        <item x="871"/>
        <item x="889"/>
        <item x="715"/>
        <item x="470"/>
        <item x="178"/>
        <item x="793"/>
        <item x="882"/>
        <item x="79"/>
        <item x="274"/>
        <item x="92"/>
        <item x="12"/>
        <item x="728"/>
        <item x="651"/>
        <item x="401"/>
        <item x="832"/>
        <item x="677"/>
        <item x="858"/>
        <item x="866"/>
        <item x="434"/>
        <item x="566"/>
        <item x="718"/>
        <item x="288"/>
        <item x="121"/>
        <item x="388"/>
        <item x="403"/>
        <item x="659"/>
        <item x="445"/>
        <item x="473"/>
        <item x="82"/>
        <item x="381"/>
        <item x="460"/>
        <item x="530"/>
        <item x="294"/>
        <item x="774"/>
        <item x="791"/>
        <item x="37"/>
        <item x="647"/>
        <item x="54"/>
        <item x="532"/>
        <item x="622"/>
        <item x="712"/>
        <item x="336"/>
        <item x="632"/>
        <item x="544"/>
        <item x="411"/>
        <item x="815"/>
        <item x="808"/>
        <item x="474"/>
        <item x="826"/>
        <item x="335"/>
        <item x="592"/>
        <item x="195"/>
        <item x="153"/>
        <item x="255"/>
        <item x="809"/>
        <item x="368"/>
        <item x="505"/>
        <item x="4"/>
        <item x="510"/>
        <item x="433"/>
        <item x="806"/>
        <item x="404"/>
        <item x="244"/>
        <item x="372"/>
        <item x="383"/>
        <item x="508"/>
        <item x="455"/>
        <item x="290"/>
        <item x="557"/>
        <item x="439"/>
        <item x="773"/>
        <item x="132"/>
        <item x="705"/>
        <item x="278"/>
        <item x="731"/>
        <item x="685"/>
        <item x="230"/>
        <item x="158"/>
        <item x="293"/>
        <item x="24"/>
        <item x="1"/>
        <item x="47"/>
        <item t="default"/>
      </items>
    </pivotField>
    <pivotField showAll="0"/>
    <pivotField showAll="0"/>
    <pivotField numFmtId="14" showAll="0">
      <items count="539">
        <item x="208"/>
        <item x="481"/>
        <item x="408"/>
        <item x="444"/>
        <item x="372"/>
        <item x="312"/>
        <item x="345"/>
        <item x="414"/>
        <item x="10"/>
        <item x="354"/>
        <item x="393"/>
        <item x="169"/>
        <item x="15"/>
        <item x="424"/>
        <item x="185"/>
        <item x="246"/>
        <item x="515"/>
        <item x="324"/>
        <item x="48"/>
        <item x="41"/>
        <item x="74"/>
        <item x="303"/>
        <item x="142"/>
        <item x="40"/>
        <item x="370"/>
        <item x="138"/>
        <item x="406"/>
        <item x="33"/>
        <item x="75"/>
        <item x="80"/>
        <item x="134"/>
        <item x="91"/>
        <item x="177"/>
        <item x="462"/>
        <item x="211"/>
        <item x="535"/>
        <item x="81"/>
        <item x="467"/>
        <item x="301"/>
        <item x="334"/>
        <item x="273"/>
        <item x="150"/>
        <item x="236"/>
        <item x="488"/>
        <item x="39"/>
        <item x="357"/>
        <item x="276"/>
        <item x="29"/>
        <item x="326"/>
        <item x="229"/>
        <item x="361"/>
        <item x="421"/>
        <item x="296"/>
        <item x="197"/>
        <item x="21"/>
        <item x="329"/>
        <item x="459"/>
        <item x="517"/>
        <item x="493"/>
        <item x="146"/>
        <item x="7"/>
        <item x="78"/>
        <item x="182"/>
        <item x="44"/>
        <item x="234"/>
        <item x="162"/>
        <item x="482"/>
        <item x="94"/>
        <item x="448"/>
        <item x="179"/>
        <item x="386"/>
        <item x="101"/>
        <item x="307"/>
        <item x="124"/>
        <item x="55"/>
        <item x="209"/>
        <item x="213"/>
        <item x="69"/>
        <item x="260"/>
        <item x="522"/>
        <item x="222"/>
        <item x="447"/>
        <item x="106"/>
        <item x="315"/>
        <item x="437"/>
        <item x="306"/>
        <item x="13"/>
        <item x="272"/>
        <item x="247"/>
        <item x="223"/>
        <item x="379"/>
        <item x="18"/>
        <item x="225"/>
        <item x="207"/>
        <item x="85"/>
        <item x="135"/>
        <item x="131"/>
        <item x="79"/>
        <item x="528"/>
        <item x="325"/>
        <item x="58"/>
        <item x="476"/>
        <item x="520"/>
        <item x="281"/>
        <item x="71"/>
        <item x="255"/>
        <item x="165"/>
        <item x="353"/>
        <item x="90"/>
        <item x="261"/>
        <item x="422"/>
        <item x="232"/>
        <item x="72"/>
        <item x="298"/>
        <item x="70"/>
        <item x="491"/>
        <item x="277"/>
        <item x="469"/>
        <item x="45"/>
        <item x="151"/>
        <item x="262"/>
        <item x="140"/>
        <item x="356"/>
        <item x="322"/>
        <item x="268"/>
        <item x="4"/>
        <item x="288"/>
        <item x="235"/>
        <item x="475"/>
        <item x="292"/>
        <item x="499"/>
        <item x="110"/>
        <item x="505"/>
        <item x="519"/>
        <item x="375"/>
        <item x="320"/>
        <item x="456"/>
        <item x="280"/>
        <item x="12"/>
        <item x="32"/>
        <item x="26"/>
        <item x="205"/>
        <item x="460"/>
        <item x="290"/>
        <item x="453"/>
        <item x="397"/>
        <item x="1"/>
        <item x="143"/>
        <item x="188"/>
        <item x="494"/>
        <item x="231"/>
        <item x="314"/>
        <item x="339"/>
        <item x="526"/>
        <item x="378"/>
        <item x="160"/>
        <item x="293"/>
        <item x="458"/>
        <item x="309"/>
        <item x="284"/>
        <item x="504"/>
        <item x="219"/>
        <item x="175"/>
        <item x="282"/>
        <item x="279"/>
        <item x="411"/>
        <item x="212"/>
        <item x="6"/>
        <item x="366"/>
        <item x="364"/>
        <item x="53"/>
        <item x="115"/>
        <item x="230"/>
        <item x="500"/>
        <item x="286"/>
        <item x="365"/>
        <item x="176"/>
        <item x="451"/>
        <item x="495"/>
        <item x="98"/>
        <item x="65"/>
        <item x="341"/>
        <item x="204"/>
        <item x="103"/>
        <item x="155"/>
        <item x="537"/>
        <item x="518"/>
        <item x="242"/>
        <item x="492"/>
        <item x="291"/>
        <item x="409"/>
        <item x="170"/>
        <item x="506"/>
        <item x="30"/>
        <item x="123"/>
        <item x="508"/>
        <item x="258"/>
        <item x="510"/>
        <item x="166"/>
        <item x="226"/>
        <item x="141"/>
        <item x="474"/>
        <item x="289"/>
        <item x="163"/>
        <item x="136"/>
        <item x="319"/>
        <item x="367"/>
        <item x="119"/>
        <item x="455"/>
        <item x="63"/>
        <item x="171"/>
        <item x="266"/>
        <item x="523"/>
        <item x="425"/>
        <item x="452"/>
        <item x="120"/>
        <item x="210"/>
        <item x="250"/>
        <item x="147"/>
        <item x="436"/>
        <item x="156"/>
        <item x="202"/>
        <item x="77"/>
        <item x="86"/>
        <item x="355"/>
        <item x="294"/>
        <item x="318"/>
        <item x="267"/>
        <item x="465"/>
        <item x="157"/>
        <item x="84"/>
        <item x="36"/>
        <item x="502"/>
        <item x="19"/>
        <item x="358"/>
        <item x="348"/>
        <item x="412"/>
        <item x="190"/>
        <item x="265"/>
        <item x="418"/>
        <item x="189"/>
        <item x="297"/>
        <item x="371"/>
        <item x="14"/>
        <item x="527"/>
        <item x="512"/>
        <item x="390"/>
        <item x="479"/>
        <item x="64"/>
        <item x="304"/>
        <item x="149"/>
        <item x="218"/>
        <item x="400"/>
        <item x="338"/>
        <item x="82"/>
        <item x="333"/>
        <item x="426"/>
        <item x="198"/>
        <item x="164"/>
        <item x="54"/>
        <item x="88"/>
        <item x="239"/>
        <item x="388"/>
        <item x="159"/>
        <item x="404"/>
        <item x="497"/>
        <item x="112"/>
        <item x="381"/>
        <item x="516"/>
        <item x="532"/>
        <item x="34"/>
        <item x="454"/>
        <item x="316"/>
        <item x="68"/>
        <item x="251"/>
        <item x="377"/>
        <item x="435"/>
        <item x="344"/>
        <item x="328"/>
        <item x="433"/>
        <item x="415"/>
        <item x="214"/>
        <item x="259"/>
        <item x="137"/>
        <item x="191"/>
        <item x="105"/>
        <item x="161"/>
        <item x="67"/>
        <item x="118"/>
        <item x="343"/>
        <item x="299"/>
        <item x="271"/>
        <item x="427"/>
        <item x="43"/>
        <item x="51"/>
        <item x="441"/>
        <item x="241"/>
        <item x="95"/>
        <item x="383"/>
        <item x="117"/>
        <item x="509"/>
        <item x="310"/>
        <item x="363"/>
        <item x="245"/>
        <item x="224"/>
        <item x="321"/>
        <item x="195"/>
        <item x="398"/>
        <item x="373"/>
        <item x="186"/>
        <item x="243"/>
        <item x="240"/>
        <item x="62"/>
        <item x="485"/>
        <item x="331"/>
        <item x="507"/>
        <item x="449"/>
        <item x="158"/>
        <item x="220"/>
        <item x="470"/>
        <item x="107"/>
        <item x="439"/>
        <item x="127"/>
        <item x="238"/>
        <item x="369"/>
        <item x="99"/>
        <item x="16"/>
        <item x="308"/>
        <item x="380"/>
        <item x="295"/>
        <item x="432"/>
        <item x="395"/>
        <item x="278"/>
        <item x="359"/>
        <item x="531"/>
        <item x="405"/>
        <item x="173"/>
        <item x="269"/>
        <item x="340"/>
        <item x="335"/>
        <item x="60"/>
        <item x="529"/>
        <item x="129"/>
        <item x="89"/>
        <item x="429"/>
        <item x="233"/>
        <item x="385"/>
        <item x="152"/>
        <item x="217"/>
        <item x="468"/>
        <item x="203"/>
        <item x="249"/>
        <item x="323"/>
        <item x="192"/>
        <item x="287"/>
        <item x="533"/>
        <item x="130"/>
        <item x="346"/>
        <item x="478"/>
        <item x="97"/>
        <item x="483"/>
        <item x="360"/>
        <item x="23"/>
        <item x="285"/>
        <item x="256"/>
        <item x="254"/>
        <item x="196"/>
        <item x="52"/>
        <item x="116"/>
        <item x="20"/>
        <item x="263"/>
        <item x="28"/>
        <item x="174"/>
        <item x="178"/>
        <item x="450"/>
        <item x="133"/>
        <item x="73"/>
        <item x="300"/>
        <item x="2"/>
        <item x="438"/>
        <item x="442"/>
        <item x="302"/>
        <item x="59"/>
        <item x="413"/>
        <item x="394"/>
        <item x="368"/>
        <item x="17"/>
        <item x="534"/>
        <item x="49"/>
        <item x="50"/>
        <item x="391"/>
        <item x="332"/>
        <item x="184"/>
        <item x="180"/>
        <item x="42"/>
        <item x="22"/>
        <item x="8"/>
        <item x="503"/>
        <item x="466"/>
        <item x="87"/>
        <item x="215"/>
        <item x="275"/>
        <item x="83"/>
        <item x="403"/>
        <item x="536"/>
        <item x="92"/>
        <item x="477"/>
        <item x="514"/>
        <item x="430"/>
        <item x="420"/>
        <item x="253"/>
        <item x="38"/>
        <item x="24"/>
        <item x="200"/>
        <item x="104"/>
        <item x="248"/>
        <item x="187"/>
        <item x="121"/>
        <item x="167"/>
        <item x="416"/>
        <item x="201"/>
        <item x="374"/>
        <item x="472"/>
        <item x="31"/>
        <item x="498"/>
        <item x="431"/>
        <item x="342"/>
        <item x="9"/>
        <item x="46"/>
        <item x="419"/>
        <item x="392"/>
        <item x="407"/>
        <item x="489"/>
        <item x="132"/>
        <item x="313"/>
        <item x="511"/>
        <item x="139"/>
        <item x="66"/>
        <item x="317"/>
        <item x="382"/>
        <item x="193"/>
        <item x="109"/>
        <item x="37"/>
        <item x="487"/>
        <item x="168"/>
        <item x="423"/>
        <item x="145"/>
        <item x="181"/>
        <item x="440"/>
        <item x="237"/>
        <item x="352"/>
        <item x="396"/>
        <item x="252"/>
        <item x="330"/>
        <item x="530"/>
        <item x="114"/>
        <item x="113"/>
        <item x="227"/>
        <item x="471"/>
        <item x="387"/>
        <item x="496"/>
        <item x="417"/>
        <item x="172"/>
        <item x="125"/>
        <item x="389"/>
        <item x="445"/>
        <item x="490"/>
        <item x="362"/>
        <item x="434"/>
        <item x="486"/>
        <item x="480"/>
        <item x="401"/>
        <item x="57"/>
        <item x="457"/>
        <item x="56"/>
        <item x="206"/>
        <item x="3"/>
        <item x="513"/>
        <item x="128"/>
        <item x="102"/>
        <item x="464"/>
        <item x="194"/>
        <item x="153"/>
        <item x="264"/>
        <item x="257"/>
        <item x="446"/>
        <item x="461"/>
        <item x="463"/>
        <item x="384"/>
        <item x="61"/>
        <item x="100"/>
        <item x="410"/>
        <item x="228"/>
        <item x="96"/>
        <item x="327"/>
        <item x="111"/>
        <item x="524"/>
        <item x="311"/>
        <item x="221"/>
        <item x="244"/>
        <item x="25"/>
        <item x="144"/>
        <item x="443"/>
        <item x="351"/>
        <item x="376"/>
        <item x="305"/>
        <item x="347"/>
        <item x="0"/>
        <item x="336"/>
        <item x="428"/>
        <item x="27"/>
        <item x="337"/>
        <item x="399"/>
        <item x="126"/>
        <item x="525"/>
        <item x="501"/>
        <item x="349"/>
        <item x="5"/>
        <item x="154"/>
        <item x="484"/>
        <item x="47"/>
        <item x="270"/>
        <item x="521"/>
        <item x="183"/>
        <item x="76"/>
        <item x="350"/>
        <item x="108"/>
        <item x="473"/>
        <item x="274"/>
        <item x="122"/>
        <item x="35"/>
        <item x="148"/>
        <item x="216"/>
        <item x="11"/>
        <item x="93"/>
        <item x="283"/>
        <item x="199"/>
        <item x="402"/>
        <item t="default"/>
      </items>
    </pivotField>
    <pivotField showAll="0"/>
    <pivotField axis="axisRow" showAll="0" measureFilter="1" sortType="descending">
      <items count="65">
        <item x="40"/>
        <item x="11"/>
        <item x="44"/>
        <item x="57"/>
        <item x="54"/>
        <item x="20"/>
        <item x="17"/>
        <item x="10"/>
        <item x="16"/>
        <item x="41"/>
        <item x="42"/>
        <item x="62"/>
        <item x="38"/>
        <item x="31"/>
        <item x="46"/>
        <item x="49"/>
        <item x="2"/>
        <item x="30"/>
        <item x="28"/>
        <item x="48"/>
        <item x="32"/>
        <item x="29"/>
        <item x="39"/>
        <item x="59"/>
        <item x="56"/>
        <item x="3"/>
        <item x="8"/>
        <item x="15"/>
        <item x="51"/>
        <item x="35"/>
        <item x="25"/>
        <item x="21"/>
        <item x="45"/>
        <item x="24"/>
        <item x="22"/>
        <item x="26"/>
        <item x="50"/>
        <item x="9"/>
        <item x="43"/>
        <item x="53"/>
        <item x="37"/>
        <item x="14"/>
        <item x="5"/>
        <item x="7"/>
        <item x="33"/>
        <item x="47"/>
        <item x="4"/>
        <item x="13"/>
        <item x="0"/>
        <item x="60"/>
        <item x="58"/>
        <item x="55"/>
        <item x="6"/>
        <item x="18"/>
        <item x="61"/>
        <item x="36"/>
        <item x="12"/>
        <item x="52"/>
        <item x="19"/>
        <item x="63"/>
        <item x="27"/>
        <item x="23"/>
        <item x="34"/>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0"/>
        <item x="4"/>
        <item x="5"/>
        <item x="8"/>
        <item x="7"/>
        <item x="6"/>
        <item x="1"/>
        <item x="9"/>
        <item x="2"/>
        <item x="3"/>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4">
    <i>
      <x v="53"/>
    </i>
    <i>
      <x v="63"/>
    </i>
    <i>
      <x v="25"/>
    </i>
    <i t="grand">
      <x/>
    </i>
  </rowItems>
  <colFields count="1">
    <field x="3"/>
  </colFields>
  <colItems count="6">
    <i>
      <x/>
    </i>
    <i>
      <x v="1"/>
    </i>
    <i>
      <x v="2"/>
    </i>
    <i>
      <x v="3"/>
    </i>
    <i>
      <x v="4"/>
    </i>
    <i t="grand">
      <x/>
    </i>
  </colItems>
  <dataFields count="1">
    <dataField name="Sum of Sales_CLEAN" fld="17" baseField="0" baseItem="0"/>
  </dataFields>
  <formats count="2">
    <format dxfId="6">
      <pivotArea dataOnly="0" grandRow="1" fieldPosition="0"/>
    </format>
    <format dxfId="5">
      <pivotArea dataOnly="0" labelOnly="1" grandRow="1" outline="0" fieldPosition="0"/>
    </format>
  </formats>
  <chartFormats count="5">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5" format="2" series="1">
      <pivotArea type="data" outline="0" fieldPosition="0">
        <references count="2">
          <reference field="4294967294" count="1" selected="0">
            <x v="0"/>
          </reference>
          <reference field="3" count="1" selected="0">
            <x v="2"/>
          </reference>
        </references>
      </pivotArea>
    </chartFormat>
    <chartFormat chart="5" format="3" series="1">
      <pivotArea type="data" outline="0" fieldPosition="0">
        <references count="2">
          <reference field="4294967294" count="1" selected="0">
            <x v="0"/>
          </reference>
          <reference field="3" count="1" selected="0">
            <x v="3"/>
          </reference>
        </references>
      </pivotArea>
    </chartFormat>
    <chartFormat chart="5"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filters count="1">
    <filter fld="1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330AFE-63B7-4195-8CC2-65B5DE0A5A8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2" firstHeaderRow="1" firstDataRow="1" firstDataCol="1"/>
  <pivotFields count="22">
    <pivotField showAll="0"/>
    <pivotField showAll="0"/>
    <pivotField showAll="0">
      <items count="773">
        <item x="43"/>
        <item x="357"/>
        <item x="286"/>
        <item x="315"/>
        <item x="2"/>
        <item x="234"/>
        <item x="254"/>
        <item x="732"/>
        <item x="318"/>
        <item x="614"/>
        <item x="519"/>
        <item x="471"/>
        <item x="658"/>
        <item x="347"/>
        <item x="113"/>
        <item x="151"/>
        <item x="167"/>
        <item x="37"/>
        <item x="635"/>
        <item x="242"/>
        <item x="216"/>
        <item x="470"/>
        <item x="384"/>
        <item x="588"/>
        <item x="49"/>
        <item x="476"/>
        <item x="349"/>
        <item x="405"/>
        <item x="467"/>
        <item x="638"/>
        <item x="525"/>
        <item x="462"/>
        <item x="708"/>
        <item x="421"/>
        <item x="387"/>
        <item x="294"/>
        <item x="50"/>
        <item x="367"/>
        <item x="586"/>
        <item x="230"/>
        <item x="539"/>
        <item x="496"/>
        <item x="67"/>
        <item x="15"/>
        <item x="682"/>
        <item x="760"/>
        <item x="393"/>
        <item x="41"/>
        <item x="258"/>
        <item x="514"/>
        <item x="326"/>
        <item x="219"/>
        <item x="493"/>
        <item x="12"/>
        <item x="38"/>
        <item x="302"/>
        <item x="621"/>
        <item x="690"/>
        <item x="767"/>
        <item x="565"/>
        <item x="460"/>
        <item x="136"/>
        <item x="672"/>
        <item x="32"/>
        <item x="378"/>
        <item x="169"/>
        <item x="143"/>
        <item x="487"/>
        <item x="561"/>
        <item x="629"/>
        <item x="567"/>
        <item x="686"/>
        <item x="754"/>
        <item x="223"/>
        <item x="513"/>
        <item x="771"/>
        <item x="101"/>
        <item x="748"/>
        <item x="615"/>
        <item x="129"/>
        <item x="602"/>
        <item x="3"/>
        <item x="434"/>
        <item x="726"/>
        <item x="250"/>
        <item x="683"/>
        <item x="320"/>
        <item x="723"/>
        <item x="99"/>
        <item x="536"/>
        <item x="745"/>
        <item x="76"/>
        <item x="578"/>
        <item x="103"/>
        <item x="106"/>
        <item x="256"/>
        <item x="147"/>
        <item x="36"/>
        <item x="297"/>
        <item x="191"/>
        <item x="704"/>
        <item x="646"/>
        <item x="724"/>
        <item x="140"/>
        <item x="364"/>
        <item x="439"/>
        <item x="526"/>
        <item x="763"/>
        <item x="317"/>
        <item x="72"/>
        <item x="582"/>
        <item x="656"/>
        <item x="472"/>
        <item x="541"/>
        <item x="610"/>
        <item x="66"/>
        <item x="601"/>
        <item x="710"/>
        <item x="222"/>
        <item x="133"/>
        <item x="366"/>
        <item x="642"/>
        <item x="348"/>
        <item x="687"/>
        <item x="464"/>
        <item x="450"/>
        <item x="729"/>
        <item x="321"/>
        <item x="344"/>
        <item x="545"/>
        <item x="473"/>
        <item x="377"/>
        <item x="206"/>
        <item x="184"/>
        <item x="733"/>
        <item x="126"/>
        <item x="479"/>
        <item x="446"/>
        <item x="663"/>
        <item x="540"/>
        <item x="576"/>
        <item x="611"/>
        <item x="418"/>
        <item x="424"/>
        <item x="279"/>
        <item x="182"/>
        <item x="482"/>
        <item x="574"/>
        <item x="528"/>
        <item x="305"/>
        <item x="22"/>
        <item x="183"/>
        <item x="497"/>
        <item x="728"/>
        <item x="280"/>
        <item x="624"/>
        <item x="89"/>
        <item x="246"/>
        <item x="702"/>
        <item x="257"/>
        <item x="150"/>
        <item x="57"/>
        <item x="342"/>
        <item x="501"/>
        <item x="365"/>
        <item x="293"/>
        <item x="750"/>
        <item x="80"/>
        <item x="290"/>
        <item x="1"/>
        <item x="530"/>
        <item x="157"/>
        <item x="543"/>
        <item x="636"/>
        <item x="612"/>
        <item x="227"/>
        <item x="619"/>
        <item x="102"/>
        <item x="260"/>
        <item x="562"/>
        <item x="423"/>
        <item x="240"/>
        <item x="692"/>
        <item x="226"/>
        <item x="756"/>
        <item x="570"/>
        <item x="309"/>
        <item x="14"/>
        <item x="551"/>
        <item x="64"/>
        <item x="412"/>
        <item x="245"/>
        <item x="354"/>
        <item x="310"/>
        <item x="749"/>
        <item x="389"/>
        <item x="152"/>
        <item x="755"/>
        <item x="594"/>
        <item x="620"/>
        <item x="641"/>
        <item x="486"/>
        <item x="202"/>
        <item x="639"/>
        <item x="743"/>
        <item x="159"/>
        <item x="444"/>
        <item x="215"/>
        <item x="764"/>
        <item x="645"/>
        <item x="388"/>
        <item x="568"/>
        <item x="705"/>
        <item x="303"/>
        <item x="394"/>
        <item x="313"/>
        <item x="466"/>
        <item x="667"/>
        <item x="217"/>
        <item x="422"/>
        <item x="123"/>
        <item x="352"/>
        <item x="287"/>
        <item x="4"/>
        <item x="677"/>
        <item x="265"/>
        <item x="209"/>
        <item x="435"/>
        <item x="552"/>
        <item x="587"/>
        <item x="518"/>
        <item x="299"/>
        <item x="512"/>
        <item x="608"/>
        <item x="685"/>
        <item x="468"/>
        <item x="193"/>
        <item x="569"/>
        <item x="643"/>
        <item x="669"/>
        <item x="737"/>
        <item x="248"/>
        <item x="478"/>
        <item x="650"/>
        <item x="10"/>
        <item x="714"/>
        <item x="542"/>
        <item x="697"/>
        <item x="48"/>
        <item x="432"/>
        <item x="362"/>
        <item x="194"/>
        <item x="409"/>
        <item x="627"/>
        <item x="363"/>
        <item x="443"/>
        <item x="395"/>
        <item x="263"/>
        <item x="489"/>
        <item x="345"/>
        <item x="269"/>
        <item x="371"/>
        <item x="13"/>
        <item x="560"/>
        <item x="58"/>
        <item x="71"/>
        <item x="296"/>
        <item x="537"/>
        <item x="70"/>
        <item x="448"/>
        <item x="442"/>
        <item x="622"/>
        <item x="759"/>
        <item x="503"/>
        <item x="765"/>
        <item x="295"/>
        <item x="456"/>
        <item x="454"/>
        <item x="118"/>
        <item x="679"/>
        <item x="438"/>
        <item x="689"/>
        <item x="346"/>
        <item x="187"/>
        <item x="212"/>
        <item x="176"/>
        <item x="175"/>
        <item x="458"/>
        <item x="335"/>
        <item x="188"/>
        <item x="125"/>
        <item x="78"/>
        <item x="706"/>
        <item x="703"/>
        <item x="709"/>
        <item x="691"/>
        <item x="210"/>
        <item x="160"/>
        <item x="413"/>
        <item x="83"/>
        <item x="664"/>
        <item x="554"/>
        <item x="684"/>
        <item x="34"/>
        <item x="596"/>
        <item x="381"/>
        <item x="68"/>
        <item x="731"/>
        <item x="549"/>
        <item x="504"/>
        <item x="170"/>
        <item x="406"/>
        <item x="110"/>
        <item x="433"/>
        <item x="16"/>
        <item x="407"/>
        <item x="60"/>
        <item x="747"/>
        <item x="517"/>
        <item x="553"/>
        <item x="630"/>
        <item x="229"/>
        <item x="626"/>
        <item x="137"/>
        <item x="426"/>
        <item x="557"/>
        <item x="119"/>
        <item x="391"/>
        <item x="590"/>
        <item x="498"/>
        <item x="17"/>
        <item x="766"/>
        <item x="403"/>
        <item x="197"/>
        <item x="324"/>
        <item x="84"/>
        <item x="698"/>
        <item x="739"/>
        <item x="676"/>
        <item x="225"/>
        <item x="559"/>
        <item x="605"/>
        <item x="670"/>
        <item x="546"/>
        <item x="198"/>
        <item x="356"/>
        <item x="746"/>
        <item x="400"/>
        <item x="259"/>
        <item x="680"/>
        <item x="531"/>
        <item x="385"/>
        <item x="211"/>
        <item x="488"/>
        <item x="566"/>
        <item x="666"/>
        <item x="508"/>
        <item x="644"/>
        <item x="325"/>
        <item x="661"/>
        <item x="507"/>
        <item x="521"/>
        <item x="483"/>
        <item x="281"/>
        <item x="469"/>
        <item x="47"/>
        <item x="431"/>
        <item x="201"/>
        <item x="353"/>
        <item x="292"/>
        <item x="334"/>
        <item x="414"/>
        <item x="156"/>
        <item x="94"/>
        <item x="762"/>
        <item x="172"/>
        <item x="9"/>
        <item x="253"/>
        <item x="577"/>
        <item x="148"/>
        <item x="284"/>
        <item x="511"/>
        <item x="322"/>
        <item x="199"/>
        <item x="251"/>
        <item x="550"/>
        <item x="516"/>
        <item x="563"/>
        <item x="161"/>
        <item x="44"/>
        <item x="200"/>
        <item x="436"/>
        <item x="27"/>
        <item x="11"/>
        <item x="122"/>
        <item x="91"/>
        <item x="617"/>
        <item x="163"/>
        <item x="441"/>
        <item x="181"/>
        <item x="18"/>
        <item x="337"/>
        <item x="495"/>
        <item x="618"/>
        <item x="375"/>
        <item x="515"/>
        <item x="351"/>
        <item x="453"/>
        <item x="221"/>
        <item x="461"/>
        <item x="534"/>
        <item x="247"/>
        <item x="312"/>
        <item x="445"/>
        <item x="192"/>
        <item x="529"/>
        <item x="662"/>
        <item x="26"/>
        <item x="195"/>
        <item x="548"/>
        <item x="360"/>
        <item x="564"/>
        <item x="741"/>
        <item x="301"/>
        <item x="634"/>
        <item x="522"/>
        <item x="768"/>
        <item x="178"/>
        <item x="45"/>
        <item x="177"/>
        <item x="452"/>
        <item x="358"/>
        <item x="189"/>
        <item x="235"/>
        <item x="652"/>
        <item x="736"/>
        <item x="751"/>
        <item x="527"/>
        <item x="591"/>
        <item x="440"/>
        <item x="186"/>
        <item x="204"/>
        <item x="283"/>
        <item x="717"/>
        <item x="73"/>
        <item x="75"/>
        <item x="675"/>
        <item x="40"/>
        <item x="678"/>
        <item x="146"/>
        <item x="33"/>
        <item x="609"/>
        <item x="81"/>
        <item x="141"/>
        <item x="92"/>
        <item x="262"/>
        <item x="616"/>
        <item x="238"/>
        <item x="82"/>
        <item x="361"/>
        <item x="623"/>
        <item x="271"/>
        <item x="668"/>
        <item x="39"/>
        <item x="606"/>
        <item x="29"/>
        <item x="474"/>
        <item x="598"/>
        <item x="535"/>
        <item x="21"/>
        <item x="399"/>
        <item x="719"/>
        <item x="674"/>
        <item x="7"/>
        <item x="79"/>
        <item x="402"/>
        <item x="174"/>
        <item x="653"/>
        <item x="96"/>
        <item x="196"/>
        <item x="484"/>
        <item x="130"/>
        <item x="55"/>
        <item x="236"/>
        <item x="69"/>
        <item x="744"/>
        <item x="109"/>
        <item x="380"/>
        <item x="572"/>
        <item x="370"/>
        <item x="408"/>
        <item x="437"/>
        <item x="255"/>
        <item x="233"/>
        <item x="86"/>
        <item x="142"/>
        <item x="138"/>
        <item x="742"/>
        <item x="659"/>
        <item x="343"/>
        <item x="332"/>
        <item x="179"/>
        <item x="490"/>
        <item x="304"/>
        <item x="558"/>
        <item x="266"/>
        <item x="510"/>
        <item x="316"/>
        <item x="327"/>
        <item x="631"/>
        <item x="120"/>
        <item x="162"/>
        <item x="149"/>
        <item x="571"/>
        <item x="336"/>
        <item x="341"/>
        <item x="270"/>
        <item x="398"/>
        <item x="699"/>
        <item x="721"/>
        <item x="386"/>
        <item x="603"/>
        <item x="331"/>
        <item x="231"/>
        <item x="595"/>
        <item x="429"/>
        <item x="208"/>
        <item x="722"/>
        <item x="379"/>
        <item x="415"/>
        <item x="613"/>
        <item x="373"/>
        <item x="350"/>
        <item x="607"/>
        <item x="374"/>
        <item x="583"/>
        <item x="695"/>
        <item x="333"/>
        <item x="330"/>
        <item x="523"/>
        <item x="239"/>
        <item x="6"/>
        <item x="544"/>
        <item x="53"/>
        <item x="264"/>
        <item x="688"/>
        <item x="339"/>
        <item x="455"/>
        <item x="425"/>
        <item x="593"/>
        <item x="100"/>
        <item x="65"/>
        <item x="105"/>
        <item x="770"/>
        <item x="720"/>
        <item x="278"/>
        <item x="673"/>
        <item x="520"/>
        <item x="392"/>
        <item x="700"/>
        <item x="30"/>
        <item x="128"/>
        <item x="300"/>
        <item x="180"/>
        <item x="491"/>
        <item x="640"/>
        <item x="524"/>
        <item x="144"/>
        <item x="124"/>
        <item x="599"/>
        <item x="63"/>
        <item x="417"/>
        <item x="311"/>
        <item x="657"/>
        <item x="237"/>
        <item x="288"/>
        <item x="158"/>
        <item x="168"/>
        <item x="475"/>
        <item x="87"/>
        <item x="383"/>
        <item x="592"/>
        <item x="85"/>
        <item x="19"/>
        <item x="428"/>
        <item x="220"/>
        <item x="532"/>
        <item x="355"/>
        <item x="740"/>
        <item x="712"/>
        <item x="492"/>
        <item x="649"/>
        <item x="693"/>
        <item x="368"/>
        <item x="556"/>
        <item x="506"/>
        <item x="597"/>
        <item x="107"/>
        <item x="404"/>
        <item x="547"/>
        <item x="628"/>
        <item x="54"/>
        <item x="261"/>
        <item x="275"/>
        <item x="171"/>
        <item x="115"/>
        <item x="500"/>
        <item x="718"/>
        <item x="757"/>
        <item x="289"/>
        <item x="397"/>
        <item x="241"/>
        <item x="145"/>
        <item x="213"/>
        <item x="108"/>
        <item x="173"/>
        <item x="307"/>
        <item x="228"/>
        <item x="420"/>
        <item x="359"/>
        <item x="319"/>
        <item x="272"/>
        <item x="51"/>
        <item x="734"/>
        <item x="277"/>
        <item x="97"/>
        <item x="480"/>
        <item x="707"/>
        <item x="282"/>
        <item x="252"/>
        <item x="218"/>
        <item x="465"/>
        <item x="276"/>
        <item x="62"/>
        <item x="665"/>
        <item x="401"/>
        <item x="701"/>
        <item x="589"/>
        <item x="451"/>
        <item x="632"/>
        <item x="575"/>
        <item x="134"/>
        <item x="274"/>
        <item x="372"/>
        <item x="477"/>
        <item x="752"/>
        <item x="499"/>
        <item x="329"/>
        <item x="447"/>
        <item x="190"/>
        <item x="314"/>
        <item x="416"/>
        <item x="761"/>
        <item x="90"/>
        <item x="268"/>
        <item x="164"/>
        <item x="244"/>
        <item x="494"/>
        <item x="390"/>
        <item x="214"/>
        <item x="340"/>
        <item x="758"/>
        <item x="738"/>
        <item x="648"/>
        <item x="696"/>
        <item x="449"/>
        <item x="23"/>
        <item x="338"/>
        <item x="298"/>
        <item x="681"/>
        <item x="52"/>
        <item x="20"/>
        <item x="306"/>
        <item x="28"/>
        <item x="74"/>
        <item x="463"/>
        <item x="573"/>
        <item x="579"/>
        <item x="59"/>
        <item x="459"/>
        <item x="727"/>
        <item x="715"/>
        <item x="203"/>
        <item x="42"/>
        <item x="660"/>
        <item x="8"/>
        <item x="625"/>
        <item x="88"/>
        <item x="538"/>
        <item x="267"/>
        <item x="769"/>
        <item x="93"/>
        <item x="647"/>
        <item x="716"/>
        <item x="555"/>
        <item x="24"/>
        <item x="285"/>
        <item x="207"/>
        <item x="600"/>
        <item x="580"/>
        <item x="637"/>
        <item x="31"/>
        <item x="419"/>
        <item x="46"/>
        <item x="533"/>
        <item x="694"/>
        <item x="139"/>
        <item x="711"/>
        <item x="153"/>
        <item x="382"/>
        <item x="112"/>
        <item x="121"/>
        <item x="185"/>
        <item x="155"/>
        <item x="273"/>
        <item x="502"/>
        <item x="291"/>
        <item x="753"/>
        <item x="117"/>
        <item x="116"/>
        <item x="633"/>
        <item x="485"/>
        <item x="131"/>
        <item x="584"/>
        <item x="671"/>
        <item x="651"/>
        <item x="328"/>
        <item x="604"/>
        <item x="56"/>
        <item x="232"/>
        <item x="713"/>
        <item x="135"/>
        <item x="104"/>
        <item x="165"/>
        <item x="308"/>
        <item x="585"/>
        <item x="655"/>
        <item x="481"/>
        <item x="61"/>
        <item x="98"/>
        <item x="396"/>
        <item x="114"/>
        <item x="730"/>
        <item x="376"/>
        <item x="249"/>
        <item x="410"/>
        <item x="25"/>
        <item x="154"/>
        <item x="581"/>
        <item x="369"/>
        <item x="427"/>
        <item x="0"/>
        <item x="411"/>
        <item x="457"/>
        <item x="505"/>
        <item x="132"/>
        <item x="735"/>
        <item x="430"/>
        <item x="5"/>
        <item x="166"/>
        <item x="725"/>
        <item x="654"/>
        <item x="77"/>
        <item x="111"/>
        <item x="323"/>
        <item x="127"/>
        <item x="35"/>
        <item x="205"/>
        <item x="243"/>
        <item x="95"/>
        <item x="224"/>
        <item x="509"/>
        <item t="default"/>
      </items>
    </pivotField>
    <pivotField showAll="0"/>
    <pivotField showAll="0"/>
    <pivotField showAll="0"/>
    <pivotField showAll="0"/>
    <pivotField dataField="1" showAll="0"/>
    <pivotField showAll="0">
      <items count="900">
        <item x="328"/>
        <item x="350"/>
        <item x="9"/>
        <item x="762"/>
        <item x="656"/>
        <item x="499"/>
        <item x="270"/>
        <item x="554"/>
        <item x="249"/>
        <item x="347"/>
        <item x="493"/>
        <item x="489"/>
        <item x="367"/>
        <item x="18"/>
        <item x="697"/>
        <item x="600"/>
        <item x="438"/>
        <item x="883"/>
        <item x="608"/>
        <item x="62"/>
        <item x="843"/>
        <item x="181"/>
        <item x="251"/>
        <item x="315"/>
        <item x="417"/>
        <item x="124"/>
        <item x="541"/>
        <item x="440"/>
        <item x="603"/>
        <item x="629"/>
        <item x="615"/>
        <item x="55"/>
        <item x="711"/>
        <item x="464"/>
        <item x="575"/>
        <item x="719"/>
        <item x="68"/>
        <item x="280"/>
        <item x="583"/>
        <item x="729"/>
        <item x="649"/>
        <item x="115"/>
        <item x="876"/>
        <item x="700"/>
        <item x="855"/>
        <item x="38"/>
        <item x="22"/>
        <item x="239"/>
        <item x="252"/>
        <item x="570"/>
        <item x="740"/>
        <item x="326"/>
        <item x="305"/>
        <item x="317"/>
        <item x="898"/>
        <item x="137"/>
        <item x="344"/>
        <item x="796"/>
        <item x="320"/>
        <item x="491"/>
        <item x="375"/>
        <item x="387"/>
        <item x="805"/>
        <item x="870"/>
        <item x="3"/>
        <item x="534"/>
        <item x="295"/>
        <item x="819"/>
        <item x="207"/>
        <item x="845"/>
        <item x="253"/>
        <item x="851"/>
        <item x="867"/>
        <item x="361"/>
        <item x="277"/>
        <item x="591"/>
        <item x="34"/>
        <item x="405"/>
        <item x="652"/>
        <item x="118"/>
        <item x="760"/>
        <item x="13"/>
        <item x="861"/>
        <item x="764"/>
        <item x="228"/>
        <item x="683"/>
        <item x="769"/>
        <item x="674"/>
        <item x="246"/>
        <item x="717"/>
        <item x="804"/>
        <item x="170"/>
        <item x="671"/>
        <item x="162"/>
        <item x="513"/>
        <item x="466"/>
        <item x="516"/>
        <item x="364"/>
        <item x="127"/>
        <item x="242"/>
        <item x="396"/>
        <item x="146"/>
        <item x="605"/>
        <item x="45"/>
        <item x="626"/>
        <item x="191"/>
        <item x="220"/>
        <item x="233"/>
        <item x="829"/>
        <item x="515"/>
        <item x="165"/>
        <item x="399"/>
        <item x="453"/>
        <item x="436"/>
        <item x="337"/>
        <item x="141"/>
        <item x="160"/>
        <item x="415"/>
        <item x="384"/>
        <item x="180"/>
        <item x="71"/>
        <item x="520"/>
        <item x="271"/>
        <item x="157"/>
        <item x="588"/>
        <item x="602"/>
        <item x="276"/>
        <item x="616"/>
        <item x="691"/>
        <item x="214"/>
        <item x="63"/>
        <item x="459"/>
        <item x="0"/>
        <item x="886"/>
        <item x="553"/>
        <item x="556"/>
        <item x="820"/>
        <item x="348"/>
        <item x="644"/>
        <item x="710"/>
        <item x="636"/>
        <item x="581"/>
        <item x="653"/>
        <item x="222"/>
        <item x="880"/>
        <item x="723"/>
        <item x="327"/>
        <item x="435"/>
        <item x="658"/>
        <item x="446"/>
        <item x="103"/>
        <item x="673"/>
        <item x="31"/>
        <item x="623"/>
        <item x="590"/>
        <item x="185"/>
        <item x="177"/>
        <item x="667"/>
        <item x="409"/>
        <item x="422"/>
        <item x="145"/>
        <item x="59"/>
        <item x="143"/>
        <item x="122"/>
        <item x="799"/>
        <item x="126"/>
        <item x="857"/>
        <item x="108"/>
        <item x="78"/>
        <item x="156"/>
        <item x="432"/>
        <item x="803"/>
        <item x="618"/>
        <item x="620"/>
        <item x="120"/>
        <item x="692"/>
        <item x="573"/>
        <item x="229"/>
        <item x="234"/>
        <item x="624"/>
        <item x="334"/>
        <item x="198"/>
        <item x="150"/>
        <item x="721"/>
        <item x="168"/>
        <item x="735"/>
        <item x="869"/>
        <item x="739"/>
        <item x="192"/>
        <item x="186"/>
        <item x="744"/>
        <item x="23"/>
        <item x="241"/>
        <item x="578"/>
        <item x="299"/>
        <item x="314"/>
        <item x="6"/>
        <item x="359"/>
        <item x="418"/>
        <item x="116"/>
        <item x="16"/>
        <item x="836"/>
        <item x="188"/>
        <item x="297"/>
        <item x="448"/>
        <item x="604"/>
        <item x="104"/>
        <item x="202"/>
        <item x="635"/>
        <item x="601"/>
        <item x="818"/>
        <item x="486"/>
        <item x="822"/>
        <item x="538"/>
        <item x="128"/>
        <item x="825"/>
        <item x="261"/>
        <item x="218"/>
        <item x="784"/>
        <item x="702"/>
        <item x="831"/>
        <item x="210"/>
        <item x="893"/>
        <item x="550"/>
        <item x="613"/>
        <item x="862"/>
        <item x="839"/>
        <item x="648"/>
        <item x="264"/>
        <item x="318"/>
        <item x="679"/>
        <item x="666"/>
        <item x="842"/>
        <item x="204"/>
        <item x="406"/>
        <item x="339"/>
        <item x="338"/>
        <item x="201"/>
        <item x="569"/>
        <item x="780"/>
        <item x="379"/>
        <item x="750"/>
        <item x="15"/>
        <item x="669"/>
        <item x="285"/>
        <item x="123"/>
        <item x="766"/>
        <item x="33"/>
        <item x="154"/>
        <item x="281"/>
        <item x="48"/>
        <item x="138"/>
        <item x="688"/>
        <item x="431"/>
        <item x="483"/>
        <item x="212"/>
        <item x="835"/>
        <item x="841"/>
        <item x="892"/>
        <item x="452"/>
        <item x="69"/>
        <item x="650"/>
        <item x="101"/>
        <item x="612"/>
        <item x="182"/>
        <item x="449"/>
        <item x="709"/>
        <item x="814"/>
        <item x="888"/>
        <item x="684"/>
        <item x="495"/>
        <item x="175"/>
        <item x="21"/>
        <item x="410"/>
        <item x="366"/>
        <item x="525"/>
        <item x="179"/>
        <item x="777"/>
        <item x="267"/>
        <item x="706"/>
        <item x="531"/>
        <item x="872"/>
        <item x="231"/>
        <item x="824"/>
        <item x="236"/>
        <item x="790"/>
        <item x="167"/>
        <item x="833"/>
        <item x="97"/>
        <item x="296"/>
        <item x="196"/>
        <item x="424"/>
        <item x="377"/>
        <item x="745"/>
        <item x="788"/>
        <item x="77"/>
        <item x="331"/>
        <item x="802"/>
        <item x="42"/>
        <item x="783"/>
        <item x="875"/>
        <item x="194"/>
        <item x="119"/>
        <item x="509"/>
        <item x="258"/>
        <item x="275"/>
        <item x="10"/>
        <item x="727"/>
        <item x="741"/>
        <item x="757"/>
        <item x="859"/>
        <item x="546"/>
        <item x="363"/>
        <item x="20"/>
        <item x="707"/>
        <item x="155"/>
        <item x="208"/>
        <item x="475"/>
        <item x="105"/>
        <item x="887"/>
        <item x="722"/>
        <item x="392"/>
        <item x="98"/>
        <item x="646"/>
        <item x="639"/>
        <item x="638"/>
        <item x="8"/>
        <item x="878"/>
        <item x="849"/>
        <item x="365"/>
        <item x="703"/>
        <item x="641"/>
        <item x="660"/>
        <item x="85"/>
        <item x="662"/>
        <item x="426"/>
        <item x="427"/>
        <item x="357"/>
        <item x="631"/>
        <item x="171"/>
        <item x="897"/>
        <item x="421"/>
        <item x="672"/>
        <item x="245"/>
        <item x="262"/>
        <item x="472"/>
        <item x="322"/>
        <item x="102"/>
        <item x="240"/>
        <item x="501"/>
        <item x="40"/>
        <item x="352"/>
        <item x="412"/>
        <item x="259"/>
        <item x="846"/>
        <item x="420"/>
        <item x="283"/>
        <item x="704"/>
        <item x="247"/>
        <item x="682"/>
        <item x="86"/>
        <item x="74"/>
        <item x="96"/>
        <item x="481"/>
        <item x="325"/>
        <item x="536"/>
        <item x="323"/>
        <item x="696"/>
        <item x="552"/>
        <item x="572"/>
        <item x="634"/>
        <item x="457"/>
        <item x="169"/>
        <item x="468"/>
        <item x="827"/>
        <item x="865"/>
        <item x="66"/>
        <item x="394"/>
        <item x="184"/>
        <item x="693"/>
        <item x="461"/>
        <item x="542"/>
        <item x="248"/>
        <item x="308"/>
        <item x="732"/>
        <item x="787"/>
        <item x="496"/>
        <item x="506"/>
        <item x="482"/>
        <item x="163"/>
        <item x="807"/>
        <item x="759"/>
        <item x="324"/>
        <item x="61"/>
        <item x="382"/>
        <item x="801"/>
        <item x="87"/>
        <item x="699"/>
        <item x="312"/>
        <item x="256"/>
        <item x="540"/>
        <item x="471"/>
        <item x="166"/>
        <item x="112"/>
        <item x="391"/>
        <item x="786"/>
        <item x="64"/>
        <item x="311"/>
        <item x="430"/>
        <item x="407"/>
        <item x="26"/>
        <item x="301"/>
        <item x="778"/>
        <item x="503"/>
        <item x="226"/>
        <item x="654"/>
        <item x="625"/>
        <item x="507"/>
        <item x="716"/>
        <item x="630"/>
        <item x="724"/>
        <item x="860"/>
        <item x="462"/>
        <item x="93"/>
        <item x="637"/>
        <item x="761"/>
        <item x="681"/>
        <item x="657"/>
        <item x="817"/>
        <item x="173"/>
        <item x="215"/>
        <item x="763"/>
        <item x="720"/>
        <item x="768"/>
        <item x="300"/>
        <item x="130"/>
        <item x="823"/>
        <item x="395"/>
        <item x="463"/>
        <item x="287"/>
        <item x="492"/>
        <item x="830"/>
        <item x="378"/>
        <item x="645"/>
        <item x="319"/>
        <item x="111"/>
        <item x="355"/>
        <item x="164"/>
        <item x="478"/>
        <item x="598"/>
        <item x="304"/>
        <item x="140"/>
        <item x="289"/>
        <item x="812"/>
        <item x="307"/>
        <item x="798"/>
        <item x="100"/>
        <item x="663"/>
        <item x="528"/>
        <item x="753"/>
        <item x="782"/>
        <item x="437"/>
        <item x="661"/>
        <item x="125"/>
        <item x="689"/>
        <item x="211"/>
        <item x="485"/>
        <item x="535"/>
        <item x="708"/>
        <item x="216"/>
        <item x="523"/>
        <item x="135"/>
        <item x="664"/>
        <item x="894"/>
        <item x="690"/>
        <item x="811"/>
        <item x="537"/>
        <item x="443"/>
        <item x="694"/>
        <item x="597"/>
        <item x="46"/>
        <item x="785"/>
        <item x="358"/>
        <item x="106"/>
        <item x="425"/>
        <item x="585"/>
        <item x="41"/>
        <item x="856"/>
        <item x="217"/>
        <item x="340"/>
        <item x="549"/>
        <item x="73"/>
        <item x="678"/>
        <item x="416"/>
        <item x="235"/>
        <item x="873"/>
        <item x="292"/>
        <item x="76"/>
        <item x="567"/>
        <item x="701"/>
        <item x="633"/>
        <item x="284"/>
        <item x="354"/>
        <item x="589"/>
        <item x="451"/>
        <item x="627"/>
        <item x="237"/>
        <item x="813"/>
        <item x="117"/>
        <item x="362"/>
        <item x="896"/>
        <item x="725"/>
        <item x="517"/>
        <item x="345"/>
        <item x="755"/>
        <item x="30"/>
        <item x="190"/>
        <item x="302"/>
        <item x="864"/>
        <item x="617"/>
        <item x="389"/>
        <item x="148"/>
        <item x="686"/>
        <item x="844"/>
        <item x="11"/>
        <item x="675"/>
        <item x="172"/>
        <item x="480"/>
        <item x="579"/>
        <item x="303"/>
        <item x="714"/>
        <item x="408"/>
        <item x="53"/>
        <item x="840"/>
        <item x="28"/>
        <item x="770"/>
        <item x="551"/>
        <item x="514"/>
        <item x="402"/>
        <item x="756"/>
        <item x="748"/>
        <item x="27"/>
        <item x="837"/>
        <item x="713"/>
        <item x="441"/>
        <item x="219"/>
        <item x="529"/>
        <item x="80"/>
        <item x="776"/>
        <item x="200"/>
        <item x="109"/>
        <item x="527"/>
        <item x="580"/>
        <item x="595"/>
        <item x="797"/>
        <item x="533"/>
        <item x="17"/>
        <item x="209"/>
        <item x="343"/>
        <item x="752"/>
        <item x="868"/>
        <item x="454"/>
        <item x="890"/>
        <item x="614"/>
        <item x="494"/>
        <item x="114"/>
        <item x="450"/>
        <item x="698"/>
        <item x="203"/>
        <item x="321"/>
        <item x="374"/>
        <item x="442"/>
        <item x="90"/>
        <item x="611"/>
        <item x="863"/>
        <item x="193"/>
        <item x="265"/>
        <item x="142"/>
        <item x="250"/>
        <item x="360"/>
        <item x="488"/>
        <item x="456"/>
        <item x="414"/>
        <item x="487"/>
        <item x="606"/>
        <item x="628"/>
        <item x="81"/>
        <item x="176"/>
        <item x="607"/>
        <item x="349"/>
        <item x="767"/>
        <item x="854"/>
        <item x="134"/>
        <item x="643"/>
        <item x="574"/>
        <item x="400"/>
        <item x="329"/>
        <item x="269"/>
        <item x="794"/>
        <item x="238"/>
        <item x="51"/>
        <item x="737"/>
        <item x="543"/>
        <item x="133"/>
        <item x="423"/>
        <item x="800"/>
        <item x="504"/>
        <item x="746"/>
        <item x="558"/>
        <item x="668"/>
        <item x="497"/>
        <item x="816"/>
        <item x="594"/>
        <item x="376"/>
        <item x="834"/>
        <item x="353"/>
        <item x="781"/>
        <item x="19"/>
        <item x="582"/>
        <item x="49"/>
        <item x="224"/>
        <item x="838"/>
        <item x="397"/>
        <item x="113"/>
        <item x="879"/>
        <item x="268"/>
        <item x="560"/>
        <item x="95"/>
        <item x="479"/>
        <item x="848"/>
        <item x="749"/>
        <item x="539"/>
        <item x="227"/>
        <item x="50"/>
        <item x="91"/>
        <item x="555"/>
        <item x="502"/>
        <item x="390"/>
        <item x="789"/>
        <item x="291"/>
        <item x="640"/>
        <item x="547"/>
        <item x="44"/>
        <item x="733"/>
        <item x="792"/>
        <item x="779"/>
        <item x="313"/>
        <item x="243"/>
        <item x="758"/>
        <item x="577"/>
        <item x="398"/>
        <item x="559"/>
        <item x="254"/>
        <item x="221"/>
        <item x="39"/>
        <item x="266"/>
        <item x="70"/>
        <item x="369"/>
        <item x="272"/>
        <item x="129"/>
        <item x="139"/>
        <item x="419"/>
        <item x="205"/>
        <item x="373"/>
        <item x="136"/>
        <item x="83"/>
        <item x="521"/>
        <item x="286"/>
        <item x="197"/>
        <item x="852"/>
        <item x="151"/>
        <item x="36"/>
        <item x="670"/>
        <item x="751"/>
        <item x="490"/>
        <item x="548"/>
        <item x="884"/>
        <item x="263"/>
        <item x="351"/>
        <item x="568"/>
        <item x="742"/>
        <item x="609"/>
        <item x="596"/>
        <item x="498"/>
        <item x="576"/>
        <item x="346"/>
        <item x="828"/>
        <item x="316"/>
        <item x="754"/>
        <item x="665"/>
        <item x="428"/>
        <item x="584"/>
        <item x="370"/>
        <item x="477"/>
        <item x="891"/>
        <item x="273"/>
        <item x="213"/>
        <item x="522"/>
        <item x="821"/>
        <item x="35"/>
        <item x="72"/>
        <item x="371"/>
        <item x="183"/>
        <item x="159"/>
        <item x="565"/>
        <item x="676"/>
        <item x="29"/>
        <item x="131"/>
        <item x="25"/>
        <item x="149"/>
        <item x="775"/>
        <item x="619"/>
        <item x="444"/>
        <item x="232"/>
        <item x="99"/>
        <item x="680"/>
        <item x="571"/>
        <item x="561"/>
        <item x="877"/>
        <item x="458"/>
        <item x="306"/>
        <item x="107"/>
        <item x="298"/>
        <item x="58"/>
        <item x="187"/>
        <item x="563"/>
        <item x="810"/>
        <item x="147"/>
        <item x="380"/>
        <item x="524"/>
        <item x="65"/>
        <item x="310"/>
        <item x="257"/>
        <item x="260"/>
        <item x="512"/>
        <item x="586"/>
        <item x="413"/>
        <item x="356"/>
        <item x="795"/>
        <item x="189"/>
        <item x="526"/>
        <item x="476"/>
        <item x="225"/>
        <item x="56"/>
        <item x="771"/>
        <item x="5"/>
        <item x="199"/>
        <item x="282"/>
        <item x="89"/>
        <item x="385"/>
        <item x="393"/>
        <item x="429"/>
        <item x="206"/>
        <item x="895"/>
        <item x="511"/>
        <item x="447"/>
        <item x="386"/>
        <item x="500"/>
        <item x="341"/>
        <item x="562"/>
        <item x="223"/>
        <item x="60"/>
        <item x="52"/>
        <item x="734"/>
        <item x="599"/>
        <item x="687"/>
        <item x="465"/>
        <item x="655"/>
        <item x="610"/>
        <item x="726"/>
        <item x="853"/>
        <item x="587"/>
        <item x="332"/>
        <item x="772"/>
        <item x="621"/>
        <item x="847"/>
        <item x="2"/>
        <item x="881"/>
        <item x="850"/>
        <item x="110"/>
        <item x="333"/>
        <item x="695"/>
        <item x="736"/>
        <item x="161"/>
        <item x="730"/>
        <item x="32"/>
        <item x="874"/>
        <item x="309"/>
        <item x="564"/>
        <item x="765"/>
        <item x="330"/>
        <item x="279"/>
        <item x="519"/>
        <item x="885"/>
        <item x="642"/>
        <item x="75"/>
        <item x="738"/>
        <item x="518"/>
        <item x="88"/>
        <item x="14"/>
        <item x="484"/>
        <item x="152"/>
        <item x="174"/>
        <item x="84"/>
        <item x="57"/>
        <item x="7"/>
        <item x="43"/>
        <item x="144"/>
        <item x="467"/>
        <item x="94"/>
        <item x="545"/>
        <item x="747"/>
        <item x="342"/>
        <item x="67"/>
        <item x="743"/>
        <item x="469"/>
        <item x="593"/>
        <item x="871"/>
        <item x="889"/>
        <item x="715"/>
        <item x="470"/>
        <item x="178"/>
        <item x="793"/>
        <item x="882"/>
        <item x="79"/>
        <item x="274"/>
        <item x="92"/>
        <item x="12"/>
        <item x="728"/>
        <item x="651"/>
        <item x="401"/>
        <item x="832"/>
        <item x="677"/>
        <item x="858"/>
        <item x="866"/>
        <item x="434"/>
        <item x="566"/>
        <item x="718"/>
        <item x="288"/>
        <item x="121"/>
        <item x="388"/>
        <item x="403"/>
        <item x="659"/>
        <item x="445"/>
        <item x="473"/>
        <item x="82"/>
        <item x="381"/>
        <item x="460"/>
        <item x="530"/>
        <item x="294"/>
        <item x="774"/>
        <item x="791"/>
        <item x="37"/>
        <item x="647"/>
        <item x="54"/>
        <item x="532"/>
        <item x="622"/>
        <item x="712"/>
        <item x="336"/>
        <item x="632"/>
        <item x="544"/>
        <item x="411"/>
        <item x="815"/>
        <item x="808"/>
        <item x="474"/>
        <item x="826"/>
        <item x="335"/>
        <item x="592"/>
        <item x="195"/>
        <item x="153"/>
        <item x="255"/>
        <item x="809"/>
        <item x="368"/>
        <item x="505"/>
        <item x="4"/>
        <item x="510"/>
        <item x="433"/>
        <item x="806"/>
        <item x="404"/>
        <item x="244"/>
        <item x="372"/>
        <item x="383"/>
        <item x="508"/>
        <item x="455"/>
        <item x="290"/>
        <item x="557"/>
        <item x="439"/>
        <item x="773"/>
        <item x="132"/>
        <item x="705"/>
        <item x="278"/>
        <item x="731"/>
        <item x="685"/>
        <item x="230"/>
        <item x="158"/>
        <item x="293"/>
        <item x="24"/>
        <item x="1"/>
        <item x="47"/>
        <item t="default"/>
      </items>
    </pivotField>
    <pivotField showAll="0"/>
    <pivotField showAll="0"/>
    <pivotField numFmtId="14" showAll="0">
      <items count="539">
        <item x="208"/>
        <item x="481"/>
        <item x="408"/>
        <item x="444"/>
        <item x="372"/>
        <item x="312"/>
        <item x="345"/>
        <item x="414"/>
        <item x="10"/>
        <item x="354"/>
        <item x="393"/>
        <item x="169"/>
        <item x="15"/>
        <item x="424"/>
        <item x="185"/>
        <item x="246"/>
        <item x="515"/>
        <item x="324"/>
        <item x="48"/>
        <item x="41"/>
        <item x="74"/>
        <item x="303"/>
        <item x="142"/>
        <item x="40"/>
        <item x="370"/>
        <item x="138"/>
        <item x="406"/>
        <item x="33"/>
        <item x="75"/>
        <item x="80"/>
        <item x="134"/>
        <item x="91"/>
        <item x="177"/>
        <item x="462"/>
        <item x="211"/>
        <item x="535"/>
        <item x="81"/>
        <item x="467"/>
        <item x="301"/>
        <item x="334"/>
        <item x="273"/>
        <item x="150"/>
        <item x="236"/>
        <item x="488"/>
        <item x="39"/>
        <item x="357"/>
        <item x="276"/>
        <item x="29"/>
        <item x="326"/>
        <item x="229"/>
        <item x="361"/>
        <item x="421"/>
        <item x="296"/>
        <item x="197"/>
        <item x="21"/>
        <item x="329"/>
        <item x="459"/>
        <item x="517"/>
        <item x="493"/>
        <item x="146"/>
        <item x="7"/>
        <item x="78"/>
        <item x="182"/>
        <item x="44"/>
        <item x="234"/>
        <item x="162"/>
        <item x="482"/>
        <item x="94"/>
        <item x="448"/>
        <item x="179"/>
        <item x="386"/>
        <item x="101"/>
        <item x="307"/>
        <item x="124"/>
        <item x="55"/>
        <item x="209"/>
        <item x="213"/>
        <item x="69"/>
        <item x="260"/>
        <item x="522"/>
        <item x="222"/>
        <item x="447"/>
        <item x="106"/>
        <item x="315"/>
        <item x="437"/>
        <item x="306"/>
        <item x="13"/>
        <item x="272"/>
        <item x="247"/>
        <item x="223"/>
        <item x="379"/>
        <item x="18"/>
        <item x="225"/>
        <item x="207"/>
        <item x="85"/>
        <item x="135"/>
        <item x="131"/>
        <item x="79"/>
        <item x="528"/>
        <item x="325"/>
        <item x="58"/>
        <item x="476"/>
        <item x="520"/>
        <item x="281"/>
        <item x="71"/>
        <item x="255"/>
        <item x="165"/>
        <item x="353"/>
        <item x="90"/>
        <item x="261"/>
        <item x="422"/>
        <item x="232"/>
        <item x="72"/>
        <item x="298"/>
        <item x="70"/>
        <item x="491"/>
        <item x="277"/>
        <item x="469"/>
        <item x="45"/>
        <item x="151"/>
        <item x="262"/>
        <item x="140"/>
        <item x="356"/>
        <item x="322"/>
        <item x="268"/>
        <item x="4"/>
        <item x="288"/>
        <item x="235"/>
        <item x="475"/>
        <item x="292"/>
        <item x="499"/>
        <item x="110"/>
        <item x="505"/>
        <item x="519"/>
        <item x="375"/>
        <item x="320"/>
        <item x="456"/>
        <item x="280"/>
        <item x="12"/>
        <item x="32"/>
        <item x="26"/>
        <item x="205"/>
        <item x="460"/>
        <item x="290"/>
        <item x="453"/>
        <item x="397"/>
        <item x="1"/>
        <item x="143"/>
        <item x="188"/>
        <item x="494"/>
        <item x="231"/>
        <item x="314"/>
        <item x="339"/>
        <item x="526"/>
        <item x="378"/>
        <item x="160"/>
        <item x="293"/>
        <item x="458"/>
        <item x="309"/>
        <item x="284"/>
        <item x="504"/>
        <item x="219"/>
        <item x="175"/>
        <item x="282"/>
        <item x="279"/>
        <item x="411"/>
        <item x="212"/>
        <item x="6"/>
        <item x="366"/>
        <item x="364"/>
        <item x="53"/>
        <item x="115"/>
        <item x="230"/>
        <item x="500"/>
        <item x="286"/>
        <item x="365"/>
        <item x="176"/>
        <item x="451"/>
        <item x="495"/>
        <item x="98"/>
        <item x="65"/>
        <item x="341"/>
        <item x="204"/>
        <item x="103"/>
        <item x="155"/>
        <item x="537"/>
        <item x="518"/>
        <item x="242"/>
        <item x="492"/>
        <item x="291"/>
        <item x="409"/>
        <item x="170"/>
        <item x="506"/>
        <item x="30"/>
        <item x="123"/>
        <item x="508"/>
        <item x="258"/>
        <item x="510"/>
        <item x="166"/>
        <item x="226"/>
        <item x="141"/>
        <item x="474"/>
        <item x="289"/>
        <item x="163"/>
        <item x="136"/>
        <item x="319"/>
        <item x="367"/>
        <item x="119"/>
        <item x="455"/>
        <item x="63"/>
        <item x="171"/>
        <item x="266"/>
        <item x="523"/>
        <item x="425"/>
        <item x="452"/>
        <item x="120"/>
        <item x="210"/>
        <item x="250"/>
        <item x="147"/>
        <item x="436"/>
        <item x="156"/>
        <item x="202"/>
        <item x="77"/>
        <item x="86"/>
        <item x="355"/>
        <item x="294"/>
        <item x="318"/>
        <item x="267"/>
        <item x="465"/>
        <item x="157"/>
        <item x="84"/>
        <item x="36"/>
        <item x="502"/>
        <item x="19"/>
        <item x="358"/>
        <item x="348"/>
        <item x="412"/>
        <item x="190"/>
        <item x="265"/>
        <item x="418"/>
        <item x="189"/>
        <item x="297"/>
        <item x="371"/>
        <item x="14"/>
        <item x="527"/>
        <item x="512"/>
        <item x="390"/>
        <item x="479"/>
        <item x="64"/>
        <item x="304"/>
        <item x="149"/>
        <item x="218"/>
        <item x="400"/>
        <item x="338"/>
        <item x="82"/>
        <item x="333"/>
        <item x="426"/>
        <item x="198"/>
        <item x="164"/>
        <item x="54"/>
        <item x="88"/>
        <item x="239"/>
        <item x="388"/>
        <item x="159"/>
        <item x="404"/>
        <item x="497"/>
        <item x="112"/>
        <item x="381"/>
        <item x="516"/>
        <item x="532"/>
        <item x="34"/>
        <item x="454"/>
        <item x="316"/>
        <item x="68"/>
        <item x="251"/>
        <item x="377"/>
        <item x="435"/>
        <item x="344"/>
        <item x="328"/>
        <item x="433"/>
        <item x="415"/>
        <item x="214"/>
        <item x="259"/>
        <item x="137"/>
        <item x="191"/>
        <item x="105"/>
        <item x="161"/>
        <item x="67"/>
        <item x="118"/>
        <item x="343"/>
        <item x="299"/>
        <item x="271"/>
        <item x="427"/>
        <item x="43"/>
        <item x="51"/>
        <item x="441"/>
        <item x="241"/>
        <item x="95"/>
        <item x="383"/>
        <item x="117"/>
        <item x="509"/>
        <item x="310"/>
        <item x="363"/>
        <item x="245"/>
        <item x="224"/>
        <item x="321"/>
        <item x="195"/>
        <item x="398"/>
        <item x="373"/>
        <item x="186"/>
        <item x="243"/>
        <item x="240"/>
        <item x="62"/>
        <item x="485"/>
        <item x="331"/>
        <item x="507"/>
        <item x="449"/>
        <item x="158"/>
        <item x="220"/>
        <item x="470"/>
        <item x="107"/>
        <item x="439"/>
        <item x="127"/>
        <item x="238"/>
        <item x="369"/>
        <item x="99"/>
        <item x="16"/>
        <item x="308"/>
        <item x="380"/>
        <item x="295"/>
        <item x="432"/>
        <item x="395"/>
        <item x="278"/>
        <item x="359"/>
        <item x="531"/>
        <item x="405"/>
        <item x="173"/>
        <item x="269"/>
        <item x="340"/>
        <item x="335"/>
        <item x="60"/>
        <item x="529"/>
        <item x="129"/>
        <item x="89"/>
        <item x="429"/>
        <item x="233"/>
        <item x="385"/>
        <item x="152"/>
        <item x="217"/>
        <item x="468"/>
        <item x="203"/>
        <item x="249"/>
        <item x="323"/>
        <item x="192"/>
        <item x="287"/>
        <item x="533"/>
        <item x="130"/>
        <item x="346"/>
        <item x="478"/>
        <item x="97"/>
        <item x="483"/>
        <item x="360"/>
        <item x="23"/>
        <item x="285"/>
        <item x="256"/>
        <item x="254"/>
        <item x="196"/>
        <item x="52"/>
        <item x="116"/>
        <item x="20"/>
        <item x="263"/>
        <item x="28"/>
        <item x="174"/>
        <item x="178"/>
        <item x="450"/>
        <item x="133"/>
        <item x="73"/>
        <item x="300"/>
        <item x="2"/>
        <item x="438"/>
        <item x="442"/>
        <item x="302"/>
        <item x="59"/>
        <item x="413"/>
        <item x="394"/>
        <item x="368"/>
        <item x="17"/>
        <item x="534"/>
        <item x="49"/>
        <item x="50"/>
        <item x="391"/>
        <item x="332"/>
        <item x="184"/>
        <item x="180"/>
        <item x="42"/>
        <item x="22"/>
        <item x="8"/>
        <item x="503"/>
        <item x="466"/>
        <item x="87"/>
        <item x="215"/>
        <item x="275"/>
        <item x="83"/>
        <item x="403"/>
        <item x="536"/>
        <item x="92"/>
        <item x="477"/>
        <item x="514"/>
        <item x="430"/>
        <item x="420"/>
        <item x="253"/>
        <item x="38"/>
        <item x="24"/>
        <item x="200"/>
        <item x="104"/>
        <item x="248"/>
        <item x="187"/>
        <item x="121"/>
        <item x="167"/>
        <item x="416"/>
        <item x="201"/>
        <item x="374"/>
        <item x="472"/>
        <item x="31"/>
        <item x="498"/>
        <item x="431"/>
        <item x="342"/>
        <item x="9"/>
        <item x="46"/>
        <item x="419"/>
        <item x="392"/>
        <item x="407"/>
        <item x="489"/>
        <item x="132"/>
        <item x="313"/>
        <item x="511"/>
        <item x="139"/>
        <item x="66"/>
        <item x="317"/>
        <item x="382"/>
        <item x="193"/>
        <item x="109"/>
        <item x="37"/>
        <item x="487"/>
        <item x="168"/>
        <item x="423"/>
        <item x="145"/>
        <item x="181"/>
        <item x="440"/>
        <item x="237"/>
        <item x="352"/>
        <item x="396"/>
        <item x="252"/>
        <item x="330"/>
        <item x="530"/>
        <item x="114"/>
        <item x="113"/>
        <item x="227"/>
        <item x="471"/>
        <item x="387"/>
        <item x="496"/>
        <item x="417"/>
        <item x="172"/>
        <item x="125"/>
        <item x="389"/>
        <item x="445"/>
        <item x="490"/>
        <item x="362"/>
        <item x="434"/>
        <item x="486"/>
        <item x="480"/>
        <item x="401"/>
        <item x="57"/>
        <item x="457"/>
        <item x="56"/>
        <item x="206"/>
        <item x="3"/>
        <item x="513"/>
        <item x="128"/>
        <item x="102"/>
        <item x="464"/>
        <item x="194"/>
        <item x="153"/>
        <item x="264"/>
        <item x="257"/>
        <item x="446"/>
        <item x="461"/>
        <item x="463"/>
        <item x="384"/>
        <item x="61"/>
        <item x="100"/>
        <item x="410"/>
        <item x="228"/>
        <item x="96"/>
        <item x="327"/>
        <item x="111"/>
        <item x="524"/>
        <item x="311"/>
        <item x="221"/>
        <item x="244"/>
        <item x="25"/>
        <item x="144"/>
        <item x="443"/>
        <item x="351"/>
        <item x="376"/>
        <item x="305"/>
        <item x="347"/>
        <item x="0"/>
        <item x="336"/>
        <item x="428"/>
        <item x="27"/>
        <item x="337"/>
        <item x="399"/>
        <item x="126"/>
        <item x="525"/>
        <item x="501"/>
        <item x="349"/>
        <item x="5"/>
        <item x="154"/>
        <item x="484"/>
        <item x="47"/>
        <item x="270"/>
        <item x="521"/>
        <item x="183"/>
        <item x="76"/>
        <item x="350"/>
        <item x="108"/>
        <item x="473"/>
        <item x="274"/>
        <item x="122"/>
        <item x="35"/>
        <item x="148"/>
        <item x="216"/>
        <item x="11"/>
        <item x="93"/>
        <item x="283"/>
        <item x="199"/>
        <item x="402"/>
        <item t="default"/>
      </items>
    </pivotField>
    <pivotField showAll="0"/>
    <pivotField showAll="0"/>
    <pivotField showAll="0"/>
    <pivotField showAll="0"/>
    <pivotField showAll="0">
      <items count="11">
        <item x="0"/>
        <item x="4"/>
        <item x="5"/>
        <item x="8"/>
        <item x="7"/>
        <item x="6"/>
        <item x="1"/>
        <item x="9"/>
        <item x="2"/>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21"/>
  </rowFields>
  <rowItems count="3">
    <i>
      <x v="1"/>
    </i>
    <i>
      <x v="2"/>
    </i>
    <i t="grand">
      <x/>
    </i>
  </rowItems>
  <colItems count="1">
    <i/>
  </colItems>
  <dataFields count="1">
    <dataField name="Sum of Quantity" fld="7" baseField="0" baseItem="0"/>
  </dataFields>
  <formats count="3">
    <format dxfId="9">
      <pivotArea dataOnly="0" grandRow="1" fieldPosition="0"/>
    </format>
    <format dxfId="8">
      <pivotArea dataOnly="0" labelOnly="1" grandRow="1" outline="0" fieldPosition="0"/>
    </format>
    <format dxfId="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1FB3C5-8C67-4186-B0A4-CD23D2D19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B50" firstHeaderRow="1" firstDataRow="1" firstDataCol="1"/>
  <pivotFields count="22">
    <pivotField showAll="0"/>
    <pivotField showAll="0"/>
    <pivotField showAll="0">
      <items count="773">
        <item x="43"/>
        <item x="357"/>
        <item x="286"/>
        <item x="315"/>
        <item x="2"/>
        <item x="234"/>
        <item x="254"/>
        <item x="732"/>
        <item x="318"/>
        <item x="614"/>
        <item x="519"/>
        <item x="471"/>
        <item x="658"/>
        <item x="347"/>
        <item x="113"/>
        <item x="151"/>
        <item x="167"/>
        <item x="37"/>
        <item x="635"/>
        <item x="242"/>
        <item x="216"/>
        <item x="470"/>
        <item x="384"/>
        <item x="588"/>
        <item x="49"/>
        <item x="476"/>
        <item x="349"/>
        <item x="405"/>
        <item x="467"/>
        <item x="638"/>
        <item x="525"/>
        <item x="462"/>
        <item x="708"/>
        <item x="421"/>
        <item x="387"/>
        <item x="294"/>
        <item x="50"/>
        <item x="367"/>
        <item x="586"/>
        <item x="230"/>
        <item x="539"/>
        <item x="496"/>
        <item x="67"/>
        <item x="15"/>
        <item x="682"/>
        <item x="760"/>
        <item x="393"/>
        <item x="41"/>
        <item x="258"/>
        <item x="514"/>
        <item x="326"/>
        <item x="219"/>
        <item x="493"/>
        <item x="12"/>
        <item x="38"/>
        <item x="302"/>
        <item x="621"/>
        <item x="690"/>
        <item x="767"/>
        <item x="565"/>
        <item x="460"/>
        <item x="136"/>
        <item x="672"/>
        <item x="32"/>
        <item x="378"/>
        <item x="169"/>
        <item x="143"/>
        <item x="487"/>
        <item x="561"/>
        <item x="629"/>
        <item x="567"/>
        <item x="686"/>
        <item x="754"/>
        <item x="223"/>
        <item x="513"/>
        <item x="771"/>
        <item x="101"/>
        <item x="748"/>
        <item x="615"/>
        <item x="129"/>
        <item x="602"/>
        <item x="3"/>
        <item x="434"/>
        <item x="726"/>
        <item x="250"/>
        <item x="683"/>
        <item x="320"/>
        <item x="723"/>
        <item x="99"/>
        <item x="536"/>
        <item x="745"/>
        <item x="76"/>
        <item x="578"/>
        <item x="103"/>
        <item x="106"/>
        <item x="256"/>
        <item x="147"/>
        <item x="36"/>
        <item x="297"/>
        <item x="191"/>
        <item x="704"/>
        <item x="646"/>
        <item x="724"/>
        <item x="140"/>
        <item x="364"/>
        <item x="439"/>
        <item x="526"/>
        <item x="763"/>
        <item x="317"/>
        <item x="72"/>
        <item x="582"/>
        <item x="656"/>
        <item x="472"/>
        <item x="541"/>
        <item x="610"/>
        <item x="66"/>
        <item x="601"/>
        <item x="710"/>
        <item x="222"/>
        <item x="133"/>
        <item x="366"/>
        <item x="642"/>
        <item x="348"/>
        <item x="687"/>
        <item x="464"/>
        <item x="450"/>
        <item x="729"/>
        <item x="321"/>
        <item x="344"/>
        <item x="545"/>
        <item x="473"/>
        <item x="377"/>
        <item x="206"/>
        <item x="184"/>
        <item x="733"/>
        <item x="126"/>
        <item x="479"/>
        <item x="446"/>
        <item x="663"/>
        <item x="540"/>
        <item x="576"/>
        <item x="611"/>
        <item x="418"/>
        <item x="424"/>
        <item x="279"/>
        <item x="182"/>
        <item x="482"/>
        <item x="574"/>
        <item x="528"/>
        <item x="305"/>
        <item x="22"/>
        <item x="183"/>
        <item x="497"/>
        <item x="728"/>
        <item x="280"/>
        <item x="624"/>
        <item x="89"/>
        <item x="246"/>
        <item x="702"/>
        <item x="257"/>
        <item x="150"/>
        <item x="57"/>
        <item x="342"/>
        <item x="501"/>
        <item x="365"/>
        <item x="293"/>
        <item x="750"/>
        <item x="80"/>
        <item x="290"/>
        <item x="1"/>
        <item x="530"/>
        <item x="157"/>
        <item x="543"/>
        <item x="636"/>
        <item x="612"/>
        <item x="227"/>
        <item x="619"/>
        <item x="102"/>
        <item x="260"/>
        <item x="562"/>
        <item x="423"/>
        <item x="240"/>
        <item x="692"/>
        <item x="226"/>
        <item x="756"/>
        <item x="570"/>
        <item x="309"/>
        <item x="14"/>
        <item x="551"/>
        <item x="64"/>
        <item x="412"/>
        <item x="245"/>
        <item x="354"/>
        <item x="310"/>
        <item x="749"/>
        <item x="389"/>
        <item x="152"/>
        <item x="755"/>
        <item x="594"/>
        <item x="620"/>
        <item x="641"/>
        <item x="486"/>
        <item x="202"/>
        <item x="639"/>
        <item x="743"/>
        <item x="159"/>
        <item x="444"/>
        <item x="215"/>
        <item x="764"/>
        <item x="645"/>
        <item x="388"/>
        <item x="568"/>
        <item x="705"/>
        <item x="303"/>
        <item x="394"/>
        <item x="313"/>
        <item x="466"/>
        <item x="667"/>
        <item x="217"/>
        <item x="422"/>
        <item x="123"/>
        <item x="352"/>
        <item x="287"/>
        <item x="4"/>
        <item x="677"/>
        <item x="265"/>
        <item x="209"/>
        <item x="435"/>
        <item x="552"/>
        <item x="587"/>
        <item x="518"/>
        <item x="299"/>
        <item x="512"/>
        <item x="608"/>
        <item x="685"/>
        <item x="468"/>
        <item x="193"/>
        <item x="569"/>
        <item x="643"/>
        <item x="669"/>
        <item x="737"/>
        <item x="248"/>
        <item x="478"/>
        <item x="650"/>
        <item x="10"/>
        <item x="714"/>
        <item x="542"/>
        <item x="697"/>
        <item x="48"/>
        <item x="432"/>
        <item x="362"/>
        <item x="194"/>
        <item x="409"/>
        <item x="627"/>
        <item x="363"/>
        <item x="443"/>
        <item x="395"/>
        <item x="263"/>
        <item x="489"/>
        <item x="345"/>
        <item x="269"/>
        <item x="371"/>
        <item x="13"/>
        <item x="560"/>
        <item x="58"/>
        <item x="71"/>
        <item x="296"/>
        <item x="537"/>
        <item x="70"/>
        <item x="448"/>
        <item x="442"/>
        <item x="622"/>
        <item x="759"/>
        <item x="503"/>
        <item x="765"/>
        <item x="295"/>
        <item x="456"/>
        <item x="454"/>
        <item x="118"/>
        <item x="679"/>
        <item x="438"/>
        <item x="689"/>
        <item x="346"/>
        <item x="187"/>
        <item x="212"/>
        <item x="176"/>
        <item x="175"/>
        <item x="458"/>
        <item x="335"/>
        <item x="188"/>
        <item x="125"/>
        <item x="78"/>
        <item x="706"/>
        <item x="703"/>
        <item x="709"/>
        <item x="691"/>
        <item x="210"/>
        <item x="160"/>
        <item x="413"/>
        <item x="83"/>
        <item x="664"/>
        <item x="554"/>
        <item x="684"/>
        <item x="34"/>
        <item x="596"/>
        <item x="381"/>
        <item x="68"/>
        <item x="731"/>
        <item x="549"/>
        <item x="504"/>
        <item x="170"/>
        <item x="406"/>
        <item x="110"/>
        <item x="433"/>
        <item x="16"/>
        <item x="407"/>
        <item x="60"/>
        <item x="747"/>
        <item x="517"/>
        <item x="553"/>
        <item x="630"/>
        <item x="229"/>
        <item x="626"/>
        <item x="137"/>
        <item x="426"/>
        <item x="557"/>
        <item x="119"/>
        <item x="391"/>
        <item x="590"/>
        <item x="498"/>
        <item x="17"/>
        <item x="766"/>
        <item x="403"/>
        <item x="197"/>
        <item x="324"/>
        <item x="84"/>
        <item x="698"/>
        <item x="739"/>
        <item x="676"/>
        <item x="225"/>
        <item x="559"/>
        <item x="605"/>
        <item x="670"/>
        <item x="546"/>
        <item x="198"/>
        <item x="356"/>
        <item x="746"/>
        <item x="400"/>
        <item x="259"/>
        <item x="680"/>
        <item x="531"/>
        <item x="385"/>
        <item x="211"/>
        <item x="488"/>
        <item x="566"/>
        <item x="666"/>
        <item x="508"/>
        <item x="644"/>
        <item x="325"/>
        <item x="661"/>
        <item x="507"/>
        <item x="521"/>
        <item x="483"/>
        <item x="281"/>
        <item x="469"/>
        <item x="47"/>
        <item x="431"/>
        <item x="201"/>
        <item x="353"/>
        <item x="292"/>
        <item x="334"/>
        <item x="414"/>
        <item x="156"/>
        <item x="94"/>
        <item x="762"/>
        <item x="172"/>
        <item x="9"/>
        <item x="253"/>
        <item x="577"/>
        <item x="148"/>
        <item x="284"/>
        <item x="511"/>
        <item x="322"/>
        <item x="199"/>
        <item x="251"/>
        <item x="550"/>
        <item x="516"/>
        <item x="563"/>
        <item x="161"/>
        <item x="44"/>
        <item x="200"/>
        <item x="436"/>
        <item x="27"/>
        <item x="11"/>
        <item x="122"/>
        <item x="91"/>
        <item x="617"/>
        <item x="163"/>
        <item x="441"/>
        <item x="181"/>
        <item x="18"/>
        <item x="337"/>
        <item x="495"/>
        <item x="618"/>
        <item x="375"/>
        <item x="515"/>
        <item x="351"/>
        <item x="453"/>
        <item x="221"/>
        <item x="461"/>
        <item x="534"/>
        <item x="247"/>
        <item x="312"/>
        <item x="445"/>
        <item x="192"/>
        <item x="529"/>
        <item x="662"/>
        <item x="26"/>
        <item x="195"/>
        <item x="548"/>
        <item x="360"/>
        <item x="564"/>
        <item x="741"/>
        <item x="301"/>
        <item x="634"/>
        <item x="522"/>
        <item x="768"/>
        <item x="178"/>
        <item x="45"/>
        <item x="177"/>
        <item x="452"/>
        <item x="358"/>
        <item x="189"/>
        <item x="235"/>
        <item x="652"/>
        <item x="736"/>
        <item x="751"/>
        <item x="527"/>
        <item x="591"/>
        <item x="440"/>
        <item x="186"/>
        <item x="204"/>
        <item x="283"/>
        <item x="717"/>
        <item x="73"/>
        <item x="75"/>
        <item x="675"/>
        <item x="40"/>
        <item x="678"/>
        <item x="146"/>
        <item x="33"/>
        <item x="609"/>
        <item x="81"/>
        <item x="141"/>
        <item x="92"/>
        <item x="262"/>
        <item x="616"/>
        <item x="238"/>
        <item x="82"/>
        <item x="361"/>
        <item x="623"/>
        <item x="271"/>
        <item x="668"/>
        <item x="39"/>
        <item x="606"/>
        <item x="29"/>
        <item x="474"/>
        <item x="598"/>
        <item x="535"/>
        <item x="21"/>
        <item x="399"/>
        <item x="719"/>
        <item x="674"/>
        <item x="7"/>
        <item x="79"/>
        <item x="402"/>
        <item x="174"/>
        <item x="653"/>
        <item x="96"/>
        <item x="196"/>
        <item x="484"/>
        <item x="130"/>
        <item x="55"/>
        <item x="236"/>
        <item x="69"/>
        <item x="744"/>
        <item x="109"/>
        <item x="380"/>
        <item x="572"/>
        <item x="370"/>
        <item x="408"/>
        <item x="437"/>
        <item x="255"/>
        <item x="233"/>
        <item x="86"/>
        <item x="142"/>
        <item x="138"/>
        <item x="742"/>
        <item x="659"/>
        <item x="343"/>
        <item x="332"/>
        <item x="179"/>
        <item x="490"/>
        <item x="304"/>
        <item x="558"/>
        <item x="266"/>
        <item x="510"/>
        <item x="316"/>
        <item x="327"/>
        <item x="631"/>
        <item x="120"/>
        <item x="162"/>
        <item x="149"/>
        <item x="571"/>
        <item x="336"/>
        <item x="341"/>
        <item x="270"/>
        <item x="398"/>
        <item x="699"/>
        <item x="721"/>
        <item x="386"/>
        <item x="603"/>
        <item x="331"/>
        <item x="231"/>
        <item x="595"/>
        <item x="429"/>
        <item x="208"/>
        <item x="722"/>
        <item x="379"/>
        <item x="415"/>
        <item x="613"/>
        <item x="373"/>
        <item x="350"/>
        <item x="607"/>
        <item x="374"/>
        <item x="583"/>
        <item x="695"/>
        <item x="333"/>
        <item x="330"/>
        <item x="523"/>
        <item x="239"/>
        <item x="6"/>
        <item x="544"/>
        <item x="53"/>
        <item x="264"/>
        <item x="688"/>
        <item x="339"/>
        <item x="455"/>
        <item x="425"/>
        <item x="593"/>
        <item x="100"/>
        <item x="65"/>
        <item x="105"/>
        <item x="770"/>
        <item x="720"/>
        <item x="278"/>
        <item x="673"/>
        <item x="520"/>
        <item x="392"/>
        <item x="700"/>
        <item x="30"/>
        <item x="128"/>
        <item x="300"/>
        <item x="180"/>
        <item x="491"/>
        <item x="640"/>
        <item x="524"/>
        <item x="144"/>
        <item x="124"/>
        <item x="599"/>
        <item x="63"/>
        <item x="417"/>
        <item x="311"/>
        <item x="657"/>
        <item x="237"/>
        <item x="288"/>
        <item x="158"/>
        <item x="168"/>
        <item x="475"/>
        <item x="87"/>
        <item x="383"/>
        <item x="592"/>
        <item x="85"/>
        <item x="19"/>
        <item x="428"/>
        <item x="220"/>
        <item x="532"/>
        <item x="355"/>
        <item x="740"/>
        <item x="712"/>
        <item x="492"/>
        <item x="649"/>
        <item x="693"/>
        <item x="368"/>
        <item x="556"/>
        <item x="506"/>
        <item x="597"/>
        <item x="107"/>
        <item x="404"/>
        <item x="547"/>
        <item x="628"/>
        <item x="54"/>
        <item x="261"/>
        <item x="275"/>
        <item x="171"/>
        <item x="115"/>
        <item x="500"/>
        <item x="718"/>
        <item x="757"/>
        <item x="289"/>
        <item x="397"/>
        <item x="241"/>
        <item x="145"/>
        <item x="213"/>
        <item x="108"/>
        <item x="173"/>
        <item x="307"/>
        <item x="228"/>
        <item x="420"/>
        <item x="359"/>
        <item x="319"/>
        <item x="272"/>
        <item x="51"/>
        <item x="734"/>
        <item x="277"/>
        <item x="97"/>
        <item x="480"/>
        <item x="707"/>
        <item x="282"/>
        <item x="252"/>
        <item x="218"/>
        <item x="465"/>
        <item x="276"/>
        <item x="62"/>
        <item x="665"/>
        <item x="401"/>
        <item x="701"/>
        <item x="589"/>
        <item x="451"/>
        <item x="632"/>
        <item x="575"/>
        <item x="134"/>
        <item x="274"/>
        <item x="372"/>
        <item x="477"/>
        <item x="752"/>
        <item x="499"/>
        <item x="329"/>
        <item x="447"/>
        <item x="190"/>
        <item x="314"/>
        <item x="416"/>
        <item x="761"/>
        <item x="90"/>
        <item x="268"/>
        <item x="164"/>
        <item x="244"/>
        <item x="494"/>
        <item x="390"/>
        <item x="214"/>
        <item x="340"/>
        <item x="758"/>
        <item x="738"/>
        <item x="648"/>
        <item x="696"/>
        <item x="449"/>
        <item x="23"/>
        <item x="338"/>
        <item x="298"/>
        <item x="681"/>
        <item x="52"/>
        <item x="20"/>
        <item x="306"/>
        <item x="28"/>
        <item x="74"/>
        <item x="463"/>
        <item x="573"/>
        <item x="579"/>
        <item x="59"/>
        <item x="459"/>
        <item x="727"/>
        <item x="715"/>
        <item x="203"/>
        <item x="42"/>
        <item x="660"/>
        <item x="8"/>
        <item x="625"/>
        <item x="88"/>
        <item x="538"/>
        <item x="267"/>
        <item x="769"/>
        <item x="93"/>
        <item x="647"/>
        <item x="716"/>
        <item x="555"/>
        <item x="24"/>
        <item x="285"/>
        <item x="207"/>
        <item x="600"/>
        <item x="580"/>
        <item x="637"/>
        <item x="31"/>
        <item x="419"/>
        <item x="46"/>
        <item x="533"/>
        <item x="694"/>
        <item x="139"/>
        <item x="711"/>
        <item x="153"/>
        <item x="382"/>
        <item x="112"/>
        <item x="121"/>
        <item x="185"/>
        <item x="155"/>
        <item x="273"/>
        <item x="502"/>
        <item x="291"/>
        <item x="753"/>
        <item x="117"/>
        <item x="116"/>
        <item x="633"/>
        <item x="485"/>
        <item x="131"/>
        <item x="584"/>
        <item x="671"/>
        <item x="651"/>
        <item x="328"/>
        <item x="604"/>
        <item x="56"/>
        <item x="232"/>
        <item x="713"/>
        <item x="135"/>
        <item x="104"/>
        <item x="165"/>
        <item x="308"/>
        <item x="585"/>
        <item x="655"/>
        <item x="481"/>
        <item x="61"/>
        <item x="98"/>
        <item x="396"/>
        <item x="114"/>
        <item x="730"/>
        <item x="376"/>
        <item x="249"/>
        <item x="410"/>
        <item x="25"/>
        <item x="154"/>
        <item x="581"/>
        <item x="369"/>
        <item x="427"/>
        <item x="0"/>
        <item x="411"/>
        <item x="457"/>
        <item x="505"/>
        <item x="132"/>
        <item x="735"/>
        <item x="430"/>
        <item x="5"/>
        <item x="166"/>
        <item x="725"/>
        <item x="654"/>
        <item x="77"/>
        <item x="111"/>
        <item x="323"/>
        <item x="127"/>
        <item x="35"/>
        <item x="205"/>
        <item x="243"/>
        <item x="95"/>
        <item x="224"/>
        <item x="509"/>
        <item t="default"/>
      </items>
    </pivotField>
    <pivotField showAll="0"/>
    <pivotField showAll="0"/>
    <pivotField showAll="0"/>
    <pivotField showAll="0"/>
    <pivotField showAll="0"/>
    <pivotField showAll="0">
      <items count="900">
        <item x="328"/>
        <item x="350"/>
        <item x="9"/>
        <item x="762"/>
        <item x="656"/>
        <item x="499"/>
        <item x="270"/>
        <item x="554"/>
        <item x="249"/>
        <item x="347"/>
        <item x="493"/>
        <item x="489"/>
        <item x="367"/>
        <item x="18"/>
        <item x="697"/>
        <item x="600"/>
        <item x="438"/>
        <item x="883"/>
        <item x="608"/>
        <item x="62"/>
        <item x="843"/>
        <item x="181"/>
        <item x="251"/>
        <item x="315"/>
        <item x="417"/>
        <item x="124"/>
        <item x="541"/>
        <item x="440"/>
        <item x="603"/>
        <item x="629"/>
        <item x="615"/>
        <item x="55"/>
        <item x="711"/>
        <item x="464"/>
        <item x="575"/>
        <item x="719"/>
        <item x="68"/>
        <item x="280"/>
        <item x="583"/>
        <item x="729"/>
        <item x="649"/>
        <item x="115"/>
        <item x="876"/>
        <item x="700"/>
        <item x="855"/>
        <item x="38"/>
        <item x="22"/>
        <item x="239"/>
        <item x="252"/>
        <item x="570"/>
        <item x="740"/>
        <item x="326"/>
        <item x="305"/>
        <item x="317"/>
        <item x="898"/>
        <item x="137"/>
        <item x="344"/>
        <item x="796"/>
        <item x="320"/>
        <item x="491"/>
        <item x="375"/>
        <item x="387"/>
        <item x="805"/>
        <item x="870"/>
        <item x="3"/>
        <item x="534"/>
        <item x="295"/>
        <item x="819"/>
        <item x="207"/>
        <item x="845"/>
        <item x="253"/>
        <item x="851"/>
        <item x="867"/>
        <item x="361"/>
        <item x="277"/>
        <item x="591"/>
        <item x="34"/>
        <item x="405"/>
        <item x="652"/>
        <item x="118"/>
        <item x="760"/>
        <item x="13"/>
        <item x="861"/>
        <item x="764"/>
        <item x="228"/>
        <item x="683"/>
        <item x="769"/>
        <item x="674"/>
        <item x="246"/>
        <item x="717"/>
        <item x="804"/>
        <item x="170"/>
        <item x="671"/>
        <item x="162"/>
        <item x="513"/>
        <item x="466"/>
        <item x="516"/>
        <item x="364"/>
        <item x="127"/>
        <item x="242"/>
        <item x="396"/>
        <item x="146"/>
        <item x="605"/>
        <item x="45"/>
        <item x="626"/>
        <item x="191"/>
        <item x="220"/>
        <item x="233"/>
        <item x="829"/>
        <item x="515"/>
        <item x="165"/>
        <item x="399"/>
        <item x="453"/>
        <item x="436"/>
        <item x="337"/>
        <item x="141"/>
        <item x="160"/>
        <item x="415"/>
        <item x="384"/>
        <item x="180"/>
        <item x="71"/>
        <item x="520"/>
        <item x="271"/>
        <item x="157"/>
        <item x="588"/>
        <item x="602"/>
        <item x="276"/>
        <item x="616"/>
        <item x="691"/>
        <item x="214"/>
        <item x="63"/>
        <item x="459"/>
        <item x="0"/>
        <item x="886"/>
        <item x="553"/>
        <item x="556"/>
        <item x="820"/>
        <item x="348"/>
        <item x="644"/>
        <item x="710"/>
        <item x="636"/>
        <item x="581"/>
        <item x="653"/>
        <item x="222"/>
        <item x="880"/>
        <item x="723"/>
        <item x="327"/>
        <item x="435"/>
        <item x="658"/>
        <item x="446"/>
        <item x="103"/>
        <item x="673"/>
        <item x="31"/>
        <item x="623"/>
        <item x="590"/>
        <item x="185"/>
        <item x="177"/>
        <item x="667"/>
        <item x="409"/>
        <item x="422"/>
        <item x="145"/>
        <item x="59"/>
        <item x="143"/>
        <item x="122"/>
        <item x="799"/>
        <item x="126"/>
        <item x="857"/>
        <item x="108"/>
        <item x="78"/>
        <item x="156"/>
        <item x="432"/>
        <item x="803"/>
        <item x="618"/>
        <item x="620"/>
        <item x="120"/>
        <item x="692"/>
        <item x="573"/>
        <item x="229"/>
        <item x="234"/>
        <item x="624"/>
        <item x="334"/>
        <item x="198"/>
        <item x="150"/>
        <item x="721"/>
        <item x="168"/>
        <item x="735"/>
        <item x="869"/>
        <item x="739"/>
        <item x="192"/>
        <item x="186"/>
        <item x="744"/>
        <item x="23"/>
        <item x="241"/>
        <item x="578"/>
        <item x="299"/>
        <item x="314"/>
        <item x="6"/>
        <item x="359"/>
        <item x="418"/>
        <item x="116"/>
        <item x="16"/>
        <item x="836"/>
        <item x="188"/>
        <item x="297"/>
        <item x="448"/>
        <item x="604"/>
        <item x="104"/>
        <item x="202"/>
        <item x="635"/>
        <item x="601"/>
        <item x="818"/>
        <item x="486"/>
        <item x="822"/>
        <item x="538"/>
        <item x="128"/>
        <item x="825"/>
        <item x="261"/>
        <item x="218"/>
        <item x="784"/>
        <item x="702"/>
        <item x="831"/>
        <item x="210"/>
        <item x="893"/>
        <item x="550"/>
        <item x="613"/>
        <item x="862"/>
        <item x="839"/>
        <item x="648"/>
        <item x="264"/>
        <item x="318"/>
        <item x="679"/>
        <item x="666"/>
        <item x="842"/>
        <item x="204"/>
        <item x="406"/>
        <item x="339"/>
        <item x="338"/>
        <item x="201"/>
        <item x="569"/>
        <item x="780"/>
        <item x="379"/>
        <item x="750"/>
        <item x="15"/>
        <item x="669"/>
        <item x="285"/>
        <item x="123"/>
        <item x="766"/>
        <item x="33"/>
        <item x="154"/>
        <item x="281"/>
        <item x="48"/>
        <item x="138"/>
        <item x="688"/>
        <item x="431"/>
        <item x="483"/>
        <item x="212"/>
        <item x="835"/>
        <item x="841"/>
        <item x="892"/>
        <item x="452"/>
        <item x="69"/>
        <item x="650"/>
        <item x="101"/>
        <item x="612"/>
        <item x="182"/>
        <item x="449"/>
        <item x="709"/>
        <item x="814"/>
        <item x="888"/>
        <item x="684"/>
        <item x="495"/>
        <item x="175"/>
        <item x="21"/>
        <item x="410"/>
        <item x="366"/>
        <item x="525"/>
        <item x="179"/>
        <item x="777"/>
        <item x="267"/>
        <item x="706"/>
        <item x="531"/>
        <item x="872"/>
        <item x="231"/>
        <item x="824"/>
        <item x="236"/>
        <item x="790"/>
        <item x="167"/>
        <item x="833"/>
        <item x="97"/>
        <item x="296"/>
        <item x="196"/>
        <item x="424"/>
        <item x="377"/>
        <item x="745"/>
        <item x="788"/>
        <item x="77"/>
        <item x="331"/>
        <item x="802"/>
        <item x="42"/>
        <item x="783"/>
        <item x="875"/>
        <item x="194"/>
        <item x="119"/>
        <item x="509"/>
        <item x="258"/>
        <item x="275"/>
        <item x="10"/>
        <item x="727"/>
        <item x="741"/>
        <item x="757"/>
        <item x="859"/>
        <item x="546"/>
        <item x="363"/>
        <item x="20"/>
        <item x="707"/>
        <item x="155"/>
        <item x="208"/>
        <item x="475"/>
        <item x="105"/>
        <item x="887"/>
        <item x="722"/>
        <item x="392"/>
        <item x="98"/>
        <item x="646"/>
        <item x="639"/>
        <item x="638"/>
        <item x="8"/>
        <item x="878"/>
        <item x="849"/>
        <item x="365"/>
        <item x="703"/>
        <item x="641"/>
        <item x="660"/>
        <item x="85"/>
        <item x="662"/>
        <item x="426"/>
        <item x="427"/>
        <item x="357"/>
        <item x="631"/>
        <item x="171"/>
        <item x="897"/>
        <item x="421"/>
        <item x="672"/>
        <item x="245"/>
        <item x="262"/>
        <item x="472"/>
        <item x="322"/>
        <item x="102"/>
        <item x="240"/>
        <item x="501"/>
        <item x="40"/>
        <item x="352"/>
        <item x="412"/>
        <item x="259"/>
        <item x="846"/>
        <item x="420"/>
        <item x="283"/>
        <item x="704"/>
        <item x="247"/>
        <item x="682"/>
        <item x="86"/>
        <item x="74"/>
        <item x="96"/>
        <item x="481"/>
        <item x="325"/>
        <item x="536"/>
        <item x="323"/>
        <item x="696"/>
        <item x="552"/>
        <item x="572"/>
        <item x="634"/>
        <item x="457"/>
        <item x="169"/>
        <item x="468"/>
        <item x="827"/>
        <item x="865"/>
        <item x="66"/>
        <item x="394"/>
        <item x="184"/>
        <item x="693"/>
        <item x="461"/>
        <item x="542"/>
        <item x="248"/>
        <item x="308"/>
        <item x="732"/>
        <item x="787"/>
        <item x="496"/>
        <item x="506"/>
        <item x="482"/>
        <item x="163"/>
        <item x="807"/>
        <item x="759"/>
        <item x="324"/>
        <item x="61"/>
        <item x="382"/>
        <item x="801"/>
        <item x="87"/>
        <item x="699"/>
        <item x="312"/>
        <item x="256"/>
        <item x="540"/>
        <item x="471"/>
        <item x="166"/>
        <item x="112"/>
        <item x="391"/>
        <item x="786"/>
        <item x="64"/>
        <item x="311"/>
        <item x="430"/>
        <item x="407"/>
        <item x="26"/>
        <item x="301"/>
        <item x="778"/>
        <item x="503"/>
        <item x="226"/>
        <item x="654"/>
        <item x="625"/>
        <item x="507"/>
        <item x="716"/>
        <item x="630"/>
        <item x="724"/>
        <item x="860"/>
        <item x="462"/>
        <item x="93"/>
        <item x="637"/>
        <item x="761"/>
        <item x="681"/>
        <item x="657"/>
        <item x="817"/>
        <item x="173"/>
        <item x="215"/>
        <item x="763"/>
        <item x="720"/>
        <item x="768"/>
        <item x="300"/>
        <item x="130"/>
        <item x="823"/>
        <item x="395"/>
        <item x="463"/>
        <item x="287"/>
        <item x="492"/>
        <item x="830"/>
        <item x="378"/>
        <item x="645"/>
        <item x="319"/>
        <item x="111"/>
        <item x="355"/>
        <item x="164"/>
        <item x="478"/>
        <item x="598"/>
        <item x="304"/>
        <item x="140"/>
        <item x="289"/>
        <item x="812"/>
        <item x="307"/>
        <item x="798"/>
        <item x="100"/>
        <item x="663"/>
        <item x="528"/>
        <item x="753"/>
        <item x="782"/>
        <item x="437"/>
        <item x="661"/>
        <item x="125"/>
        <item x="689"/>
        <item x="211"/>
        <item x="485"/>
        <item x="535"/>
        <item x="708"/>
        <item x="216"/>
        <item x="523"/>
        <item x="135"/>
        <item x="664"/>
        <item x="894"/>
        <item x="690"/>
        <item x="811"/>
        <item x="537"/>
        <item x="443"/>
        <item x="694"/>
        <item x="597"/>
        <item x="46"/>
        <item x="785"/>
        <item x="358"/>
        <item x="106"/>
        <item x="425"/>
        <item x="585"/>
        <item x="41"/>
        <item x="856"/>
        <item x="217"/>
        <item x="340"/>
        <item x="549"/>
        <item x="73"/>
        <item x="678"/>
        <item x="416"/>
        <item x="235"/>
        <item x="873"/>
        <item x="292"/>
        <item x="76"/>
        <item x="567"/>
        <item x="701"/>
        <item x="633"/>
        <item x="284"/>
        <item x="354"/>
        <item x="589"/>
        <item x="451"/>
        <item x="627"/>
        <item x="237"/>
        <item x="813"/>
        <item x="117"/>
        <item x="362"/>
        <item x="896"/>
        <item x="725"/>
        <item x="517"/>
        <item x="345"/>
        <item x="755"/>
        <item x="30"/>
        <item x="190"/>
        <item x="302"/>
        <item x="864"/>
        <item x="617"/>
        <item x="389"/>
        <item x="148"/>
        <item x="686"/>
        <item x="844"/>
        <item x="11"/>
        <item x="675"/>
        <item x="172"/>
        <item x="480"/>
        <item x="579"/>
        <item x="303"/>
        <item x="714"/>
        <item x="408"/>
        <item x="53"/>
        <item x="840"/>
        <item x="28"/>
        <item x="770"/>
        <item x="551"/>
        <item x="514"/>
        <item x="402"/>
        <item x="756"/>
        <item x="748"/>
        <item x="27"/>
        <item x="837"/>
        <item x="713"/>
        <item x="441"/>
        <item x="219"/>
        <item x="529"/>
        <item x="80"/>
        <item x="776"/>
        <item x="200"/>
        <item x="109"/>
        <item x="527"/>
        <item x="580"/>
        <item x="595"/>
        <item x="797"/>
        <item x="533"/>
        <item x="17"/>
        <item x="209"/>
        <item x="343"/>
        <item x="752"/>
        <item x="868"/>
        <item x="454"/>
        <item x="890"/>
        <item x="614"/>
        <item x="494"/>
        <item x="114"/>
        <item x="450"/>
        <item x="698"/>
        <item x="203"/>
        <item x="321"/>
        <item x="374"/>
        <item x="442"/>
        <item x="90"/>
        <item x="611"/>
        <item x="863"/>
        <item x="193"/>
        <item x="265"/>
        <item x="142"/>
        <item x="250"/>
        <item x="360"/>
        <item x="488"/>
        <item x="456"/>
        <item x="414"/>
        <item x="487"/>
        <item x="606"/>
        <item x="628"/>
        <item x="81"/>
        <item x="176"/>
        <item x="607"/>
        <item x="349"/>
        <item x="767"/>
        <item x="854"/>
        <item x="134"/>
        <item x="643"/>
        <item x="574"/>
        <item x="400"/>
        <item x="329"/>
        <item x="269"/>
        <item x="794"/>
        <item x="238"/>
        <item x="51"/>
        <item x="737"/>
        <item x="543"/>
        <item x="133"/>
        <item x="423"/>
        <item x="800"/>
        <item x="504"/>
        <item x="746"/>
        <item x="558"/>
        <item x="668"/>
        <item x="497"/>
        <item x="816"/>
        <item x="594"/>
        <item x="376"/>
        <item x="834"/>
        <item x="353"/>
        <item x="781"/>
        <item x="19"/>
        <item x="582"/>
        <item x="49"/>
        <item x="224"/>
        <item x="838"/>
        <item x="397"/>
        <item x="113"/>
        <item x="879"/>
        <item x="268"/>
        <item x="560"/>
        <item x="95"/>
        <item x="479"/>
        <item x="848"/>
        <item x="749"/>
        <item x="539"/>
        <item x="227"/>
        <item x="50"/>
        <item x="91"/>
        <item x="555"/>
        <item x="502"/>
        <item x="390"/>
        <item x="789"/>
        <item x="291"/>
        <item x="640"/>
        <item x="547"/>
        <item x="44"/>
        <item x="733"/>
        <item x="792"/>
        <item x="779"/>
        <item x="313"/>
        <item x="243"/>
        <item x="758"/>
        <item x="577"/>
        <item x="398"/>
        <item x="559"/>
        <item x="254"/>
        <item x="221"/>
        <item x="39"/>
        <item x="266"/>
        <item x="70"/>
        <item x="369"/>
        <item x="272"/>
        <item x="129"/>
        <item x="139"/>
        <item x="419"/>
        <item x="205"/>
        <item x="373"/>
        <item x="136"/>
        <item x="83"/>
        <item x="521"/>
        <item x="286"/>
        <item x="197"/>
        <item x="852"/>
        <item x="151"/>
        <item x="36"/>
        <item x="670"/>
        <item x="751"/>
        <item x="490"/>
        <item x="548"/>
        <item x="884"/>
        <item x="263"/>
        <item x="351"/>
        <item x="568"/>
        <item x="742"/>
        <item x="609"/>
        <item x="596"/>
        <item x="498"/>
        <item x="576"/>
        <item x="346"/>
        <item x="828"/>
        <item x="316"/>
        <item x="754"/>
        <item x="665"/>
        <item x="428"/>
        <item x="584"/>
        <item x="370"/>
        <item x="477"/>
        <item x="891"/>
        <item x="273"/>
        <item x="213"/>
        <item x="522"/>
        <item x="821"/>
        <item x="35"/>
        <item x="72"/>
        <item x="371"/>
        <item x="183"/>
        <item x="159"/>
        <item x="565"/>
        <item x="676"/>
        <item x="29"/>
        <item x="131"/>
        <item x="25"/>
        <item x="149"/>
        <item x="775"/>
        <item x="619"/>
        <item x="444"/>
        <item x="232"/>
        <item x="99"/>
        <item x="680"/>
        <item x="571"/>
        <item x="561"/>
        <item x="877"/>
        <item x="458"/>
        <item x="306"/>
        <item x="107"/>
        <item x="298"/>
        <item x="58"/>
        <item x="187"/>
        <item x="563"/>
        <item x="810"/>
        <item x="147"/>
        <item x="380"/>
        <item x="524"/>
        <item x="65"/>
        <item x="310"/>
        <item x="257"/>
        <item x="260"/>
        <item x="512"/>
        <item x="586"/>
        <item x="413"/>
        <item x="356"/>
        <item x="795"/>
        <item x="189"/>
        <item x="526"/>
        <item x="476"/>
        <item x="225"/>
        <item x="56"/>
        <item x="771"/>
        <item x="5"/>
        <item x="199"/>
        <item x="282"/>
        <item x="89"/>
        <item x="385"/>
        <item x="393"/>
        <item x="429"/>
        <item x="206"/>
        <item x="895"/>
        <item x="511"/>
        <item x="447"/>
        <item x="386"/>
        <item x="500"/>
        <item x="341"/>
        <item x="562"/>
        <item x="223"/>
        <item x="60"/>
        <item x="52"/>
        <item x="734"/>
        <item x="599"/>
        <item x="687"/>
        <item x="465"/>
        <item x="655"/>
        <item x="610"/>
        <item x="726"/>
        <item x="853"/>
        <item x="587"/>
        <item x="332"/>
        <item x="772"/>
        <item x="621"/>
        <item x="847"/>
        <item x="2"/>
        <item x="881"/>
        <item x="850"/>
        <item x="110"/>
        <item x="333"/>
        <item x="695"/>
        <item x="736"/>
        <item x="161"/>
        <item x="730"/>
        <item x="32"/>
        <item x="874"/>
        <item x="309"/>
        <item x="564"/>
        <item x="765"/>
        <item x="330"/>
        <item x="279"/>
        <item x="519"/>
        <item x="885"/>
        <item x="642"/>
        <item x="75"/>
        <item x="738"/>
        <item x="518"/>
        <item x="88"/>
        <item x="14"/>
        <item x="484"/>
        <item x="152"/>
        <item x="174"/>
        <item x="84"/>
        <item x="57"/>
        <item x="7"/>
        <item x="43"/>
        <item x="144"/>
        <item x="467"/>
        <item x="94"/>
        <item x="545"/>
        <item x="747"/>
        <item x="342"/>
        <item x="67"/>
        <item x="743"/>
        <item x="469"/>
        <item x="593"/>
        <item x="871"/>
        <item x="889"/>
        <item x="715"/>
        <item x="470"/>
        <item x="178"/>
        <item x="793"/>
        <item x="882"/>
        <item x="79"/>
        <item x="274"/>
        <item x="92"/>
        <item x="12"/>
        <item x="728"/>
        <item x="651"/>
        <item x="401"/>
        <item x="832"/>
        <item x="677"/>
        <item x="858"/>
        <item x="866"/>
        <item x="434"/>
        <item x="566"/>
        <item x="718"/>
        <item x="288"/>
        <item x="121"/>
        <item x="388"/>
        <item x="403"/>
        <item x="659"/>
        <item x="445"/>
        <item x="473"/>
        <item x="82"/>
        <item x="381"/>
        <item x="460"/>
        <item x="530"/>
        <item x="294"/>
        <item x="774"/>
        <item x="791"/>
        <item x="37"/>
        <item x="647"/>
        <item x="54"/>
        <item x="532"/>
        <item x="622"/>
        <item x="712"/>
        <item x="336"/>
        <item x="632"/>
        <item x="544"/>
        <item x="411"/>
        <item x="815"/>
        <item x="808"/>
        <item x="474"/>
        <item x="826"/>
        <item x="335"/>
        <item x="592"/>
        <item x="195"/>
        <item x="153"/>
        <item x="255"/>
        <item x="809"/>
        <item x="368"/>
        <item x="505"/>
        <item x="4"/>
        <item x="510"/>
        <item x="433"/>
        <item x="806"/>
        <item x="404"/>
        <item x="244"/>
        <item x="372"/>
        <item x="383"/>
        <item x="508"/>
        <item x="455"/>
        <item x="290"/>
        <item x="557"/>
        <item x="439"/>
        <item x="773"/>
        <item x="132"/>
        <item x="705"/>
        <item x="278"/>
        <item x="731"/>
        <item x="685"/>
        <item x="230"/>
        <item x="158"/>
        <item x="293"/>
        <item x="24"/>
        <item x="1"/>
        <item x="47"/>
        <item t="default"/>
      </items>
    </pivotField>
    <pivotField showAll="0"/>
    <pivotField showAll="0"/>
    <pivotField numFmtId="14" showAll="0">
      <items count="539">
        <item x="208"/>
        <item x="481"/>
        <item x="408"/>
        <item x="444"/>
        <item x="372"/>
        <item x="312"/>
        <item x="345"/>
        <item x="414"/>
        <item x="10"/>
        <item x="354"/>
        <item x="393"/>
        <item x="169"/>
        <item x="15"/>
        <item x="424"/>
        <item x="185"/>
        <item x="246"/>
        <item x="515"/>
        <item x="324"/>
        <item x="48"/>
        <item x="41"/>
        <item x="74"/>
        <item x="303"/>
        <item x="142"/>
        <item x="40"/>
        <item x="370"/>
        <item x="138"/>
        <item x="406"/>
        <item x="33"/>
        <item x="75"/>
        <item x="80"/>
        <item x="134"/>
        <item x="91"/>
        <item x="177"/>
        <item x="462"/>
        <item x="211"/>
        <item x="535"/>
        <item x="81"/>
        <item x="467"/>
        <item x="301"/>
        <item x="334"/>
        <item x="273"/>
        <item x="150"/>
        <item x="236"/>
        <item x="488"/>
        <item x="39"/>
        <item x="357"/>
        <item x="276"/>
        <item x="29"/>
        <item x="326"/>
        <item x="229"/>
        <item x="361"/>
        <item x="421"/>
        <item x="296"/>
        <item x="197"/>
        <item x="21"/>
        <item x="329"/>
        <item x="459"/>
        <item x="517"/>
        <item x="493"/>
        <item x="146"/>
        <item x="7"/>
        <item x="78"/>
        <item x="182"/>
        <item x="44"/>
        <item x="234"/>
        <item x="162"/>
        <item x="482"/>
        <item x="94"/>
        <item x="448"/>
        <item x="179"/>
        <item x="386"/>
        <item x="101"/>
        <item x="307"/>
        <item x="124"/>
        <item x="55"/>
        <item x="209"/>
        <item x="213"/>
        <item x="69"/>
        <item x="260"/>
        <item x="522"/>
        <item x="222"/>
        <item x="447"/>
        <item x="106"/>
        <item x="315"/>
        <item x="437"/>
        <item x="306"/>
        <item x="13"/>
        <item x="272"/>
        <item x="247"/>
        <item x="223"/>
        <item x="379"/>
        <item x="18"/>
        <item x="225"/>
        <item x="207"/>
        <item x="85"/>
        <item x="135"/>
        <item x="131"/>
        <item x="79"/>
        <item x="528"/>
        <item x="325"/>
        <item x="58"/>
        <item x="476"/>
        <item x="520"/>
        <item x="281"/>
        <item x="71"/>
        <item x="255"/>
        <item x="165"/>
        <item x="353"/>
        <item x="90"/>
        <item x="261"/>
        <item x="422"/>
        <item x="232"/>
        <item x="72"/>
        <item x="298"/>
        <item x="70"/>
        <item x="491"/>
        <item x="277"/>
        <item x="469"/>
        <item x="45"/>
        <item x="151"/>
        <item x="262"/>
        <item x="140"/>
        <item x="356"/>
        <item x="322"/>
        <item x="268"/>
        <item x="4"/>
        <item x="288"/>
        <item x="235"/>
        <item x="475"/>
        <item x="292"/>
        <item x="499"/>
        <item x="110"/>
        <item x="505"/>
        <item x="519"/>
        <item x="375"/>
        <item x="320"/>
        <item x="456"/>
        <item x="280"/>
        <item x="12"/>
        <item x="32"/>
        <item x="26"/>
        <item x="205"/>
        <item x="460"/>
        <item x="290"/>
        <item x="453"/>
        <item x="397"/>
        <item x="1"/>
        <item x="143"/>
        <item x="188"/>
        <item x="494"/>
        <item x="231"/>
        <item x="314"/>
        <item x="339"/>
        <item x="526"/>
        <item x="378"/>
        <item x="160"/>
        <item x="293"/>
        <item x="458"/>
        <item x="309"/>
        <item x="284"/>
        <item x="504"/>
        <item x="219"/>
        <item x="175"/>
        <item x="282"/>
        <item x="279"/>
        <item x="411"/>
        <item x="212"/>
        <item x="6"/>
        <item x="366"/>
        <item x="364"/>
        <item x="53"/>
        <item x="115"/>
        <item x="230"/>
        <item x="500"/>
        <item x="286"/>
        <item x="365"/>
        <item x="176"/>
        <item x="451"/>
        <item x="495"/>
        <item x="98"/>
        <item x="65"/>
        <item x="341"/>
        <item x="204"/>
        <item x="103"/>
        <item x="155"/>
        <item x="537"/>
        <item x="518"/>
        <item x="242"/>
        <item x="492"/>
        <item x="291"/>
        <item x="409"/>
        <item x="170"/>
        <item x="506"/>
        <item x="30"/>
        <item x="123"/>
        <item x="508"/>
        <item x="258"/>
        <item x="510"/>
        <item x="166"/>
        <item x="226"/>
        <item x="141"/>
        <item x="474"/>
        <item x="289"/>
        <item x="163"/>
        <item x="136"/>
        <item x="319"/>
        <item x="367"/>
        <item x="119"/>
        <item x="455"/>
        <item x="63"/>
        <item x="171"/>
        <item x="266"/>
        <item x="523"/>
        <item x="425"/>
        <item x="452"/>
        <item x="120"/>
        <item x="210"/>
        <item x="250"/>
        <item x="147"/>
        <item x="436"/>
        <item x="156"/>
        <item x="202"/>
        <item x="77"/>
        <item x="86"/>
        <item x="355"/>
        <item x="294"/>
        <item x="318"/>
        <item x="267"/>
        <item x="465"/>
        <item x="157"/>
        <item x="84"/>
        <item x="36"/>
        <item x="502"/>
        <item x="19"/>
        <item x="358"/>
        <item x="348"/>
        <item x="412"/>
        <item x="190"/>
        <item x="265"/>
        <item x="418"/>
        <item x="189"/>
        <item x="297"/>
        <item x="371"/>
        <item x="14"/>
        <item x="527"/>
        <item x="512"/>
        <item x="390"/>
        <item x="479"/>
        <item x="64"/>
        <item x="304"/>
        <item x="149"/>
        <item x="218"/>
        <item x="400"/>
        <item x="338"/>
        <item x="82"/>
        <item x="333"/>
        <item x="426"/>
        <item x="198"/>
        <item x="164"/>
        <item x="54"/>
        <item x="88"/>
        <item x="239"/>
        <item x="388"/>
        <item x="159"/>
        <item x="404"/>
        <item x="497"/>
        <item x="112"/>
        <item x="381"/>
        <item x="516"/>
        <item x="532"/>
        <item x="34"/>
        <item x="454"/>
        <item x="316"/>
        <item x="68"/>
        <item x="251"/>
        <item x="377"/>
        <item x="435"/>
        <item x="344"/>
        <item x="328"/>
        <item x="433"/>
        <item x="415"/>
        <item x="214"/>
        <item x="259"/>
        <item x="137"/>
        <item x="191"/>
        <item x="105"/>
        <item x="161"/>
        <item x="67"/>
        <item x="118"/>
        <item x="343"/>
        <item x="299"/>
        <item x="271"/>
        <item x="427"/>
        <item x="43"/>
        <item x="51"/>
        <item x="441"/>
        <item x="241"/>
        <item x="95"/>
        <item x="383"/>
        <item x="117"/>
        <item x="509"/>
        <item x="310"/>
        <item x="363"/>
        <item x="245"/>
        <item x="224"/>
        <item x="321"/>
        <item x="195"/>
        <item x="398"/>
        <item x="373"/>
        <item x="186"/>
        <item x="243"/>
        <item x="240"/>
        <item x="62"/>
        <item x="485"/>
        <item x="331"/>
        <item x="507"/>
        <item x="449"/>
        <item x="158"/>
        <item x="220"/>
        <item x="470"/>
        <item x="107"/>
        <item x="439"/>
        <item x="127"/>
        <item x="238"/>
        <item x="369"/>
        <item x="99"/>
        <item x="16"/>
        <item x="308"/>
        <item x="380"/>
        <item x="295"/>
        <item x="432"/>
        <item x="395"/>
        <item x="278"/>
        <item x="359"/>
        <item x="531"/>
        <item x="405"/>
        <item x="173"/>
        <item x="269"/>
        <item x="340"/>
        <item x="335"/>
        <item x="60"/>
        <item x="529"/>
        <item x="129"/>
        <item x="89"/>
        <item x="429"/>
        <item x="233"/>
        <item x="385"/>
        <item x="152"/>
        <item x="217"/>
        <item x="468"/>
        <item x="203"/>
        <item x="249"/>
        <item x="323"/>
        <item x="192"/>
        <item x="287"/>
        <item x="533"/>
        <item x="130"/>
        <item x="346"/>
        <item x="478"/>
        <item x="97"/>
        <item x="483"/>
        <item x="360"/>
        <item x="23"/>
        <item x="285"/>
        <item x="256"/>
        <item x="254"/>
        <item x="196"/>
        <item x="52"/>
        <item x="116"/>
        <item x="20"/>
        <item x="263"/>
        <item x="28"/>
        <item x="174"/>
        <item x="178"/>
        <item x="450"/>
        <item x="133"/>
        <item x="73"/>
        <item x="300"/>
        <item x="2"/>
        <item x="438"/>
        <item x="442"/>
        <item x="302"/>
        <item x="59"/>
        <item x="413"/>
        <item x="394"/>
        <item x="368"/>
        <item x="17"/>
        <item x="534"/>
        <item x="49"/>
        <item x="50"/>
        <item x="391"/>
        <item x="332"/>
        <item x="184"/>
        <item x="180"/>
        <item x="42"/>
        <item x="22"/>
        <item x="8"/>
        <item x="503"/>
        <item x="466"/>
        <item x="87"/>
        <item x="215"/>
        <item x="275"/>
        <item x="83"/>
        <item x="403"/>
        <item x="536"/>
        <item x="92"/>
        <item x="477"/>
        <item x="514"/>
        <item x="430"/>
        <item x="420"/>
        <item x="253"/>
        <item x="38"/>
        <item x="24"/>
        <item x="200"/>
        <item x="104"/>
        <item x="248"/>
        <item x="187"/>
        <item x="121"/>
        <item x="167"/>
        <item x="416"/>
        <item x="201"/>
        <item x="374"/>
        <item x="472"/>
        <item x="31"/>
        <item x="498"/>
        <item x="431"/>
        <item x="342"/>
        <item x="9"/>
        <item x="46"/>
        <item x="419"/>
        <item x="392"/>
        <item x="407"/>
        <item x="489"/>
        <item x="132"/>
        <item x="313"/>
        <item x="511"/>
        <item x="139"/>
        <item x="66"/>
        <item x="317"/>
        <item x="382"/>
        <item x="193"/>
        <item x="109"/>
        <item x="37"/>
        <item x="487"/>
        <item x="168"/>
        <item x="423"/>
        <item x="145"/>
        <item x="181"/>
        <item x="440"/>
        <item x="237"/>
        <item x="352"/>
        <item x="396"/>
        <item x="252"/>
        <item x="330"/>
        <item x="530"/>
        <item x="114"/>
        <item x="113"/>
        <item x="227"/>
        <item x="471"/>
        <item x="387"/>
        <item x="496"/>
        <item x="417"/>
        <item x="172"/>
        <item x="125"/>
        <item x="389"/>
        <item x="445"/>
        <item x="490"/>
        <item x="362"/>
        <item x="434"/>
        <item x="486"/>
        <item x="480"/>
        <item x="401"/>
        <item x="57"/>
        <item x="457"/>
        <item x="56"/>
        <item x="206"/>
        <item x="3"/>
        <item x="513"/>
        <item x="128"/>
        <item x="102"/>
        <item x="464"/>
        <item x="194"/>
        <item x="153"/>
        <item x="264"/>
        <item x="257"/>
        <item x="446"/>
        <item x="461"/>
        <item x="463"/>
        <item x="384"/>
        <item x="61"/>
        <item x="100"/>
        <item x="410"/>
        <item x="228"/>
        <item x="96"/>
        <item x="327"/>
        <item x="111"/>
        <item x="524"/>
        <item x="311"/>
        <item x="221"/>
        <item x="244"/>
        <item x="25"/>
        <item x="144"/>
        <item x="443"/>
        <item x="351"/>
        <item x="376"/>
        <item x="305"/>
        <item x="347"/>
        <item x="0"/>
        <item x="336"/>
        <item x="428"/>
        <item x="27"/>
        <item x="337"/>
        <item x="399"/>
        <item x="126"/>
        <item x="525"/>
        <item x="501"/>
        <item x="349"/>
        <item x="5"/>
        <item x="154"/>
        <item x="484"/>
        <item x="47"/>
        <item x="270"/>
        <item x="521"/>
        <item x="183"/>
        <item x="76"/>
        <item x="350"/>
        <item x="108"/>
        <item x="473"/>
        <item x="274"/>
        <item x="122"/>
        <item x="35"/>
        <item x="148"/>
        <item x="216"/>
        <item x="11"/>
        <item x="93"/>
        <item x="283"/>
        <item x="199"/>
        <item x="402"/>
        <item t="default"/>
      </items>
    </pivotField>
    <pivotField axis="axisRow" showAll="0">
      <items count="5">
        <item x="1"/>
        <item x="2"/>
        <item x="3"/>
        <item x="0"/>
        <item t="default"/>
      </items>
    </pivotField>
    <pivotField showAll="0"/>
    <pivotField showAll="0"/>
    <pivotField showAll="0"/>
    <pivotField showAll="0">
      <items count="11">
        <item x="0"/>
        <item x="4"/>
        <item x="5"/>
        <item x="8"/>
        <item x="7"/>
        <item x="6"/>
        <item x="1"/>
        <item x="9"/>
        <item x="2"/>
        <item x="3"/>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5">
    <i>
      <x/>
    </i>
    <i>
      <x v="1"/>
    </i>
    <i>
      <x v="2"/>
    </i>
    <i>
      <x v="3"/>
    </i>
    <i t="grand">
      <x/>
    </i>
  </rowItems>
  <colItems count="1">
    <i/>
  </colItems>
  <dataFields count="1">
    <dataField name="Average of Sales_CLEAN" fld="17" subtotal="average" baseField="21" baseItem="1" numFmtId="2"/>
  </dataFields>
  <formats count="4">
    <format dxfId="13">
      <pivotArea dataOnly="0" grandRow="1" fieldPosition="0"/>
    </format>
    <format dxfId="12">
      <pivotArea dataOnly="0" labelOnly="1" grandRow="1" outline="0" fieldPosition="0"/>
    </format>
    <format dxfId="11">
      <pivotArea field="21" grandRow="1" outline="0" collapsedLevelsAreSubtotals="1">
        <references count="1">
          <reference field="4294967294" count="1" selected="0">
            <x v="0"/>
          </reference>
        </references>
      </pivotArea>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D9B6D5-A4B9-4B50-AA8F-AD96C3B2AA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6:C42" firstHeaderRow="0" firstDataRow="1" firstDataCol="1"/>
  <pivotFields count="22">
    <pivotField showAll="0"/>
    <pivotField showAll="0"/>
    <pivotField showAll="0">
      <items count="773">
        <item x="43"/>
        <item x="357"/>
        <item x="286"/>
        <item x="315"/>
        <item x="2"/>
        <item x="234"/>
        <item x="254"/>
        <item x="732"/>
        <item x="318"/>
        <item x="614"/>
        <item x="519"/>
        <item x="471"/>
        <item x="658"/>
        <item x="347"/>
        <item x="113"/>
        <item x="151"/>
        <item x="167"/>
        <item x="37"/>
        <item x="635"/>
        <item x="242"/>
        <item x="216"/>
        <item x="470"/>
        <item x="384"/>
        <item x="588"/>
        <item x="49"/>
        <item x="476"/>
        <item x="349"/>
        <item x="405"/>
        <item x="467"/>
        <item x="638"/>
        <item x="525"/>
        <item x="462"/>
        <item x="708"/>
        <item x="421"/>
        <item x="387"/>
        <item x="294"/>
        <item x="50"/>
        <item x="367"/>
        <item x="586"/>
        <item x="230"/>
        <item x="539"/>
        <item x="496"/>
        <item x="67"/>
        <item x="15"/>
        <item x="682"/>
        <item x="760"/>
        <item x="393"/>
        <item x="41"/>
        <item x="258"/>
        <item x="514"/>
        <item x="326"/>
        <item x="219"/>
        <item x="493"/>
        <item x="12"/>
        <item x="38"/>
        <item x="302"/>
        <item x="621"/>
        <item x="690"/>
        <item x="767"/>
        <item x="565"/>
        <item x="460"/>
        <item x="136"/>
        <item x="672"/>
        <item x="32"/>
        <item x="378"/>
        <item x="169"/>
        <item x="143"/>
        <item x="487"/>
        <item x="561"/>
        <item x="629"/>
        <item x="567"/>
        <item x="686"/>
        <item x="754"/>
        <item x="223"/>
        <item x="513"/>
        <item x="771"/>
        <item x="101"/>
        <item x="748"/>
        <item x="615"/>
        <item x="129"/>
        <item x="602"/>
        <item x="3"/>
        <item x="434"/>
        <item x="726"/>
        <item x="250"/>
        <item x="683"/>
        <item x="320"/>
        <item x="723"/>
        <item x="99"/>
        <item x="536"/>
        <item x="745"/>
        <item x="76"/>
        <item x="578"/>
        <item x="103"/>
        <item x="106"/>
        <item x="256"/>
        <item x="147"/>
        <item x="36"/>
        <item x="297"/>
        <item x="191"/>
        <item x="704"/>
        <item x="646"/>
        <item x="724"/>
        <item x="140"/>
        <item x="364"/>
        <item x="439"/>
        <item x="526"/>
        <item x="763"/>
        <item x="317"/>
        <item x="72"/>
        <item x="582"/>
        <item x="656"/>
        <item x="472"/>
        <item x="541"/>
        <item x="610"/>
        <item x="66"/>
        <item x="601"/>
        <item x="710"/>
        <item x="222"/>
        <item x="133"/>
        <item x="366"/>
        <item x="642"/>
        <item x="348"/>
        <item x="687"/>
        <item x="464"/>
        <item x="450"/>
        <item x="729"/>
        <item x="321"/>
        <item x="344"/>
        <item x="545"/>
        <item x="473"/>
        <item x="377"/>
        <item x="206"/>
        <item x="184"/>
        <item x="733"/>
        <item x="126"/>
        <item x="479"/>
        <item x="446"/>
        <item x="663"/>
        <item x="540"/>
        <item x="576"/>
        <item x="611"/>
        <item x="418"/>
        <item x="424"/>
        <item x="279"/>
        <item x="182"/>
        <item x="482"/>
        <item x="574"/>
        <item x="528"/>
        <item x="305"/>
        <item x="22"/>
        <item x="183"/>
        <item x="497"/>
        <item x="728"/>
        <item x="280"/>
        <item x="624"/>
        <item x="89"/>
        <item x="246"/>
        <item x="702"/>
        <item x="257"/>
        <item x="150"/>
        <item x="57"/>
        <item x="342"/>
        <item x="501"/>
        <item x="365"/>
        <item x="293"/>
        <item x="750"/>
        <item x="80"/>
        <item x="290"/>
        <item x="1"/>
        <item x="530"/>
        <item x="157"/>
        <item x="543"/>
        <item x="636"/>
        <item x="612"/>
        <item x="227"/>
        <item x="619"/>
        <item x="102"/>
        <item x="260"/>
        <item x="562"/>
        <item x="423"/>
        <item x="240"/>
        <item x="692"/>
        <item x="226"/>
        <item x="756"/>
        <item x="570"/>
        <item x="309"/>
        <item x="14"/>
        <item x="551"/>
        <item x="64"/>
        <item x="412"/>
        <item x="245"/>
        <item x="354"/>
        <item x="310"/>
        <item x="749"/>
        <item x="389"/>
        <item x="152"/>
        <item x="755"/>
        <item x="594"/>
        <item x="620"/>
        <item x="641"/>
        <item x="486"/>
        <item x="202"/>
        <item x="639"/>
        <item x="743"/>
        <item x="159"/>
        <item x="444"/>
        <item x="215"/>
        <item x="764"/>
        <item x="645"/>
        <item x="388"/>
        <item x="568"/>
        <item x="705"/>
        <item x="303"/>
        <item x="394"/>
        <item x="313"/>
        <item x="466"/>
        <item x="667"/>
        <item x="217"/>
        <item x="422"/>
        <item x="123"/>
        <item x="352"/>
        <item x="287"/>
        <item x="4"/>
        <item x="677"/>
        <item x="265"/>
        <item x="209"/>
        <item x="435"/>
        <item x="552"/>
        <item x="587"/>
        <item x="518"/>
        <item x="299"/>
        <item x="512"/>
        <item x="608"/>
        <item x="685"/>
        <item x="468"/>
        <item x="193"/>
        <item x="569"/>
        <item x="643"/>
        <item x="669"/>
        <item x="737"/>
        <item x="248"/>
        <item x="478"/>
        <item x="650"/>
        <item x="10"/>
        <item x="714"/>
        <item x="542"/>
        <item x="697"/>
        <item x="48"/>
        <item x="432"/>
        <item x="362"/>
        <item x="194"/>
        <item x="409"/>
        <item x="627"/>
        <item x="363"/>
        <item x="443"/>
        <item x="395"/>
        <item x="263"/>
        <item x="489"/>
        <item x="345"/>
        <item x="269"/>
        <item x="371"/>
        <item x="13"/>
        <item x="560"/>
        <item x="58"/>
        <item x="71"/>
        <item x="296"/>
        <item x="537"/>
        <item x="70"/>
        <item x="448"/>
        <item x="442"/>
        <item x="622"/>
        <item x="759"/>
        <item x="503"/>
        <item x="765"/>
        <item x="295"/>
        <item x="456"/>
        <item x="454"/>
        <item x="118"/>
        <item x="679"/>
        <item x="438"/>
        <item x="689"/>
        <item x="346"/>
        <item x="187"/>
        <item x="212"/>
        <item x="176"/>
        <item x="175"/>
        <item x="458"/>
        <item x="335"/>
        <item x="188"/>
        <item x="125"/>
        <item x="78"/>
        <item x="706"/>
        <item x="703"/>
        <item x="709"/>
        <item x="691"/>
        <item x="210"/>
        <item x="160"/>
        <item x="413"/>
        <item x="83"/>
        <item x="664"/>
        <item x="554"/>
        <item x="684"/>
        <item x="34"/>
        <item x="596"/>
        <item x="381"/>
        <item x="68"/>
        <item x="731"/>
        <item x="549"/>
        <item x="504"/>
        <item x="170"/>
        <item x="406"/>
        <item x="110"/>
        <item x="433"/>
        <item x="16"/>
        <item x="407"/>
        <item x="60"/>
        <item x="747"/>
        <item x="517"/>
        <item x="553"/>
        <item x="630"/>
        <item x="229"/>
        <item x="626"/>
        <item x="137"/>
        <item x="426"/>
        <item x="557"/>
        <item x="119"/>
        <item x="391"/>
        <item x="590"/>
        <item x="498"/>
        <item x="17"/>
        <item x="766"/>
        <item x="403"/>
        <item x="197"/>
        <item x="324"/>
        <item x="84"/>
        <item x="698"/>
        <item x="739"/>
        <item x="676"/>
        <item x="225"/>
        <item x="559"/>
        <item x="605"/>
        <item x="670"/>
        <item x="546"/>
        <item x="198"/>
        <item x="356"/>
        <item x="746"/>
        <item x="400"/>
        <item x="259"/>
        <item x="680"/>
        <item x="531"/>
        <item x="385"/>
        <item x="211"/>
        <item x="488"/>
        <item x="566"/>
        <item x="666"/>
        <item x="508"/>
        <item x="644"/>
        <item x="325"/>
        <item x="661"/>
        <item x="507"/>
        <item x="521"/>
        <item x="483"/>
        <item x="281"/>
        <item x="469"/>
        <item x="47"/>
        <item x="431"/>
        <item x="201"/>
        <item x="353"/>
        <item x="292"/>
        <item x="334"/>
        <item x="414"/>
        <item x="156"/>
        <item x="94"/>
        <item x="762"/>
        <item x="172"/>
        <item x="9"/>
        <item x="253"/>
        <item x="577"/>
        <item x="148"/>
        <item x="284"/>
        <item x="511"/>
        <item x="322"/>
        <item x="199"/>
        <item x="251"/>
        <item x="550"/>
        <item x="516"/>
        <item x="563"/>
        <item x="161"/>
        <item x="44"/>
        <item x="200"/>
        <item x="436"/>
        <item x="27"/>
        <item x="11"/>
        <item x="122"/>
        <item x="91"/>
        <item x="617"/>
        <item x="163"/>
        <item x="441"/>
        <item x="181"/>
        <item x="18"/>
        <item x="337"/>
        <item x="495"/>
        <item x="618"/>
        <item x="375"/>
        <item x="515"/>
        <item x="351"/>
        <item x="453"/>
        <item x="221"/>
        <item x="461"/>
        <item x="534"/>
        <item x="247"/>
        <item x="312"/>
        <item x="445"/>
        <item x="192"/>
        <item x="529"/>
        <item x="662"/>
        <item x="26"/>
        <item x="195"/>
        <item x="548"/>
        <item x="360"/>
        <item x="564"/>
        <item x="741"/>
        <item x="301"/>
        <item x="634"/>
        <item x="522"/>
        <item x="768"/>
        <item x="178"/>
        <item x="45"/>
        <item x="177"/>
        <item x="452"/>
        <item x="358"/>
        <item x="189"/>
        <item x="235"/>
        <item x="652"/>
        <item x="736"/>
        <item x="751"/>
        <item x="527"/>
        <item x="591"/>
        <item x="440"/>
        <item x="186"/>
        <item x="204"/>
        <item x="283"/>
        <item x="717"/>
        <item x="73"/>
        <item x="75"/>
        <item x="675"/>
        <item x="40"/>
        <item x="678"/>
        <item x="146"/>
        <item x="33"/>
        <item x="609"/>
        <item x="81"/>
        <item x="141"/>
        <item x="92"/>
        <item x="262"/>
        <item x="616"/>
        <item x="238"/>
        <item x="82"/>
        <item x="361"/>
        <item x="623"/>
        <item x="271"/>
        <item x="668"/>
        <item x="39"/>
        <item x="606"/>
        <item x="29"/>
        <item x="474"/>
        <item x="598"/>
        <item x="535"/>
        <item x="21"/>
        <item x="399"/>
        <item x="719"/>
        <item x="674"/>
        <item x="7"/>
        <item x="79"/>
        <item x="402"/>
        <item x="174"/>
        <item x="653"/>
        <item x="96"/>
        <item x="196"/>
        <item x="484"/>
        <item x="130"/>
        <item x="55"/>
        <item x="236"/>
        <item x="69"/>
        <item x="744"/>
        <item x="109"/>
        <item x="380"/>
        <item x="572"/>
        <item x="370"/>
        <item x="408"/>
        <item x="437"/>
        <item x="255"/>
        <item x="233"/>
        <item x="86"/>
        <item x="142"/>
        <item x="138"/>
        <item x="742"/>
        <item x="659"/>
        <item x="343"/>
        <item x="332"/>
        <item x="179"/>
        <item x="490"/>
        <item x="304"/>
        <item x="558"/>
        <item x="266"/>
        <item x="510"/>
        <item x="316"/>
        <item x="327"/>
        <item x="631"/>
        <item x="120"/>
        <item x="162"/>
        <item x="149"/>
        <item x="571"/>
        <item x="336"/>
        <item x="341"/>
        <item x="270"/>
        <item x="398"/>
        <item x="699"/>
        <item x="721"/>
        <item x="386"/>
        <item x="603"/>
        <item x="331"/>
        <item x="231"/>
        <item x="595"/>
        <item x="429"/>
        <item x="208"/>
        <item x="722"/>
        <item x="379"/>
        <item x="415"/>
        <item x="613"/>
        <item x="373"/>
        <item x="350"/>
        <item x="607"/>
        <item x="374"/>
        <item x="583"/>
        <item x="695"/>
        <item x="333"/>
        <item x="330"/>
        <item x="523"/>
        <item x="239"/>
        <item x="6"/>
        <item x="544"/>
        <item x="53"/>
        <item x="264"/>
        <item x="688"/>
        <item x="339"/>
        <item x="455"/>
        <item x="425"/>
        <item x="593"/>
        <item x="100"/>
        <item x="65"/>
        <item x="105"/>
        <item x="770"/>
        <item x="720"/>
        <item x="278"/>
        <item x="673"/>
        <item x="520"/>
        <item x="392"/>
        <item x="700"/>
        <item x="30"/>
        <item x="128"/>
        <item x="300"/>
        <item x="180"/>
        <item x="491"/>
        <item x="640"/>
        <item x="524"/>
        <item x="144"/>
        <item x="124"/>
        <item x="599"/>
        <item x="63"/>
        <item x="417"/>
        <item x="311"/>
        <item x="657"/>
        <item x="237"/>
        <item x="288"/>
        <item x="158"/>
        <item x="168"/>
        <item x="475"/>
        <item x="87"/>
        <item x="383"/>
        <item x="592"/>
        <item x="85"/>
        <item x="19"/>
        <item x="428"/>
        <item x="220"/>
        <item x="532"/>
        <item x="355"/>
        <item x="740"/>
        <item x="712"/>
        <item x="492"/>
        <item x="649"/>
        <item x="693"/>
        <item x="368"/>
        <item x="556"/>
        <item x="506"/>
        <item x="597"/>
        <item x="107"/>
        <item x="404"/>
        <item x="547"/>
        <item x="628"/>
        <item x="54"/>
        <item x="261"/>
        <item x="275"/>
        <item x="171"/>
        <item x="115"/>
        <item x="500"/>
        <item x="718"/>
        <item x="757"/>
        <item x="289"/>
        <item x="397"/>
        <item x="241"/>
        <item x="145"/>
        <item x="213"/>
        <item x="108"/>
        <item x="173"/>
        <item x="307"/>
        <item x="228"/>
        <item x="420"/>
        <item x="359"/>
        <item x="319"/>
        <item x="272"/>
        <item x="51"/>
        <item x="734"/>
        <item x="277"/>
        <item x="97"/>
        <item x="480"/>
        <item x="707"/>
        <item x="282"/>
        <item x="252"/>
        <item x="218"/>
        <item x="465"/>
        <item x="276"/>
        <item x="62"/>
        <item x="665"/>
        <item x="401"/>
        <item x="701"/>
        <item x="589"/>
        <item x="451"/>
        <item x="632"/>
        <item x="575"/>
        <item x="134"/>
        <item x="274"/>
        <item x="372"/>
        <item x="477"/>
        <item x="752"/>
        <item x="499"/>
        <item x="329"/>
        <item x="447"/>
        <item x="190"/>
        <item x="314"/>
        <item x="416"/>
        <item x="761"/>
        <item x="90"/>
        <item x="268"/>
        <item x="164"/>
        <item x="244"/>
        <item x="494"/>
        <item x="390"/>
        <item x="214"/>
        <item x="340"/>
        <item x="758"/>
        <item x="738"/>
        <item x="648"/>
        <item x="696"/>
        <item x="449"/>
        <item x="23"/>
        <item x="338"/>
        <item x="298"/>
        <item x="681"/>
        <item x="52"/>
        <item x="20"/>
        <item x="306"/>
        <item x="28"/>
        <item x="74"/>
        <item x="463"/>
        <item x="573"/>
        <item x="579"/>
        <item x="59"/>
        <item x="459"/>
        <item x="727"/>
        <item x="715"/>
        <item x="203"/>
        <item x="42"/>
        <item x="660"/>
        <item x="8"/>
        <item x="625"/>
        <item x="88"/>
        <item x="538"/>
        <item x="267"/>
        <item x="769"/>
        <item x="93"/>
        <item x="647"/>
        <item x="716"/>
        <item x="555"/>
        <item x="24"/>
        <item x="285"/>
        <item x="207"/>
        <item x="600"/>
        <item x="580"/>
        <item x="637"/>
        <item x="31"/>
        <item x="419"/>
        <item x="46"/>
        <item x="533"/>
        <item x="694"/>
        <item x="139"/>
        <item x="711"/>
        <item x="153"/>
        <item x="382"/>
        <item x="112"/>
        <item x="121"/>
        <item x="185"/>
        <item x="155"/>
        <item x="273"/>
        <item x="502"/>
        <item x="291"/>
        <item x="753"/>
        <item x="117"/>
        <item x="116"/>
        <item x="633"/>
        <item x="485"/>
        <item x="131"/>
        <item x="584"/>
        <item x="671"/>
        <item x="651"/>
        <item x="328"/>
        <item x="604"/>
        <item x="56"/>
        <item x="232"/>
        <item x="713"/>
        <item x="135"/>
        <item x="104"/>
        <item x="165"/>
        <item x="308"/>
        <item x="585"/>
        <item x="655"/>
        <item x="481"/>
        <item x="61"/>
        <item x="98"/>
        <item x="396"/>
        <item x="114"/>
        <item x="730"/>
        <item x="376"/>
        <item x="249"/>
        <item x="410"/>
        <item x="25"/>
        <item x="154"/>
        <item x="581"/>
        <item x="369"/>
        <item x="427"/>
        <item x="0"/>
        <item x="411"/>
        <item x="457"/>
        <item x="505"/>
        <item x="132"/>
        <item x="735"/>
        <item x="430"/>
        <item x="5"/>
        <item x="166"/>
        <item x="725"/>
        <item x="654"/>
        <item x="77"/>
        <item x="111"/>
        <item x="323"/>
        <item x="127"/>
        <item x="35"/>
        <item x="205"/>
        <item x="243"/>
        <item x="95"/>
        <item x="224"/>
        <item x="509"/>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616">
        <item x="549"/>
        <item x="322"/>
        <item x="68"/>
        <item x="160"/>
        <item x="485"/>
        <item x="454"/>
        <item x="142"/>
        <item x="276"/>
        <item x="371"/>
        <item x="478"/>
        <item x="159"/>
        <item x="396"/>
        <item x="64"/>
        <item x="320"/>
        <item x="114"/>
        <item x="455"/>
        <item x="188"/>
        <item x="274"/>
        <item x="389"/>
        <item x="230"/>
        <item x="438"/>
        <item x="358"/>
        <item x="466"/>
        <item x="282"/>
        <item x="126"/>
        <item x="176"/>
        <item x="124"/>
        <item x="310"/>
        <item x="82"/>
        <item x="219"/>
        <item x="592"/>
        <item x="152"/>
        <item x="577"/>
        <item x="418"/>
        <item x="544"/>
        <item x="184"/>
        <item x="369"/>
        <item x="12"/>
        <item x="324"/>
        <item x="567"/>
        <item x="109"/>
        <item x="203"/>
        <item x="573"/>
        <item x="344"/>
        <item x="452"/>
        <item x="463"/>
        <item x="297"/>
        <item x="608"/>
        <item x="207"/>
        <item x="331"/>
        <item x="251"/>
        <item x="559"/>
        <item x="354"/>
        <item x="479"/>
        <item x="425"/>
        <item x="216"/>
        <item x="404"/>
        <item x="529"/>
        <item x="290"/>
        <item x="394"/>
        <item x="246"/>
        <item x="439"/>
        <item x="235"/>
        <item x="313"/>
        <item x="570"/>
        <item x="368"/>
        <item x="489"/>
        <item x="440"/>
        <item x="572"/>
        <item x="273"/>
        <item x="600"/>
        <item x="494"/>
        <item x="92"/>
        <item x="564"/>
        <item x="157"/>
        <item x="144"/>
        <item x="412"/>
        <item x="482"/>
        <item x="153"/>
        <item x="118"/>
        <item x="361"/>
        <item x="614"/>
        <item x="584"/>
        <item x="417"/>
        <item x="348"/>
        <item x="49"/>
        <item x="301"/>
        <item x="605"/>
        <item x="105"/>
        <item x="295"/>
        <item x="302"/>
        <item x="540"/>
        <item x="457"/>
        <item x="217"/>
        <item x="596"/>
        <item x="254"/>
        <item x="127"/>
        <item x="496"/>
        <item x="522"/>
        <item x="408"/>
        <item x="484"/>
        <item x="574"/>
        <item x="201"/>
        <item x="303"/>
        <item x="370"/>
        <item x="44"/>
        <item x="525"/>
        <item x="355"/>
        <item x="515"/>
        <item x="543"/>
        <item x="293"/>
        <item x="110"/>
        <item x="436"/>
        <item x="517"/>
        <item x="9"/>
        <item x="267"/>
        <item x="278"/>
        <item x="500"/>
        <item x="353"/>
        <item x="101"/>
        <item x="287"/>
        <item x="325"/>
        <item x="300"/>
        <item x="32"/>
        <item x="580"/>
        <item x="342"/>
        <item x="524"/>
        <item x="275"/>
        <item x="433"/>
        <item x="189"/>
        <item x="265"/>
        <item x="138"/>
        <item x="519"/>
        <item x="534"/>
        <item x="167"/>
        <item x="613"/>
        <item x="52"/>
        <item x="474"/>
        <item x="161"/>
        <item x="180"/>
        <item x="255"/>
        <item x="548"/>
        <item x="373"/>
        <item x="362"/>
        <item x="145"/>
        <item x="432"/>
        <item x="392"/>
        <item x="539"/>
        <item x="360"/>
        <item x="158"/>
        <item x="423"/>
        <item x="601"/>
        <item x="271"/>
        <item x="611"/>
        <item x="598"/>
        <item x="607"/>
        <item x="451"/>
        <item x="175"/>
        <item x="557"/>
        <item x="298"/>
        <item x="471"/>
        <item x="115"/>
        <item x="208"/>
        <item x="583"/>
        <item x="47"/>
        <item x="236"/>
        <item x="421"/>
        <item x="77"/>
        <item x="239"/>
        <item x="85"/>
        <item x="328"/>
        <item x="308"/>
        <item x="329"/>
        <item x="279"/>
        <item x="277"/>
        <item x="26"/>
        <item x="5"/>
        <item x="359"/>
        <item x="78"/>
        <item x="399"/>
        <item x="428"/>
        <item x="464"/>
        <item x="490"/>
        <item x="253"/>
        <item x="469"/>
        <item x="366"/>
        <item x="190"/>
        <item x="495"/>
        <item x="102"/>
        <item x="28"/>
        <item x="535"/>
        <item x="460"/>
        <item x="552"/>
        <item x="316"/>
        <item x="609"/>
        <item x="480"/>
        <item x="261"/>
        <item x="508"/>
        <item x="242"/>
        <item x="170"/>
        <item x="556"/>
        <item x="183"/>
        <item x="168"/>
        <item x="111"/>
        <item x="411"/>
        <item x="257"/>
        <item x="587"/>
        <item x="264"/>
        <item x="305"/>
        <item x="501"/>
        <item x="6"/>
        <item x="151"/>
        <item x="566"/>
        <item x="591"/>
        <item x="248"/>
        <item x="419"/>
        <item x="531"/>
        <item x="24"/>
        <item x="410"/>
        <item x="547"/>
        <item x="240"/>
        <item x="379"/>
        <item x="187"/>
        <item x="481"/>
        <item x="486"/>
        <item x="506"/>
        <item x="413"/>
        <item x="146"/>
        <item x="245"/>
        <item x="66"/>
        <item x="372"/>
        <item x="179"/>
        <item x="315"/>
        <item x="483"/>
        <item x="409"/>
        <item x="357"/>
        <item x="220"/>
        <item x="576"/>
        <item x="458"/>
        <item x="140"/>
        <item x="21"/>
        <item x="446"/>
        <item x="445"/>
        <item x="288"/>
        <item x="43"/>
        <item x="345"/>
        <item x="185"/>
        <item x="513"/>
        <item x="196"/>
        <item x="343"/>
        <item x="337"/>
        <item x="510"/>
        <item x="281"/>
        <item x="442"/>
        <item x="58"/>
        <item x="435"/>
        <item x="381"/>
        <item x="606"/>
        <item x="96"/>
        <item x="54"/>
        <item x="3"/>
        <item x="234"/>
        <item x="407"/>
        <item x="374"/>
        <item x="129"/>
        <item x="443"/>
        <item x="81"/>
        <item x="521"/>
        <item x="378"/>
        <item x="14"/>
        <item x="270"/>
        <item x="155"/>
        <item x="296"/>
        <item x="205"/>
        <item x="133"/>
        <item x="182"/>
        <item x="232"/>
        <item x="17"/>
        <item x="537"/>
        <item x="98"/>
        <item x="249"/>
        <item x="16"/>
        <item x="575"/>
        <item x="35"/>
        <item x="193"/>
        <item x="221"/>
        <item x="401"/>
        <item x="0"/>
        <item x="326"/>
        <item x="363"/>
        <item x="119"/>
        <item x="100"/>
        <item x="226"/>
        <item x="473"/>
        <item x="247"/>
        <item x="391"/>
        <item x="268"/>
        <item x="603"/>
        <item x="214"/>
        <item x="181"/>
        <item x="569"/>
        <item x="162"/>
        <item x="238"/>
        <item x="260"/>
        <item x="492"/>
        <item x="83"/>
        <item x="86"/>
        <item x="88"/>
        <item x="80"/>
        <item x="527"/>
        <item x="65"/>
        <item x="461"/>
        <item x="18"/>
        <item x="38"/>
        <item x="589"/>
        <item x="231"/>
        <item x="561"/>
        <item x="19"/>
        <item x="393"/>
        <item x="456"/>
        <item x="493"/>
        <item x="427"/>
        <item x="131"/>
        <item x="546"/>
        <item x="71"/>
        <item x="560"/>
        <item x="27"/>
        <item x="25"/>
        <item x="148"/>
        <item x="125"/>
        <item x="112"/>
        <item x="426"/>
        <item x="272"/>
        <item x="604"/>
        <item x="340"/>
        <item x="599"/>
        <item x="585"/>
        <item x="225"/>
        <item x="23"/>
        <item x="511"/>
        <item x="103"/>
        <item x="335"/>
        <item x="194"/>
        <item x="468"/>
        <item x="177"/>
        <item x="403"/>
        <item x="405"/>
        <item x="488"/>
        <item x="13"/>
        <item x="306"/>
        <item x="204"/>
        <item x="107"/>
        <item x="55"/>
        <item x="134"/>
        <item x="472"/>
        <item x="8"/>
        <item x="33"/>
        <item x="319"/>
        <item x="518"/>
        <item x="122"/>
        <item x="465"/>
        <item x="571"/>
        <item x="367"/>
        <item x="499"/>
        <item x="191"/>
        <item x="285"/>
        <item x="530"/>
        <item x="121"/>
        <item x="154"/>
        <item x="67"/>
        <item x="562"/>
        <item x="46"/>
        <item x="502"/>
        <item x="450"/>
        <item x="75"/>
        <item x="341"/>
        <item x="441"/>
        <item x="528"/>
        <item x="284"/>
        <item x="467"/>
        <item x="476"/>
        <item x="292"/>
        <item x="263"/>
        <item x="171"/>
        <item x="565"/>
        <item x="36"/>
        <item x="309"/>
        <item x="200"/>
        <item x="582"/>
        <item x="422"/>
        <item x="241"/>
        <item x="384"/>
        <item x="70"/>
        <item x="434"/>
        <item x="15"/>
        <item x="387"/>
        <item x="147"/>
        <item x="304"/>
        <item x="262"/>
        <item x="258"/>
        <item x="218"/>
        <item x="504"/>
        <item x="74"/>
        <item x="139"/>
        <item x="377"/>
        <item x="252"/>
        <item x="7"/>
        <item x="106"/>
        <item x="395"/>
        <item x="550"/>
        <item x="382"/>
        <item x="339"/>
        <item x="229"/>
        <item x="130"/>
        <item x="209"/>
        <item x="470"/>
        <item x="143"/>
        <item x="497"/>
        <item x="311"/>
        <item x="588"/>
        <item x="250"/>
        <item x="526"/>
        <item x="563"/>
        <item x="149"/>
        <item x="37"/>
        <item x="553"/>
        <item x="91"/>
        <item x="402"/>
        <item x="156"/>
        <item x="554"/>
        <item x="73"/>
        <item x="555"/>
        <item x="210"/>
        <item x="93"/>
        <item x="437"/>
        <item x="89"/>
        <item x="597"/>
        <item x="199"/>
        <item x="141"/>
        <item x="336"/>
        <item x="595"/>
        <item x="383"/>
        <item x="45"/>
        <item x="318"/>
        <item x="516"/>
        <item x="289"/>
        <item x="536"/>
        <item x="90"/>
        <item x="430"/>
        <item x="323"/>
        <item x="150"/>
        <item x="414"/>
        <item x="386"/>
        <item x="20"/>
        <item x="542"/>
        <item x="291"/>
        <item x="459"/>
        <item x="334"/>
        <item x="346"/>
        <item x="266"/>
        <item x="503"/>
        <item x="594"/>
        <item x="453"/>
        <item x="424"/>
        <item x="578"/>
        <item x="352"/>
        <item x="347"/>
        <item x="317"/>
        <item x="327"/>
        <item x="197"/>
        <item x="95"/>
        <item x="269"/>
        <item x="533"/>
        <item x="286"/>
        <item x="29"/>
        <item x="172"/>
        <item x="400"/>
        <item x="612"/>
        <item x="581"/>
        <item x="299"/>
        <item x="215"/>
        <item x="321"/>
        <item x="256"/>
        <item x="53"/>
        <item x="87"/>
        <item x="349"/>
        <item x="61"/>
        <item x="509"/>
        <item x="551"/>
        <item x="364"/>
        <item x="579"/>
        <item x="213"/>
        <item x="42"/>
        <item x="388"/>
        <item x="10"/>
        <item x="136"/>
        <item x="48"/>
        <item x="520"/>
        <item x="116"/>
        <item x="108"/>
        <item x="224"/>
        <item x="62"/>
        <item x="259"/>
        <item x="228"/>
        <item x="165"/>
        <item x="390"/>
        <item x="350"/>
        <item x="385"/>
        <item x="57"/>
        <item x="39"/>
        <item x="30"/>
        <item x="333"/>
        <item x="487"/>
        <item x="532"/>
        <item x="34"/>
        <item x="137"/>
        <item x="233"/>
        <item x="330"/>
        <item x="498"/>
        <item x="99"/>
        <item x="538"/>
        <item x="568"/>
        <item x="514"/>
        <item x="376"/>
        <item x="593"/>
        <item x="332"/>
        <item x="283"/>
        <item x="586"/>
        <item x="507"/>
        <item x="60"/>
        <item x="97"/>
        <item x="40"/>
        <item x="431"/>
        <item x="84"/>
        <item x="444"/>
        <item x="104"/>
        <item x="174"/>
        <item x="211"/>
        <item x="314"/>
        <item x="447"/>
        <item x="135"/>
        <item x="178"/>
        <item x="307"/>
        <item x="351"/>
        <item x="186"/>
        <item x="280"/>
        <item x="63"/>
        <item x="223"/>
        <item x="76"/>
        <item x="128"/>
        <item x="2"/>
        <item x="462"/>
        <item x="195"/>
        <item x="198"/>
        <item x="505"/>
        <item x="59"/>
        <item x="113"/>
        <item x="523"/>
        <item x="477"/>
        <item x="206"/>
        <item x="512"/>
        <item x="51"/>
        <item x="558"/>
        <item x="590"/>
        <item x="602"/>
        <item x="610"/>
        <item x="41"/>
        <item x="69"/>
        <item x="11"/>
        <item x="429"/>
        <item x="243"/>
        <item x="72"/>
        <item x="79"/>
        <item x="1"/>
        <item x="4"/>
        <item x="415"/>
        <item x="365"/>
        <item x="117"/>
        <item x="94"/>
        <item x="491"/>
        <item x="132"/>
        <item x="123"/>
        <item x="449"/>
        <item x="164"/>
        <item x="244"/>
        <item x="380"/>
        <item x="56"/>
        <item x="169"/>
        <item x="192"/>
        <item x="397"/>
        <item x="163"/>
        <item x="312"/>
        <item x="541"/>
        <item x="120"/>
        <item x="356"/>
        <item x="338"/>
        <item x="31"/>
        <item x="50"/>
        <item x="416"/>
        <item x="448"/>
        <item x="294"/>
        <item x="173"/>
        <item x="212"/>
        <item x="166"/>
        <item x="202"/>
        <item x="237"/>
        <item x="475"/>
        <item x="406"/>
        <item x="227"/>
        <item x="22"/>
        <item x="420"/>
        <item x="222"/>
        <item x="398"/>
        <item x="375"/>
        <item x="545"/>
        <item t="default"/>
      </items>
    </pivotField>
    <pivotField showAll="0"/>
    <pivotField showAll="0">
      <items count="900">
        <item x="328"/>
        <item x="350"/>
        <item x="9"/>
        <item x="762"/>
        <item x="656"/>
        <item x="499"/>
        <item x="270"/>
        <item x="554"/>
        <item x="249"/>
        <item x="347"/>
        <item x="493"/>
        <item x="489"/>
        <item x="367"/>
        <item x="18"/>
        <item x="697"/>
        <item x="600"/>
        <item x="438"/>
        <item x="883"/>
        <item x="608"/>
        <item x="62"/>
        <item x="843"/>
        <item x="181"/>
        <item x="251"/>
        <item x="315"/>
        <item x="417"/>
        <item x="124"/>
        <item x="541"/>
        <item x="440"/>
        <item x="603"/>
        <item x="629"/>
        <item x="615"/>
        <item x="55"/>
        <item x="711"/>
        <item x="464"/>
        <item x="575"/>
        <item x="719"/>
        <item x="68"/>
        <item x="280"/>
        <item x="583"/>
        <item x="729"/>
        <item x="649"/>
        <item x="115"/>
        <item x="876"/>
        <item x="700"/>
        <item x="855"/>
        <item x="38"/>
        <item x="22"/>
        <item x="239"/>
        <item x="252"/>
        <item x="570"/>
        <item x="740"/>
        <item x="326"/>
        <item x="305"/>
        <item x="317"/>
        <item x="898"/>
        <item x="137"/>
        <item x="344"/>
        <item x="796"/>
        <item x="320"/>
        <item x="491"/>
        <item x="375"/>
        <item x="387"/>
        <item x="805"/>
        <item x="870"/>
        <item x="3"/>
        <item x="534"/>
        <item x="295"/>
        <item x="819"/>
        <item x="207"/>
        <item x="845"/>
        <item x="253"/>
        <item x="851"/>
        <item x="867"/>
        <item x="361"/>
        <item x="277"/>
        <item x="591"/>
        <item x="34"/>
        <item x="405"/>
        <item x="652"/>
        <item x="118"/>
        <item x="760"/>
        <item x="13"/>
        <item x="861"/>
        <item x="764"/>
        <item x="228"/>
        <item x="683"/>
        <item x="769"/>
        <item x="674"/>
        <item x="246"/>
        <item x="717"/>
        <item x="804"/>
        <item x="170"/>
        <item x="671"/>
        <item x="162"/>
        <item x="513"/>
        <item x="466"/>
        <item x="516"/>
        <item x="364"/>
        <item x="127"/>
        <item x="242"/>
        <item x="396"/>
        <item x="146"/>
        <item x="605"/>
        <item x="45"/>
        <item x="626"/>
        <item x="191"/>
        <item x="220"/>
        <item x="233"/>
        <item x="829"/>
        <item x="515"/>
        <item x="165"/>
        <item x="399"/>
        <item x="453"/>
        <item x="436"/>
        <item x="337"/>
        <item x="141"/>
        <item x="160"/>
        <item x="415"/>
        <item x="384"/>
        <item x="180"/>
        <item x="71"/>
        <item x="520"/>
        <item x="271"/>
        <item x="157"/>
        <item x="588"/>
        <item x="602"/>
        <item x="276"/>
        <item x="616"/>
        <item x="691"/>
        <item x="214"/>
        <item x="63"/>
        <item x="459"/>
        <item x="0"/>
        <item x="886"/>
        <item x="553"/>
        <item x="556"/>
        <item x="820"/>
        <item x="348"/>
        <item x="644"/>
        <item x="710"/>
        <item x="636"/>
        <item x="581"/>
        <item x="653"/>
        <item x="222"/>
        <item x="880"/>
        <item x="723"/>
        <item x="327"/>
        <item x="435"/>
        <item x="658"/>
        <item x="446"/>
        <item x="103"/>
        <item x="673"/>
        <item x="31"/>
        <item x="623"/>
        <item x="590"/>
        <item x="185"/>
        <item x="177"/>
        <item x="667"/>
        <item x="409"/>
        <item x="422"/>
        <item x="145"/>
        <item x="59"/>
        <item x="143"/>
        <item x="122"/>
        <item x="799"/>
        <item x="126"/>
        <item x="857"/>
        <item x="108"/>
        <item x="78"/>
        <item x="156"/>
        <item x="432"/>
        <item x="803"/>
        <item x="618"/>
        <item x="620"/>
        <item x="120"/>
        <item x="692"/>
        <item x="573"/>
        <item x="229"/>
        <item x="234"/>
        <item x="624"/>
        <item x="334"/>
        <item x="198"/>
        <item x="150"/>
        <item x="721"/>
        <item x="168"/>
        <item x="735"/>
        <item x="869"/>
        <item x="739"/>
        <item x="192"/>
        <item x="186"/>
        <item x="744"/>
        <item x="23"/>
        <item x="241"/>
        <item x="578"/>
        <item x="299"/>
        <item x="314"/>
        <item x="6"/>
        <item x="359"/>
        <item x="418"/>
        <item x="116"/>
        <item x="16"/>
        <item x="836"/>
        <item x="188"/>
        <item x="297"/>
        <item x="448"/>
        <item x="604"/>
        <item x="104"/>
        <item x="202"/>
        <item x="635"/>
        <item x="601"/>
        <item x="818"/>
        <item x="486"/>
        <item x="822"/>
        <item x="538"/>
        <item x="128"/>
        <item x="825"/>
        <item x="261"/>
        <item x="218"/>
        <item x="784"/>
        <item x="702"/>
        <item x="831"/>
        <item x="210"/>
        <item x="893"/>
        <item x="550"/>
        <item x="613"/>
        <item x="862"/>
        <item x="839"/>
        <item x="648"/>
        <item x="264"/>
        <item x="318"/>
        <item x="679"/>
        <item x="666"/>
        <item x="842"/>
        <item x="204"/>
        <item x="406"/>
        <item x="339"/>
        <item x="338"/>
        <item x="201"/>
        <item x="569"/>
        <item x="780"/>
        <item x="379"/>
        <item x="750"/>
        <item x="15"/>
        <item x="669"/>
        <item x="285"/>
        <item x="123"/>
        <item x="766"/>
        <item x="33"/>
        <item x="154"/>
        <item x="281"/>
        <item x="48"/>
        <item x="138"/>
        <item x="688"/>
        <item x="431"/>
        <item x="483"/>
        <item x="212"/>
        <item x="835"/>
        <item x="841"/>
        <item x="892"/>
        <item x="452"/>
        <item x="69"/>
        <item x="650"/>
        <item x="101"/>
        <item x="612"/>
        <item x="182"/>
        <item x="449"/>
        <item x="709"/>
        <item x="814"/>
        <item x="888"/>
        <item x="684"/>
        <item x="495"/>
        <item x="175"/>
        <item x="21"/>
        <item x="410"/>
        <item x="366"/>
        <item x="525"/>
        <item x="179"/>
        <item x="777"/>
        <item x="267"/>
        <item x="706"/>
        <item x="531"/>
        <item x="872"/>
        <item x="231"/>
        <item x="824"/>
        <item x="236"/>
        <item x="790"/>
        <item x="167"/>
        <item x="833"/>
        <item x="97"/>
        <item x="296"/>
        <item x="196"/>
        <item x="424"/>
        <item x="377"/>
        <item x="745"/>
        <item x="788"/>
        <item x="77"/>
        <item x="331"/>
        <item x="802"/>
        <item x="42"/>
        <item x="783"/>
        <item x="875"/>
        <item x="194"/>
        <item x="119"/>
        <item x="509"/>
        <item x="258"/>
        <item x="275"/>
        <item x="10"/>
        <item x="727"/>
        <item x="741"/>
        <item x="757"/>
        <item x="859"/>
        <item x="546"/>
        <item x="363"/>
        <item x="20"/>
        <item x="707"/>
        <item x="155"/>
        <item x="208"/>
        <item x="475"/>
        <item x="105"/>
        <item x="887"/>
        <item x="722"/>
        <item x="392"/>
        <item x="98"/>
        <item x="646"/>
        <item x="639"/>
        <item x="638"/>
        <item x="8"/>
        <item x="878"/>
        <item x="849"/>
        <item x="365"/>
        <item x="703"/>
        <item x="641"/>
        <item x="660"/>
        <item x="85"/>
        <item x="662"/>
        <item x="426"/>
        <item x="427"/>
        <item x="357"/>
        <item x="631"/>
        <item x="171"/>
        <item x="897"/>
        <item x="421"/>
        <item x="672"/>
        <item x="245"/>
        <item x="262"/>
        <item x="472"/>
        <item x="322"/>
        <item x="102"/>
        <item x="240"/>
        <item x="501"/>
        <item x="40"/>
        <item x="352"/>
        <item x="412"/>
        <item x="259"/>
        <item x="846"/>
        <item x="420"/>
        <item x="283"/>
        <item x="704"/>
        <item x="247"/>
        <item x="682"/>
        <item x="86"/>
        <item x="74"/>
        <item x="96"/>
        <item x="481"/>
        <item x="325"/>
        <item x="536"/>
        <item x="323"/>
        <item x="696"/>
        <item x="552"/>
        <item x="572"/>
        <item x="634"/>
        <item x="457"/>
        <item x="169"/>
        <item x="468"/>
        <item x="827"/>
        <item x="865"/>
        <item x="66"/>
        <item x="394"/>
        <item x="184"/>
        <item x="693"/>
        <item x="461"/>
        <item x="542"/>
        <item x="248"/>
        <item x="308"/>
        <item x="732"/>
        <item x="787"/>
        <item x="496"/>
        <item x="506"/>
        <item x="482"/>
        <item x="163"/>
        <item x="807"/>
        <item x="759"/>
        <item x="324"/>
        <item x="61"/>
        <item x="382"/>
        <item x="801"/>
        <item x="87"/>
        <item x="699"/>
        <item x="312"/>
        <item x="256"/>
        <item x="540"/>
        <item x="471"/>
        <item x="166"/>
        <item x="112"/>
        <item x="391"/>
        <item x="786"/>
        <item x="64"/>
        <item x="311"/>
        <item x="430"/>
        <item x="407"/>
        <item x="26"/>
        <item x="301"/>
        <item x="778"/>
        <item x="503"/>
        <item x="226"/>
        <item x="654"/>
        <item x="625"/>
        <item x="507"/>
        <item x="716"/>
        <item x="630"/>
        <item x="724"/>
        <item x="860"/>
        <item x="462"/>
        <item x="93"/>
        <item x="637"/>
        <item x="761"/>
        <item x="681"/>
        <item x="657"/>
        <item x="817"/>
        <item x="173"/>
        <item x="215"/>
        <item x="763"/>
        <item x="720"/>
        <item x="768"/>
        <item x="300"/>
        <item x="130"/>
        <item x="823"/>
        <item x="395"/>
        <item x="463"/>
        <item x="287"/>
        <item x="492"/>
        <item x="830"/>
        <item x="378"/>
        <item x="645"/>
        <item x="319"/>
        <item x="111"/>
        <item x="355"/>
        <item x="164"/>
        <item x="478"/>
        <item x="598"/>
        <item x="304"/>
        <item x="140"/>
        <item x="289"/>
        <item x="812"/>
        <item x="307"/>
        <item x="798"/>
        <item x="100"/>
        <item x="663"/>
        <item x="528"/>
        <item x="753"/>
        <item x="782"/>
        <item x="437"/>
        <item x="661"/>
        <item x="125"/>
        <item x="689"/>
        <item x="211"/>
        <item x="485"/>
        <item x="535"/>
        <item x="708"/>
        <item x="216"/>
        <item x="523"/>
        <item x="135"/>
        <item x="664"/>
        <item x="894"/>
        <item x="690"/>
        <item x="811"/>
        <item x="537"/>
        <item x="443"/>
        <item x="694"/>
        <item x="597"/>
        <item x="46"/>
        <item x="785"/>
        <item x="358"/>
        <item x="106"/>
        <item x="425"/>
        <item x="585"/>
        <item x="41"/>
        <item x="856"/>
        <item x="217"/>
        <item x="340"/>
        <item x="549"/>
        <item x="73"/>
        <item x="678"/>
        <item x="416"/>
        <item x="235"/>
        <item x="873"/>
        <item x="292"/>
        <item x="76"/>
        <item x="567"/>
        <item x="701"/>
        <item x="633"/>
        <item x="284"/>
        <item x="354"/>
        <item x="589"/>
        <item x="451"/>
        <item x="627"/>
        <item x="237"/>
        <item x="813"/>
        <item x="117"/>
        <item x="362"/>
        <item x="896"/>
        <item x="725"/>
        <item x="517"/>
        <item x="345"/>
        <item x="755"/>
        <item x="30"/>
        <item x="190"/>
        <item x="302"/>
        <item x="864"/>
        <item x="617"/>
        <item x="389"/>
        <item x="148"/>
        <item x="686"/>
        <item x="844"/>
        <item x="11"/>
        <item x="675"/>
        <item x="172"/>
        <item x="480"/>
        <item x="579"/>
        <item x="303"/>
        <item x="714"/>
        <item x="408"/>
        <item x="53"/>
        <item x="840"/>
        <item x="28"/>
        <item x="770"/>
        <item x="551"/>
        <item x="514"/>
        <item x="402"/>
        <item x="756"/>
        <item x="748"/>
        <item x="27"/>
        <item x="837"/>
        <item x="713"/>
        <item x="441"/>
        <item x="219"/>
        <item x="529"/>
        <item x="80"/>
        <item x="776"/>
        <item x="200"/>
        <item x="109"/>
        <item x="527"/>
        <item x="580"/>
        <item x="595"/>
        <item x="797"/>
        <item x="533"/>
        <item x="17"/>
        <item x="209"/>
        <item x="343"/>
        <item x="752"/>
        <item x="868"/>
        <item x="454"/>
        <item x="890"/>
        <item x="614"/>
        <item x="494"/>
        <item x="114"/>
        <item x="450"/>
        <item x="698"/>
        <item x="203"/>
        <item x="321"/>
        <item x="374"/>
        <item x="442"/>
        <item x="90"/>
        <item x="611"/>
        <item x="863"/>
        <item x="193"/>
        <item x="265"/>
        <item x="142"/>
        <item x="250"/>
        <item x="360"/>
        <item x="488"/>
        <item x="456"/>
        <item x="414"/>
        <item x="487"/>
        <item x="606"/>
        <item x="628"/>
        <item x="81"/>
        <item x="176"/>
        <item x="607"/>
        <item x="349"/>
        <item x="767"/>
        <item x="854"/>
        <item x="134"/>
        <item x="643"/>
        <item x="574"/>
        <item x="400"/>
        <item x="329"/>
        <item x="269"/>
        <item x="794"/>
        <item x="238"/>
        <item x="51"/>
        <item x="737"/>
        <item x="543"/>
        <item x="133"/>
        <item x="423"/>
        <item x="800"/>
        <item x="504"/>
        <item x="746"/>
        <item x="558"/>
        <item x="668"/>
        <item x="497"/>
        <item x="816"/>
        <item x="594"/>
        <item x="376"/>
        <item x="834"/>
        <item x="353"/>
        <item x="781"/>
        <item x="19"/>
        <item x="582"/>
        <item x="49"/>
        <item x="224"/>
        <item x="838"/>
        <item x="397"/>
        <item x="113"/>
        <item x="879"/>
        <item x="268"/>
        <item x="560"/>
        <item x="95"/>
        <item x="479"/>
        <item x="848"/>
        <item x="749"/>
        <item x="539"/>
        <item x="227"/>
        <item x="50"/>
        <item x="91"/>
        <item x="555"/>
        <item x="502"/>
        <item x="390"/>
        <item x="789"/>
        <item x="291"/>
        <item x="640"/>
        <item x="547"/>
        <item x="44"/>
        <item x="733"/>
        <item x="792"/>
        <item x="779"/>
        <item x="313"/>
        <item x="243"/>
        <item x="758"/>
        <item x="577"/>
        <item x="398"/>
        <item x="559"/>
        <item x="254"/>
        <item x="221"/>
        <item x="39"/>
        <item x="266"/>
        <item x="70"/>
        <item x="369"/>
        <item x="272"/>
        <item x="129"/>
        <item x="139"/>
        <item x="419"/>
        <item x="205"/>
        <item x="373"/>
        <item x="136"/>
        <item x="83"/>
        <item x="521"/>
        <item x="286"/>
        <item x="197"/>
        <item x="852"/>
        <item x="151"/>
        <item x="36"/>
        <item x="670"/>
        <item x="751"/>
        <item x="490"/>
        <item x="548"/>
        <item x="884"/>
        <item x="263"/>
        <item x="351"/>
        <item x="568"/>
        <item x="742"/>
        <item x="609"/>
        <item x="596"/>
        <item x="498"/>
        <item x="576"/>
        <item x="346"/>
        <item x="828"/>
        <item x="316"/>
        <item x="754"/>
        <item x="665"/>
        <item x="428"/>
        <item x="584"/>
        <item x="370"/>
        <item x="477"/>
        <item x="891"/>
        <item x="273"/>
        <item x="213"/>
        <item x="522"/>
        <item x="821"/>
        <item x="35"/>
        <item x="72"/>
        <item x="371"/>
        <item x="183"/>
        <item x="159"/>
        <item x="565"/>
        <item x="676"/>
        <item x="29"/>
        <item x="131"/>
        <item x="25"/>
        <item x="149"/>
        <item x="775"/>
        <item x="619"/>
        <item x="444"/>
        <item x="232"/>
        <item x="99"/>
        <item x="680"/>
        <item x="571"/>
        <item x="561"/>
        <item x="877"/>
        <item x="458"/>
        <item x="306"/>
        <item x="107"/>
        <item x="298"/>
        <item x="58"/>
        <item x="187"/>
        <item x="563"/>
        <item x="810"/>
        <item x="147"/>
        <item x="380"/>
        <item x="524"/>
        <item x="65"/>
        <item x="310"/>
        <item x="257"/>
        <item x="260"/>
        <item x="512"/>
        <item x="586"/>
        <item x="413"/>
        <item x="356"/>
        <item x="795"/>
        <item x="189"/>
        <item x="526"/>
        <item x="476"/>
        <item x="225"/>
        <item x="56"/>
        <item x="771"/>
        <item x="5"/>
        <item x="199"/>
        <item x="282"/>
        <item x="89"/>
        <item x="385"/>
        <item x="393"/>
        <item x="429"/>
        <item x="206"/>
        <item x="895"/>
        <item x="511"/>
        <item x="447"/>
        <item x="386"/>
        <item x="500"/>
        <item x="341"/>
        <item x="562"/>
        <item x="223"/>
        <item x="60"/>
        <item x="52"/>
        <item x="734"/>
        <item x="599"/>
        <item x="687"/>
        <item x="465"/>
        <item x="655"/>
        <item x="610"/>
        <item x="726"/>
        <item x="853"/>
        <item x="587"/>
        <item x="332"/>
        <item x="772"/>
        <item x="621"/>
        <item x="847"/>
        <item x="2"/>
        <item x="881"/>
        <item x="850"/>
        <item x="110"/>
        <item x="333"/>
        <item x="695"/>
        <item x="736"/>
        <item x="161"/>
        <item x="730"/>
        <item x="32"/>
        <item x="874"/>
        <item x="309"/>
        <item x="564"/>
        <item x="765"/>
        <item x="330"/>
        <item x="279"/>
        <item x="519"/>
        <item x="885"/>
        <item x="642"/>
        <item x="75"/>
        <item x="738"/>
        <item x="518"/>
        <item x="88"/>
        <item x="14"/>
        <item x="484"/>
        <item x="152"/>
        <item x="174"/>
        <item x="84"/>
        <item x="57"/>
        <item x="7"/>
        <item x="43"/>
        <item x="144"/>
        <item x="467"/>
        <item x="94"/>
        <item x="545"/>
        <item x="747"/>
        <item x="342"/>
        <item x="67"/>
        <item x="743"/>
        <item x="469"/>
        <item x="593"/>
        <item x="871"/>
        <item x="889"/>
        <item x="715"/>
        <item x="470"/>
        <item x="178"/>
        <item x="793"/>
        <item x="882"/>
        <item x="79"/>
        <item x="274"/>
        <item x="92"/>
        <item x="12"/>
        <item x="728"/>
        <item x="651"/>
        <item x="401"/>
        <item x="832"/>
        <item x="677"/>
        <item x="858"/>
        <item x="866"/>
        <item x="434"/>
        <item x="566"/>
        <item x="718"/>
        <item x="288"/>
        <item x="121"/>
        <item x="388"/>
        <item x="403"/>
        <item x="659"/>
        <item x="445"/>
        <item x="473"/>
        <item x="82"/>
        <item x="381"/>
        <item x="460"/>
        <item x="530"/>
        <item x="294"/>
        <item x="774"/>
        <item x="791"/>
        <item x="37"/>
        <item x="647"/>
        <item x="54"/>
        <item x="532"/>
        <item x="622"/>
        <item x="712"/>
        <item x="336"/>
        <item x="632"/>
        <item x="544"/>
        <item x="411"/>
        <item x="815"/>
        <item x="808"/>
        <item x="474"/>
        <item x="826"/>
        <item x="335"/>
        <item x="592"/>
        <item x="195"/>
        <item x="153"/>
        <item x="255"/>
        <item x="809"/>
        <item x="368"/>
        <item x="505"/>
        <item x="4"/>
        <item x="510"/>
        <item x="433"/>
        <item x="806"/>
        <item x="404"/>
        <item x="244"/>
        <item x="372"/>
        <item x="383"/>
        <item x="508"/>
        <item x="455"/>
        <item x="290"/>
        <item x="557"/>
        <item x="439"/>
        <item x="773"/>
        <item x="132"/>
        <item x="705"/>
        <item x="278"/>
        <item x="731"/>
        <item x="685"/>
        <item x="230"/>
        <item x="158"/>
        <item x="293"/>
        <item x="24"/>
        <item x="1"/>
        <item x="47"/>
        <item t="default"/>
      </items>
    </pivotField>
    <pivotField showAll="0"/>
    <pivotField showAll="0"/>
    <pivotField numFmtId="14" showAll="0">
      <items count="539">
        <item x="208"/>
        <item x="481"/>
        <item x="408"/>
        <item x="444"/>
        <item x="372"/>
        <item x="312"/>
        <item x="345"/>
        <item x="414"/>
        <item x="10"/>
        <item x="354"/>
        <item x="393"/>
        <item x="169"/>
        <item x="15"/>
        <item x="424"/>
        <item x="185"/>
        <item x="246"/>
        <item x="515"/>
        <item x="324"/>
        <item x="48"/>
        <item x="41"/>
        <item x="74"/>
        <item x="303"/>
        <item x="142"/>
        <item x="40"/>
        <item x="370"/>
        <item x="138"/>
        <item x="406"/>
        <item x="33"/>
        <item x="75"/>
        <item x="80"/>
        <item x="134"/>
        <item x="91"/>
        <item x="177"/>
        <item x="462"/>
        <item x="211"/>
        <item x="535"/>
        <item x="81"/>
        <item x="467"/>
        <item x="301"/>
        <item x="334"/>
        <item x="273"/>
        <item x="150"/>
        <item x="236"/>
        <item x="488"/>
        <item x="39"/>
        <item x="357"/>
        <item x="276"/>
        <item x="29"/>
        <item x="326"/>
        <item x="229"/>
        <item x="361"/>
        <item x="421"/>
        <item x="296"/>
        <item x="197"/>
        <item x="21"/>
        <item x="329"/>
        <item x="459"/>
        <item x="517"/>
        <item x="493"/>
        <item x="146"/>
        <item x="7"/>
        <item x="78"/>
        <item x="182"/>
        <item x="44"/>
        <item x="234"/>
        <item x="162"/>
        <item x="482"/>
        <item x="94"/>
        <item x="448"/>
        <item x="179"/>
        <item x="386"/>
        <item x="101"/>
        <item x="307"/>
        <item x="124"/>
        <item x="55"/>
        <item x="209"/>
        <item x="213"/>
        <item x="69"/>
        <item x="260"/>
        <item x="522"/>
        <item x="222"/>
        <item x="447"/>
        <item x="106"/>
        <item x="315"/>
        <item x="437"/>
        <item x="306"/>
        <item x="13"/>
        <item x="272"/>
        <item x="247"/>
        <item x="223"/>
        <item x="379"/>
        <item x="18"/>
        <item x="225"/>
        <item x="207"/>
        <item x="85"/>
        <item x="135"/>
        <item x="131"/>
        <item x="79"/>
        <item x="528"/>
        <item x="325"/>
        <item x="58"/>
        <item x="476"/>
        <item x="520"/>
        <item x="281"/>
        <item x="71"/>
        <item x="255"/>
        <item x="165"/>
        <item x="353"/>
        <item x="90"/>
        <item x="261"/>
        <item x="422"/>
        <item x="232"/>
        <item x="72"/>
        <item x="298"/>
        <item x="70"/>
        <item x="491"/>
        <item x="277"/>
        <item x="469"/>
        <item x="45"/>
        <item x="151"/>
        <item x="262"/>
        <item x="140"/>
        <item x="356"/>
        <item x="322"/>
        <item x="268"/>
        <item x="4"/>
        <item x="288"/>
        <item x="235"/>
        <item x="475"/>
        <item x="292"/>
        <item x="499"/>
        <item x="110"/>
        <item x="505"/>
        <item x="519"/>
        <item x="375"/>
        <item x="320"/>
        <item x="456"/>
        <item x="280"/>
        <item x="12"/>
        <item x="32"/>
        <item x="26"/>
        <item x="205"/>
        <item x="460"/>
        <item x="290"/>
        <item x="453"/>
        <item x="397"/>
        <item x="1"/>
        <item x="143"/>
        <item x="188"/>
        <item x="494"/>
        <item x="231"/>
        <item x="314"/>
        <item x="339"/>
        <item x="526"/>
        <item x="378"/>
        <item x="160"/>
        <item x="293"/>
        <item x="458"/>
        <item x="309"/>
        <item x="284"/>
        <item x="504"/>
        <item x="219"/>
        <item x="175"/>
        <item x="282"/>
        <item x="279"/>
        <item x="411"/>
        <item x="212"/>
        <item x="6"/>
        <item x="366"/>
        <item x="364"/>
        <item x="53"/>
        <item x="115"/>
        <item x="230"/>
        <item x="500"/>
        <item x="286"/>
        <item x="365"/>
        <item x="176"/>
        <item x="451"/>
        <item x="495"/>
        <item x="98"/>
        <item x="65"/>
        <item x="341"/>
        <item x="204"/>
        <item x="103"/>
        <item x="155"/>
        <item x="537"/>
        <item x="518"/>
        <item x="242"/>
        <item x="492"/>
        <item x="291"/>
        <item x="409"/>
        <item x="170"/>
        <item x="506"/>
        <item x="30"/>
        <item x="123"/>
        <item x="508"/>
        <item x="258"/>
        <item x="510"/>
        <item x="166"/>
        <item x="226"/>
        <item x="141"/>
        <item x="474"/>
        <item x="289"/>
        <item x="163"/>
        <item x="136"/>
        <item x="319"/>
        <item x="367"/>
        <item x="119"/>
        <item x="455"/>
        <item x="63"/>
        <item x="171"/>
        <item x="266"/>
        <item x="523"/>
        <item x="425"/>
        <item x="452"/>
        <item x="120"/>
        <item x="210"/>
        <item x="250"/>
        <item x="147"/>
        <item x="436"/>
        <item x="156"/>
        <item x="202"/>
        <item x="77"/>
        <item x="86"/>
        <item x="355"/>
        <item x="294"/>
        <item x="318"/>
        <item x="267"/>
        <item x="465"/>
        <item x="157"/>
        <item x="84"/>
        <item x="36"/>
        <item x="502"/>
        <item x="19"/>
        <item x="358"/>
        <item x="348"/>
        <item x="412"/>
        <item x="190"/>
        <item x="265"/>
        <item x="418"/>
        <item x="189"/>
        <item x="297"/>
        <item x="371"/>
        <item x="14"/>
        <item x="527"/>
        <item x="512"/>
        <item x="390"/>
        <item x="479"/>
        <item x="64"/>
        <item x="304"/>
        <item x="149"/>
        <item x="218"/>
        <item x="400"/>
        <item x="338"/>
        <item x="82"/>
        <item x="333"/>
        <item x="426"/>
        <item x="198"/>
        <item x="164"/>
        <item x="54"/>
        <item x="88"/>
        <item x="239"/>
        <item x="388"/>
        <item x="159"/>
        <item x="404"/>
        <item x="497"/>
        <item x="112"/>
        <item x="381"/>
        <item x="516"/>
        <item x="532"/>
        <item x="34"/>
        <item x="454"/>
        <item x="316"/>
        <item x="68"/>
        <item x="251"/>
        <item x="377"/>
        <item x="435"/>
        <item x="344"/>
        <item x="328"/>
        <item x="433"/>
        <item x="415"/>
        <item x="214"/>
        <item x="259"/>
        <item x="137"/>
        <item x="191"/>
        <item x="105"/>
        <item x="161"/>
        <item x="67"/>
        <item x="118"/>
        <item x="343"/>
        <item x="299"/>
        <item x="271"/>
        <item x="427"/>
        <item x="43"/>
        <item x="51"/>
        <item x="441"/>
        <item x="241"/>
        <item x="95"/>
        <item x="383"/>
        <item x="117"/>
        <item x="509"/>
        <item x="310"/>
        <item x="363"/>
        <item x="245"/>
        <item x="224"/>
        <item x="321"/>
        <item x="195"/>
        <item x="398"/>
        <item x="373"/>
        <item x="186"/>
        <item x="243"/>
        <item x="240"/>
        <item x="62"/>
        <item x="485"/>
        <item x="331"/>
        <item x="507"/>
        <item x="449"/>
        <item x="158"/>
        <item x="220"/>
        <item x="470"/>
        <item x="107"/>
        <item x="439"/>
        <item x="127"/>
        <item x="238"/>
        <item x="369"/>
        <item x="99"/>
        <item x="16"/>
        <item x="308"/>
        <item x="380"/>
        <item x="295"/>
        <item x="432"/>
        <item x="395"/>
        <item x="278"/>
        <item x="359"/>
        <item x="531"/>
        <item x="405"/>
        <item x="173"/>
        <item x="269"/>
        <item x="340"/>
        <item x="335"/>
        <item x="60"/>
        <item x="529"/>
        <item x="129"/>
        <item x="89"/>
        <item x="429"/>
        <item x="233"/>
        <item x="385"/>
        <item x="152"/>
        <item x="217"/>
        <item x="468"/>
        <item x="203"/>
        <item x="249"/>
        <item x="323"/>
        <item x="192"/>
        <item x="287"/>
        <item x="533"/>
        <item x="130"/>
        <item x="346"/>
        <item x="478"/>
        <item x="97"/>
        <item x="483"/>
        <item x="360"/>
        <item x="23"/>
        <item x="285"/>
        <item x="256"/>
        <item x="254"/>
        <item x="196"/>
        <item x="52"/>
        <item x="116"/>
        <item x="20"/>
        <item x="263"/>
        <item x="28"/>
        <item x="174"/>
        <item x="178"/>
        <item x="450"/>
        <item x="133"/>
        <item x="73"/>
        <item x="300"/>
        <item x="2"/>
        <item x="438"/>
        <item x="442"/>
        <item x="302"/>
        <item x="59"/>
        <item x="413"/>
        <item x="394"/>
        <item x="368"/>
        <item x="17"/>
        <item x="534"/>
        <item x="49"/>
        <item x="50"/>
        <item x="391"/>
        <item x="332"/>
        <item x="184"/>
        <item x="180"/>
        <item x="42"/>
        <item x="22"/>
        <item x="8"/>
        <item x="503"/>
        <item x="466"/>
        <item x="87"/>
        <item x="215"/>
        <item x="275"/>
        <item x="83"/>
        <item x="403"/>
        <item x="536"/>
        <item x="92"/>
        <item x="477"/>
        <item x="514"/>
        <item x="430"/>
        <item x="420"/>
        <item x="253"/>
        <item x="38"/>
        <item x="24"/>
        <item x="200"/>
        <item x="104"/>
        <item x="248"/>
        <item x="187"/>
        <item x="121"/>
        <item x="167"/>
        <item x="416"/>
        <item x="201"/>
        <item x="374"/>
        <item x="472"/>
        <item x="31"/>
        <item x="498"/>
        <item x="431"/>
        <item x="342"/>
        <item x="9"/>
        <item x="46"/>
        <item x="419"/>
        <item x="392"/>
        <item x="407"/>
        <item x="489"/>
        <item x="132"/>
        <item x="313"/>
        <item x="511"/>
        <item x="139"/>
        <item x="66"/>
        <item x="317"/>
        <item x="382"/>
        <item x="193"/>
        <item x="109"/>
        <item x="37"/>
        <item x="487"/>
        <item x="168"/>
        <item x="423"/>
        <item x="145"/>
        <item x="181"/>
        <item x="440"/>
        <item x="237"/>
        <item x="352"/>
        <item x="396"/>
        <item x="252"/>
        <item x="330"/>
        <item x="530"/>
        <item x="114"/>
        <item x="113"/>
        <item x="227"/>
        <item x="471"/>
        <item x="387"/>
        <item x="496"/>
        <item x="417"/>
        <item x="172"/>
        <item x="125"/>
        <item x="389"/>
        <item x="445"/>
        <item x="490"/>
        <item x="362"/>
        <item x="434"/>
        <item x="486"/>
        <item x="480"/>
        <item x="401"/>
        <item x="57"/>
        <item x="457"/>
        <item x="56"/>
        <item x="206"/>
        <item x="3"/>
        <item x="513"/>
        <item x="128"/>
        <item x="102"/>
        <item x="464"/>
        <item x="194"/>
        <item x="153"/>
        <item x="264"/>
        <item x="257"/>
        <item x="446"/>
        <item x="461"/>
        <item x="463"/>
        <item x="384"/>
        <item x="61"/>
        <item x="100"/>
        <item x="410"/>
        <item x="228"/>
        <item x="96"/>
        <item x="327"/>
        <item x="111"/>
        <item x="524"/>
        <item x="311"/>
        <item x="221"/>
        <item x="244"/>
        <item x="25"/>
        <item x="144"/>
        <item x="443"/>
        <item x="351"/>
        <item x="376"/>
        <item x="305"/>
        <item x="347"/>
        <item x="0"/>
        <item x="336"/>
        <item x="428"/>
        <item x="27"/>
        <item x="337"/>
        <item x="399"/>
        <item x="126"/>
        <item x="525"/>
        <item x="501"/>
        <item x="349"/>
        <item x="5"/>
        <item x="154"/>
        <item x="484"/>
        <item x="47"/>
        <item x="270"/>
        <item x="521"/>
        <item x="183"/>
        <item x="76"/>
        <item x="350"/>
        <item x="108"/>
        <item x="473"/>
        <item x="274"/>
        <item x="122"/>
        <item x="35"/>
        <item x="148"/>
        <item x="216"/>
        <item x="11"/>
        <item x="93"/>
        <item x="283"/>
        <item x="199"/>
        <item x="402"/>
        <item t="default"/>
      </items>
    </pivotField>
    <pivotField showAll="0"/>
    <pivotField showAll="0"/>
    <pivotField showAll="0"/>
    <pivotField showAll="0"/>
    <pivotField showAll="0">
      <items count="11">
        <item x="0"/>
        <item x="4"/>
        <item x="5"/>
        <item x="8"/>
        <item x="7"/>
        <item x="6"/>
        <item x="1"/>
        <item x="9"/>
        <item x="2"/>
        <item x="3"/>
        <item t="default"/>
      </items>
    </pivotField>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3"/>
    <field x="21"/>
  </rowFields>
  <rowItems count="16">
    <i>
      <x v="1"/>
    </i>
    <i r="1">
      <x v="1"/>
    </i>
    <i r="1">
      <x v="2"/>
    </i>
    <i>
      <x v="3"/>
    </i>
    <i r="1">
      <x v="1"/>
    </i>
    <i r="1">
      <x v="2"/>
    </i>
    <i>
      <x v="4"/>
    </i>
    <i r="1">
      <x v="1"/>
    </i>
    <i r="1">
      <x v="2"/>
    </i>
    <i>
      <x/>
    </i>
    <i r="1">
      <x v="1"/>
    </i>
    <i r="1">
      <x v="2"/>
    </i>
    <i>
      <x v="2"/>
    </i>
    <i r="1">
      <x v="1"/>
    </i>
    <i r="1">
      <x v="2"/>
    </i>
    <i t="grand">
      <x/>
    </i>
  </rowItems>
  <colFields count="1">
    <field x="-2"/>
  </colFields>
  <colItems count="2">
    <i>
      <x/>
    </i>
    <i i="1">
      <x v="1"/>
    </i>
  </colItems>
  <dataFields count="2">
    <dataField name="Sum of Sales_CLEAN" fld="17" baseField="0" baseItem="0"/>
    <dataField name="Sum of Profit_CLEAN" fld="18"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3">
          <reference field="4294967294" count="1" selected="0">
            <x v="1"/>
          </reference>
          <reference field="3" count="1" selected="0">
            <x v="1"/>
          </reference>
          <reference field="21" count="1" selected="0">
            <x v="1"/>
          </reference>
        </references>
      </pivotArea>
    </chartFormat>
    <chartFormat chart="0" format="3">
      <pivotArea type="data" outline="0" fieldPosition="0">
        <references count="3">
          <reference field="4294967294" count="1" selected="0">
            <x v="1"/>
          </reference>
          <reference field="3" count="1" selected="0">
            <x v="1"/>
          </reference>
          <reference field="21" count="1" selected="0">
            <x v="2"/>
          </reference>
        </references>
      </pivotArea>
    </chartFormat>
    <chartFormat chart="0" format="4">
      <pivotArea type="data" outline="0" fieldPosition="0">
        <references count="3">
          <reference field="4294967294" count="1" selected="0">
            <x v="1"/>
          </reference>
          <reference field="3" count="1" selected="0">
            <x v="3"/>
          </reference>
          <reference field="21" count="1" selected="0">
            <x v="1"/>
          </reference>
        </references>
      </pivotArea>
    </chartFormat>
    <chartFormat chart="0" format="5">
      <pivotArea type="data" outline="0" fieldPosition="0">
        <references count="3">
          <reference field="4294967294" count="1" selected="0">
            <x v="1"/>
          </reference>
          <reference field="3" count="1" selected="0">
            <x v="3"/>
          </reference>
          <reference field="21" count="1" selected="0">
            <x v="2"/>
          </reference>
        </references>
      </pivotArea>
    </chartFormat>
    <chartFormat chart="0" format="6">
      <pivotArea type="data" outline="0" fieldPosition="0">
        <references count="3">
          <reference field="4294967294" count="1" selected="0">
            <x v="1"/>
          </reference>
          <reference field="3" count="1" selected="0">
            <x v="4"/>
          </reference>
          <reference field="21" count="1" selected="0">
            <x v="1"/>
          </reference>
        </references>
      </pivotArea>
    </chartFormat>
    <chartFormat chart="0" format="7">
      <pivotArea type="data" outline="0" fieldPosition="0">
        <references count="3">
          <reference field="4294967294" count="1" selected="0">
            <x v="1"/>
          </reference>
          <reference field="3" count="1" selected="0">
            <x v="4"/>
          </reference>
          <reference field="21" count="1" selected="0">
            <x v="2"/>
          </reference>
        </references>
      </pivotArea>
    </chartFormat>
    <chartFormat chart="0" format="8">
      <pivotArea type="data" outline="0" fieldPosition="0">
        <references count="3">
          <reference field="4294967294" count="1" selected="0">
            <x v="1"/>
          </reference>
          <reference field="3" count="1" selected="0">
            <x v="0"/>
          </reference>
          <reference field="21" count="1" selected="0">
            <x v="1"/>
          </reference>
        </references>
      </pivotArea>
    </chartFormat>
    <chartFormat chart="0" format="9">
      <pivotArea type="data" outline="0" fieldPosition="0">
        <references count="3">
          <reference field="4294967294" count="1" selected="0">
            <x v="1"/>
          </reference>
          <reference field="3" count="1" selected="0">
            <x v="0"/>
          </reference>
          <reference field="21" count="1" selected="0">
            <x v="2"/>
          </reference>
        </references>
      </pivotArea>
    </chartFormat>
    <chartFormat chart="0" format="10">
      <pivotArea type="data" outline="0" fieldPosition="0">
        <references count="3">
          <reference field="4294967294" count="1" selected="0">
            <x v="1"/>
          </reference>
          <reference field="3" count="1" selected="0">
            <x v="2"/>
          </reference>
          <reference field="21" count="1" selected="0">
            <x v="1"/>
          </reference>
        </references>
      </pivotArea>
    </chartFormat>
    <chartFormat chart="0" format="11">
      <pivotArea type="data" outline="0" fieldPosition="0">
        <references count="3">
          <reference field="4294967294" count="1" selected="0">
            <x v="1"/>
          </reference>
          <reference field="3" count="1" selected="0">
            <x v="2"/>
          </reference>
          <reference field="21" count="1" selected="0">
            <x v="2"/>
          </reference>
        </references>
      </pivotArea>
    </chartFormat>
    <chartFormat chart="13" format="14" series="1">
      <pivotArea type="data" outline="0" fieldPosition="0">
        <references count="1">
          <reference field="4294967294" count="1" selected="0">
            <x v="0"/>
          </reference>
        </references>
      </pivotArea>
    </chartFormat>
    <chartFormat chart="13"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2A0EF9-9F6F-42DE-8F10-0826DD13FB4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6:C103" firstHeaderRow="0" firstDataRow="1" firstDataCol="1"/>
  <pivotFields count="22">
    <pivotField showAll="0"/>
    <pivotField showAll="0"/>
    <pivotField showAll="0">
      <items count="773">
        <item x="43"/>
        <item x="357"/>
        <item x="286"/>
        <item x="315"/>
        <item x="2"/>
        <item x="234"/>
        <item x="254"/>
        <item x="732"/>
        <item x="318"/>
        <item x="614"/>
        <item x="519"/>
        <item x="471"/>
        <item x="658"/>
        <item x="347"/>
        <item x="113"/>
        <item x="151"/>
        <item x="167"/>
        <item x="37"/>
        <item x="635"/>
        <item x="242"/>
        <item x="216"/>
        <item x="470"/>
        <item x="384"/>
        <item x="588"/>
        <item x="49"/>
        <item x="476"/>
        <item x="349"/>
        <item x="405"/>
        <item x="467"/>
        <item x="638"/>
        <item x="525"/>
        <item x="462"/>
        <item x="708"/>
        <item x="421"/>
        <item x="387"/>
        <item x="294"/>
        <item x="50"/>
        <item x="367"/>
        <item x="586"/>
        <item x="230"/>
        <item x="539"/>
        <item x="496"/>
        <item x="67"/>
        <item x="15"/>
        <item x="682"/>
        <item x="760"/>
        <item x="393"/>
        <item x="41"/>
        <item x="258"/>
        <item x="514"/>
        <item x="326"/>
        <item x="219"/>
        <item x="493"/>
        <item x="12"/>
        <item x="38"/>
        <item x="302"/>
        <item x="621"/>
        <item x="690"/>
        <item x="767"/>
        <item x="565"/>
        <item x="460"/>
        <item x="136"/>
        <item x="672"/>
        <item x="32"/>
        <item x="378"/>
        <item x="169"/>
        <item x="143"/>
        <item x="487"/>
        <item x="561"/>
        <item x="629"/>
        <item x="567"/>
        <item x="686"/>
        <item x="754"/>
        <item x="223"/>
        <item x="513"/>
        <item x="771"/>
        <item x="101"/>
        <item x="748"/>
        <item x="615"/>
        <item x="129"/>
        <item x="602"/>
        <item x="3"/>
        <item x="434"/>
        <item x="726"/>
        <item x="250"/>
        <item x="683"/>
        <item x="320"/>
        <item x="723"/>
        <item x="99"/>
        <item x="536"/>
        <item x="745"/>
        <item x="76"/>
        <item x="578"/>
        <item x="103"/>
        <item x="106"/>
        <item x="256"/>
        <item x="147"/>
        <item x="36"/>
        <item x="297"/>
        <item x="191"/>
        <item x="704"/>
        <item x="646"/>
        <item x="724"/>
        <item x="140"/>
        <item x="364"/>
        <item x="439"/>
        <item x="526"/>
        <item x="763"/>
        <item x="317"/>
        <item x="72"/>
        <item x="582"/>
        <item x="656"/>
        <item x="472"/>
        <item x="541"/>
        <item x="610"/>
        <item x="66"/>
        <item x="601"/>
        <item x="710"/>
        <item x="222"/>
        <item x="133"/>
        <item x="366"/>
        <item x="642"/>
        <item x="348"/>
        <item x="687"/>
        <item x="464"/>
        <item x="450"/>
        <item x="729"/>
        <item x="321"/>
        <item x="344"/>
        <item x="545"/>
        <item x="473"/>
        <item x="377"/>
        <item x="206"/>
        <item x="184"/>
        <item x="733"/>
        <item x="126"/>
        <item x="479"/>
        <item x="446"/>
        <item x="663"/>
        <item x="540"/>
        <item x="576"/>
        <item x="611"/>
        <item x="418"/>
        <item x="424"/>
        <item x="279"/>
        <item x="182"/>
        <item x="482"/>
        <item x="574"/>
        <item x="528"/>
        <item x="305"/>
        <item x="22"/>
        <item x="183"/>
        <item x="497"/>
        <item x="728"/>
        <item x="280"/>
        <item x="624"/>
        <item x="89"/>
        <item x="246"/>
        <item x="702"/>
        <item x="257"/>
        <item x="150"/>
        <item x="57"/>
        <item x="342"/>
        <item x="501"/>
        <item x="365"/>
        <item x="293"/>
        <item x="750"/>
        <item x="80"/>
        <item x="290"/>
        <item x="1"/>
        <item x="530"/>
        <item x="157"/>
        <item x="543"/>
        <item x="636"/>
        <item x="612"/>
        <item x="227"/>
        <item x="619"/>
        <item x="102"/>
        <item x="260"/>
        <item x="562"/>
        <item x="423"/>
        <item x="240"/>
        <item x="692"/>
        <item x="226"/>
        <item x="756"/>
        <item x="570"/>
        <item x="309"/>
        <item x="14"/>
        <item x="551"/>
        <item x="64"/>
        <item x="412"/>
        <item x="245"/>
        <item x="354"/>
        <item x="310"/>
        <item x="749"/>
        <item x="389"/>
        <item x="152"/>
        <item x="755"/>
        <item x="594"/>
        <item x="620"/>
        <item x="641"/>
        <item x="486"/>
        <item x="202"/>
        <item x="639"/>
        <item x="743"/>
        <item x="159"/>
        <item x="444"/>
        <item x="215"/>
        <item x="764"/>
        <item x="645"/>
        <item x="388"/>
        <item x="568"/>
        <item x="705"/>
        <item x="303"/>
        <item x="394"/>
        <item x="313"/>
        <item x="466"/>
        <item x="667"/>
        <item x="217"/>
        <item x="422"/>
        <item x="123"/>
        <item x="352"/>
        <item x="287"/>
        <item x="4"/>
        <item x="677"/>
        <item x="265"/>
        <item x="209"/>
        <item x="435"/>
        <item x="552"/>
        <item x="587"/>
        <item x="518"/>
        <item x="299"/>
        <item x="512"/>
        <item x="608"/>
        <item x="685"/>
        <item x="468"/>
        <item x="193"/>
        <item x="569"/>
        <item x="643"/>
        <item x="669"/>
        <item x="737"/>
        <item x="248"/>
        <item x="478"/>
        <item x="650"/>
        <item x="10"/>
        <item x="714"/>
        <item x="542"/>
        <item x="697"/>
        <item x="48"/>
        <item x="432"/>
        <item x="362"/>
        <item x="194"/>
        <item x="409"/>
        <item x="627"/>
        <item x="363"/>
        <item x="443"/>
        <item x="395"/>
        <item x="263"/>
        <item x="489"/>
        <item x="345"/>
        <item x="269"/>
        <item x="371"/>
        <item x="13"/>
        <item x="560"/>
        <item x="58"/>
        <item x="71"/>
        <item x="296"/>
        <item x="537"/>
        <item x="70"/>
        <item x="448"/>
        <item x="442"/>
        <item x="622"/>
        <item x="759"/>
        <item x="503"/>
        <item x="765"/>
        <item x="295"/>
        <item x="456"/>
        <item x="454"/>
        <item x="118"/>
        <item x="679"/>
        <item x="438"/>
        <item x="689"/>
        <item x="346"/>
        <item x="187"/>
        <item x="212"/>
        <item x="176"/>
        <item x="175"/>
        <item x="458"/>
        <item x="335"/>
        <item x="188"/>
        <item x="125"/>
        <item x="78"/>
        <item x="706"/>
        <item x="703"/>
        <item x="709"/>
        <item x="691"/>
        <item x="210"/>
        <item x="160"/>
        <item x="413"/>
        <item x="83"/>
        <item x="664"/>
        <item x="554"/>
        <item x="684"/>
        <item x="34"/>
        <item x="596"/>
        <item x="381"/>
        <item x="68"/>
        <item x="731"/>
        <item x="549"/>
        <item x="504"/>
        <item x="170"/>
        <item x="406"/>
        <item x="110"/>
        <item x="433"/>
        <item x="16"/>
        <item x="407"/>
        <item x="60"/>
        <item x="747"/>
        <item x="517"/>
        <item x="553"/>
        <item x="630"/>
        <item x="229"/>
        <item x="626"/>
        <item x="137"/>
        <item x="426"/>
        <item x="557"/>
        <item x="119"/>
        <item x="391"/>
        <item x="590"/>
        <item x="498"/>
        <item x="17"/>
        <item x="766"/>
        <item x="403"/>
        <item x="197"/>
        <item x="324"/>
        <item x="84"/>
        <item x="698"/>
        <item x="739"/>
        <item x="676"/>
        <item x="225"/>
        <item x="559"/>
        <item x="605"/>
        <item x="670"/>
        <item x="546"/>
        <item x="198"/>
        <item x="356"/>
        <item x="746"/>
        <item x="400"/>
        <item x="259"/>
        <item x="680"/>
        <item x="531"/>
        <item x="385"/>
        <item x="211"/>
        <item x="488"/>
        <item x="566"/>
        <item x="666"/>
        <item x="508"/>
        <item x="644"/>
        <item x="325"/>
        <item x="661"/>
        <item x="507"/>
        <item x="521"/>
        <item x="483"/>
        <item x="281"/>
        <item x="469"/>
        <item x="47"/>
        <item x="431"/>
        <item x="201"/>
        <item x="353"/>
        <item x="292"/>
        <item x="334"/>
        <item x="414"/>
        <item x="156"/>
        <item x="94"/>
        <item x="762"/>
        <item x="172"/>
        <item x="9"/>
        <item x="253"/>
        <item x="577"/>
        <item x="148"/>
        <item x="284"/>
        <item x="511"/>
        <item x="322"/>
        <item x="199"/>
        <item x="251"/>
        <item x="550"/>
        <item x="516"/>
        <item x="563"/>
        <item x="161"/>
        <item x="44"/>
        <item x="200"/>
        <item x="436"/>
        <item x="27"/>
        <item x="11"/>
        <item x="122"/>
        <item x="91"/>
        <item x="617"/>
        <item x="163"/>
        <item x="441"/>
        <item x="181"/>
        <item x="18"/>
        <item x="337"/>
        <item x="495"/>
        <item x="618"/>
        <item x="375"/>
        <item x="515"/>
        <item x="351"/>
        <item x="453"/>
        <item x="221"/>
        <item x="461"/>
        <item x="534"/>
        <item x="247"/>
        <item x="312"/>
        <item x="445"/>
        <item x="192"/>
        <item x="529"/>
        <item x="662"/>
        <item x="26"/>
        <item x="195"/>
        <item x="548"/>
        <item x="360"/>
        <item x="564"/>
        <item x="741"/>
        <item x="301"/>
        <item x="634"/>
        <item x="522"/>
        <item x="768"/>
        <item x="178"/>
        <item x="45"/>
        <item x="177"/>
        <item x="452"/>
        <item x="358"/>
        <item x="189"/>
        <item x="235"/>
        <item x="652"/>
        <item x="736"/>
        <item x="751"/>
        <item x="527"/>
        <item x="591"/>
        <item x="440"/>
        <item x="186"/>
        <item x="204"/>
        <item x="283"/>
        <item x="717"/>
        <item x="73"/>
        <item x="75"/>
        <item x="675"/>
        <item x="40"/>
        <item x="678"/>
        <item x="146"/>
        <item x="33"/>
        <item x="609"/>
        <item x="81"/>
        <item x="141"/>
        <item x="92"/>
        <item x="262"/>
        <item x="616"/>
        <item x="238"/>
        <item x="82"/>
        <item x="361"/>
        <item x="623"/>
        <item x="271"/>
        <item x="668"/>
        <item x="39"/>
        <item x="606"/>
        <item x="29"/>
        <item x="474"/>
        <item x="598"/>
        <item x="535"/>
        <item x="21"/>
        <item x="399"/>
        <item x="719"/>
        <item x="674"/>
        <item x="7"/>
        <item x="79"/>
        <item x="402"/>
        <item x="174"/>
        <item x="653"/>
        <item x="96"/>
        <item x="196"/>
        <item x="484"/>
        <item x="130"/>
        <item x="55"/>
        <item x="236"/>
        <item x="69"/>
        <item x="744"/>
        <item x="109"/>
        <item x="380"/>
        <item x="572"/>
        <item x="370"/>
        <item x="408"/>
        <item x="437"/>
        <item x="255"/>
        <item x="233"/>
        <item x="86"/>
        <item x="142"/>
        <item x="138"/>
        <item x="742"/>
        <item x="659"/>
        <item x="343"/>
        <item x="332"/>
        <item x="179"/>
        <item x="490"/>
        <item x="304"/>
        <item x="558"/>
        <item x="266"/>
        <item x="510"/>
        <item x="316"/>
        <item x="327"/>
        <item x="631"/>
        <item x="120"/>
        <item x="162"/>
        <item x="149"/>
        <item x="571"/>
        <item x="336"/>
        <item x="341"/>
        <item x="270"/>
        <item x="398"/>
        <item x="699"/>
        <item x="721"/>
        <item x="386"/>
        <item x="603"/>
        <item x="331"/>
        <item x="231"/>
        <item x="595"/>
        <item x="429"/>
        <item x="208"/>
        <item x="722"/>
        <item x="379"/>
        <item x="415"/>
        <item x="613"/>
        <item x="373"/>
        <item x="350"/>
        <item x="607"/>
        <item x="374"/>
        <item x="583"/>
        <item x="695"/>
        <item x="333"/>
        <item x="330"/>
        <item x="523"/>
        <item x="239"/>
        <item x="6"/>
        <item x="544"/>
        <item x="53"/>
        <item x="264"/>
        <item x="688"/>
        <item x="339"/>
        <item x="455"/>
        <item x="425"/>
        <item x="593"/>
        <item x="100"/>
        <item x="65"/>
        <item x="105"/>
        <item x="770"/>
        <item x="720"/>
        <item x="278"/>
        <item x="673"/>
        <item x="520"/>
        <item x="392"/>
        <item x="700"/>
        <item x="30"/>
        <item x="128"/>
        <item x="300"/>
        <item x="180"/>
        <item x="491"/>
        <item x="640"/>
        <item x="524"/>
        <item x="144"/>
        <item x="124"/>
        <item x="599"/>
        <item x="63"/>
        <item x="417"/>
        <item x="311"/>
        <item x="657"/>
        <item x="237"/>
        <item x="288"/>
        <item x="158"/>
        <item x="168"/>
        <item x="475"/>
        <item x="87"/>
        <item x="383"/>
        <item x="592"/>
        <item x="85"/>
        <item x="19"/>
        <item x="428"/>
        <item x="220"/>
        <item x="532"/>
        <item x="355"/>
        <item x="740"/>
        <item x="712"/>
        <item x="492"/>
        <item x="649"/>
        <item x="693"/>
        <item x="368"/>
        <item x="556"/>
        <item x="506"/>
        <item x="597"/>
        <item x="107"/>
        <item x="404"/>
        <item x="547"/>
        <item x="628"/>
        <item x="54"/>
        <item x="261"/>
        <item x="275"/>
        <item x="171"/>
        <item x="115"/>
        <item x="500"/>
        <item x="718"/>
        <item x="757"/>
        <item x="289"/>
        <item x="397"/>
        <item x="241"/>
        <item x="145"/>
        <item x="213"/>
        <item x="108"/>
        <item x="173"/>
        <item x="307"/>
        <item x="228"/>
        <item x="420"/>
        <item x="359"/>
        <item x="319"/>
        <item x="272"/>
        <item x="51"/>
        <item x="734"/>
        <item x="277"/>
        <item x="97"/>
        <item x="480"/>
        <item x="707"/>
        <item x="282"/>
        <item x="252"/>
        <item x="218"/>
        <item x="465"/>
        <item x="276"/>
        <item x="62"/>
        <item x="665"/>
        <item x="401"/>
        <item x="701"/>
        <item x="589"/>
        <item x="451"/>
        <item x="632"/>
        <item x="575"/>
        <item x="134"/>
        <item x="274"/>
        <item x="372"/>
        <item x="477"/>
        <item x="752"/>
        <item x="499"/>
        <item x="329"/>
        <item x="447"/>
        <item x="190"/>
        <item x="314"/>
        <item x="416"/>
        <item x="761"/>
        <item x="90"/>
        <item x="268"/>
        <item x="164"/>
        <item x="244"/>
        <item x="494"/>
        <item x="390"/>
        <item x="214"/>
        <item x="340"/>
        <item x="758"/>
        <item x="738"/>
        <item x="648"/>
        <item x="696"/>
        <item x="449"/>
        <item x="23"/>
        <item x="338"/>
        <item x="298"/>
        <item x="681"/>
        <item x="52"/>
        <item x="20"/>
        <item x="306"/>
        <item x="28"/>
        <item x="74"/>
        <item x="463"/>
        <item x="573"/>
        <item x="579"/>
        <item x="59"/>
        <item x="459"/>
        <item x="727"/>
        <item x="715"/>
        <item x="203"/>
        <item x="42"/>
        <item x="660"/>
        <item x="8"/>
        <item x="625"/>
        <item x="88"/>
        <item x="538"/>
        <item x="267"/>
        <item x="769"/>
        <item x="93"/>
        <item x="647"/>
        <item x="716"/>
        <item x="555"/>
        <item x="24"/>
        <item x="285"/>
        <item x="207"/>
        <item x="600"/>
        <item x="580"/>
        <item x="637"/>
        <item x="31"/>
        <item x="419"/>
        <item x="46"/>
        <item x="533"/>
        <item x="694"/>
        <item x="139"/>
        <item x="711"/>
        <item x="153"/>
        <item x="382"/>
        <item x="112"/>
        <item x="121"/>
        <item x="185"/>
        <item x="155"/>
        <item x="273"/>
        <item x="502"/>
        <item x="291"/>
        <item x="753"/>
        <item x="117"/>
        <item x="116"/>
        <item x="633"/>
        <item x="485"/>
        <item x="131"/>
        <item x="584"/>
        <item x="671"/>
        <item x="651"/>
        <item x="328"/>
        <item x="604"/>
        <item x="56"/>
        <item x="232"/>
        <item x="713"/>
        <item x="135"/>
        <item x="104"/>
        <item x="165"/>
        <item x="308"/>
        <item x="585"/>
        <item x="655"/>
        <item x="481"/>
        <item x="61"/>
        <item x="98"/>
        <item x="396"/>
        <item x="114"/>
        <item x="730"/>
        <item x="376"/>
        <item x="249"/>
        <item x="410"/>
        <item x="25"/>
        <item x="154"/>
        <item x="581"/>
        <item x="369"/>
        <item x="427"/>
        <item x="0"/>
        <item x="411"/>
        <item x="457"/>
        <item x="505"/>
        <item x="132"/>
        <item x="735"/>
        <item x="430"/>
        <item x="5"/>
        <item x="166"/>
        <item x="725"/>
        <item x="654"/>
        <item x="77"/>
        <item x="111"/>
        <item x="323"/>
        <item x="127"/>
        <item x="35"/>
        <item x="205"/>
        <item x="243"/>
        <item x="95"/>
        <item x="224"/>
        <item x="509"/>
        <item t="default"/>
      </items>
    </pivotField>
    <pivotField showAll="0"/>
    <pivotField showAll="0"/>
    <pivotField showAll="0"/>
    <pivotField showAll="0"/>
    <pivotField showAll="0"/>
    <pivotField showAll="0">
      <items count="900">
        <item x="328"/>
        <item x="350"/>
        <item x="9"/>
        <item x="762"/>
        <item x="656"/>
        <item x="499"/>
        <item x="270"/>
        <item x="554"/>
        <item x="249"/>
        <item x="347"/>
        <item x="493"/>
        <item x="489"/>
        <item x="367"/>
        <item x="18"/>
        <item x="697"/>
        <item x="600"/>
        <item x="438"/>
        <item x="883"/>
        <item x="608"/>
        <item x="62"/>
        <item x="843"/>
        <item x="181"/>
        <item x="251"/>
        <item x="315"/>
        <item x="417"/>
        <item x="124"/>
        <item x="541"/>
        <item x="440"/>
        <item x="603"/>
        <item x="629"/>
        <item x="615"/>
        <item x="55"/>
        <item x="711"/>
        <item x="464"/>
        <item x="575"/>
        <item x="719"/>
        <item x="68"/>
        <item x="280"/>
        <item x="583"/>
        <item x="729"/>
        <item x="649"/>
        <item x="115"/>
        <item x="876"/>
        <item x="700"/>
        <item x="855"/>
        <item x="38"/>
        <item x="22"/>
        <item x="239"/>
        <item x="252"/>
        <item x="570"/>
        <item x="740"/>
        <item x="326"/>
        <item x="305"/>
        <item x="317"/>
        <item x="898"/>
        <item x="137"/>
        <item x="344"/>
        <item x="796"/>
        <item x="320"/>
        <item x="491"/>
        <item x="375"/>
        <item x="387"/>
        <item x="805"/>
        <item x="870"/>
        <item x="3"/>
        <item x="534"/>
        <item x="295"/>
        <item x="819"/>
        <item x="207"/>
        <item x="845"/>
        <item x="253"/>
        <item x="851"/>
        <item x="867"/>
        <item x="361"/>
        <item x="277"/>
        <item x="591"/>
        <item x="34"/>
        <item x="405"/>
        <item x="652"/>
        <item x="118"/>
        <item x="760"/>
        <item x="13"/>
        <item x="861"/>
        <item x="764"/>
        <item x="228"/>
        <item x="683"/>
        <item x="769"/>
        <item x="674"/>
        <item x="246"/>
        <item x="717"/>
        <item x="804"/>
        <item x="170"/>
        <item x="671"/>
        <item x="162"/>
        <item x="513"/>
        <item x="466"/>
        <item x="516"/>
        <item x="364"/>
        <item x="127"/>
        <item x="242"/>
        <item x="396"/>
        <item x="146"/>
        <item x="605"/>
        <item x="45"/>
        <item x="626"/>
        <item x="191"/>
        <item x="220"/>
        <item x="233"/>
        <item x="829"/>
        <item x="515"/>
        <item x="165"/>
        <item x="399"/>
        <item x="453"/>
        <item x="436"/>
        <item x="337"/>
        <item x="141"/>
        <item x="160"/>
        <item x="415"/>
        <item x="384"/>
        <item x="180"/>
        <item x="71"/>
        <item x="520"/>
        <item x="271"/>
        <item x="157"/>
        <item x="588"/>
        <item x="602"/>
        <item x="276"/>
        <item x="616"/>
        <item x="691"/>
        <item x="214"/>
        <item x="63"/>
        <item x="459"/>
        <item x="0"/>
        <item x="886"/>
        <item x="553"/>
        <item x="556"/>
        <item x="820"/>
        <item x="348"/>
        <item x="644"/>
        <item x="710"/>
        <item x="636"/>
        <item x="581"/>
        <item x="653"/>
        <item x="222"/>
        <item x="880"/>
        <item x="723"/>
        <item x="327"/>
        <item x="435"/>
        <item x="658"/>
        <item x="446"/>
        <item x="103"/>
        <item x="673"/>
        <item x="31"/>
        <item x="623"/>
        <item x="590"/>
        <item x="185"/>
        <item x="177"/>
        <item x="667"/>
        <item x="409"/>
        <item x="422"/>
        <item x="145"/>
        <item x="59"/>
        <item x="143"/>
        <item x="122"/>
        <item x="799"/>
        <item x="126"/>
        <item x="857"/>
        <item x="108"/>
        <item x="78"/>
        <item x="156"/>
        <item x="432"/>
        <item x="803"/>
        <item x="618"/>
        <item x="620"/>
        <item x="120"/>
        <item x="692"/>
        <item x="573"/>
        <item x="229"/>
        <item x="234"/>
        <item x="624"/>
        <item x="334"/>
        <item x="198"/>
        <item x="150"/>
        <item x="721"/>
        <item x="168"/>
        <item x="735"/>
        <item x="869"/>
        <item x="739"/>
        <item x="192"/>
        <item x="186"/>
        <item x="744"/>
        <item x="23"/>
        <item x="241"/>
        <item x="578"/>
        <item x="299"/>
        <item x="314"/>
        <item x="6"/>
        <item x="359"/>
        <item x="418"/>
        <item x="116"/>
        <item x="16"/>
        <item x="836"/>
        <item x="188"/>
        <item x="297"/>
        <item x="448"/>
        <item x="604"/>
        <item x="104"/>
        <item x="202"/>
        <item x="635"/>
        <item x="601"/>
        <item x="818"/>
        <item x="486"/>
        <item x="822"/>
        <item x="538"/>
        <item x="128"/>
        <item x="825"/>
        <item x="261"/>
        <item x="218"/>
        <item x="784"/>
        <item x="702"/>
        <item x="831"/>
        <item x="210"/>
        <item x="893"/>
        <item x="550"/>
        <item x="613"/>
        <item x="862"/>
        <item x="839"/>
        <item x="648"/>
        <item x="264"/>
        <item x="318"/>
        <item x="679"/>
        <item x="666"/>
        <item x="842"/>
        <item x="204"/>
        <item x="406"/>
        <item x="339"/>
        <item x="338"/>
        <item x="201"/>
        <item x="569"/>
        <item x="780"/>
        <item x="379"/>
        <item x="750"/>
        <item x="15"/>
        <item x="669"/>
        <item x="285"/>
        <item x="123"/>
        <item x="766"/>
        <item x="33"/>
        <item x="154"/>
        <item x="281"/>
        <item x="48"/>
        <item x="138"/>
        <item x="688"/>
        <item x="431"/>
        <item x="483"/>
        <item x="212"/>
        <item x="835"/>
        <item x="841"/>
        <item x="892"/>
        <item x="452"/>
        <item x="69"/>
        <item x="650"/>
        <item x="101"/>
        <item x="612"/>
        <item x="182"/>
        <item x="449"/>
        <item x="709"/>
        <item x="814"/>
        <item x="888"/>
        <item x="684"/>
        <item x="495"/>
        <item x="175"/>
        <item x="21"/>
        <item x="410"/>
        <item x="366"/>
        <item x="525"/>
        <item x="179"/>
        <item x="777"/>
        <item x="267"/>
        <item x="706"/>
        <item x="531"/>
        <item x="872"/>
        <item x="231"/>
        <item x="824"/>
        <item x="236"/>
        <item x="790"/>
        <item x="167"/>
        <item x="833"/>
        <item x="97"/>
        <item x="296"/>
        <item x="196"/>
        <item x="424"/>
        <item x="377"/>
        <item x="745"/>
        <item x="788"/>
        <item x="77"/>
        <item x="331"/>
        <item x="802"/>
        <item x="42"/>
        <item x="783"/>
        <item x="875"/>
        <item x="194"/>
        <item x="119"/>
        <item x="509"/>
        <item x="258"/>
        <item x="275"/>
        <item x="10"/>
        <item x="727"/>
        <item x="741"/>
        <item x="757"/>
        <item x="859"/>
        <item x="546"/>
        <item x="363"/>
        <item x="20"/>
        <item x="707"/>
        <item x="155"/>
        <item x="208"/>
        <item x="475"/>
        <item x="105"/>
        <item x="887"/>
        <item x="722"/>
        <item x="392"/>
        <item x="98"/>
        <item x="646"/>
        <item x="639"/>
        <item x="638"/>
        <item x="8"/>
        <item x="878"/>
        <item x="849"/>
        <item x="365"/>
        <item x="703"/>
        <item x="641"/>
        <item x="660"/>
        <item x="85"/>
        <item x="662"/>
        <item x="426"/>
        <item x="427"/>
        <item x="357"/>
        <item x="631"/>
        <item x="171"/>
        <item x="897"/>
        <item x="421"/>
        <item x="672"/>
        <item x="245"/>
        <item x="262"/>
        <item x="472"/>
        <item x="322"/>
        <item x="102"/>
        <item x="240"/>
        <item x="501"/>
        <item x="40"/>
        <item x="352"/>
        <item x="412"/>
        <item x="259"/>
        <item x="846"/>
        <item x="420"/>
        <item x="283"/>
        <item x="704"/>
        <item x="247"/>
        <item x="682"/>
        <item x="86"/>
        <item x="74"/>
        <item x="96"/>
        <item x="481"/>
        <item x="325"/>
        <item x="536"/>
        <item x="323"/>
        <item x="696"/>
        <item x="552"/>
        <item x="572"/>
        <item x="634"/>
        <item x="457"/>
        <item x="169"/>
        <item x="468"/>
        <item x="827"/>
        <item x="865"/>
        <item x="66"/>
        <item x="394"/>
        <item x="184"/>
        <item x="693"/>
        <item x="461"/>
        <item x="542"/>
        <item x="248"/>
        <item x="308"/>
        <item x="732"/>
        <item x="787"/>
        <item x="496"/>
        <item x="506"/>
        <item x="482"/>
        <item x="163"/>
        <item x="807"/>
        <item x="759"/>
        <item x="324"/>
        <item x="61"/>
        <item x="382"/>
        <item x="801"/>
        <item x="87"/>
        <item x="699"/>
        <item x="312"/>
        <item x="256"/>
        <item x="540"/>
        <item x="471"/>
        <item x="166"/>
        <item x="112"/>
        <item x="391"/>
        <item x="786"/>
        <item x="64"/>
        <item x="311"/>
        <item x="430"/>
        <item x="407"/>
        <item x="26"/>
        <item x="301"/>
        <item x="778"/>
        <item x="503"/>
        <item x="226"/>
        <item x="654"/>
        <item x="625"/>
        <item x="507"/>
        <item x="716"/>
        <item x="630"/>
        <item x="724"/>
        <item x="860"/>
        <item x="462"/>
        <item x="93"/>
        <item x="637"/>
        <item x="761"/>
        <item x="681"/>
        <item x="657"/>
        <item x="817"/>
        <item x="173"/>
        <item x="215"/>
        <item x="763"/>
        <item x="720"/>
        <item x="768"/>
        <item x="300"/>
        <item x="130"/>
        <item x="823"/>
        <item x="395"/>
        <item x="463"/>
        <item x="287"/>
        <item x="492"/>
        <item x="830"/>
        <item x="378"/>
        <item x="645"/>
        <item x="319"/>
        <item x="111"/>
        <item x="355"/>
        <item x="164"/>
        <item x="478"/>
        <item x="598"/>
        <item x="304"/>
        <item x="140"/>
        <item x="289"/>
        <item x="812"/>
        <item x="307"/>
        <item x="798"/>
        <item x="100"/>
        <item x="663"/>
        <item x="528"/>
        <item x="753"/>
        <item x="782"/>
        <item x="437"/>
        <item x="661"/>
        <item x="125"/>
        <item x="689"/>
        <item x="211"/>
        <item x="485"/>
        <item x="535"/>
        <item x="708"/>
        <item x="216"/>
        <item x="523"/>
        <item x="135"/>
        <item x="664"/>
        <item x="894"/>
        <item x="690"/>
        <item x="811"/>
        <item x="537"/>
        <item x="443"/>
        <item x="694"/>
        <item x="597"/>
        <item x="46"/>
        <item x="785"/>
        <item x="358"/>
        <item x="106"/>
        <item x="425"/>
        <item x="585"/>
        <item x="41"/>
        <item x="856"/>
        <item x="217"/>
        <item x="340"/>
        <item x="549"/>
        <item x="73"/>
        <item x="678"/>
        <item x="416"/>
        <item x="235"/>
        <item x="873"/>
        <item x="292"/>
        <item x="76"/>
        <item x="567"/>
        <item x="701"/>
        <item x="633"/>
        <item x="284"/>
        <item x="354"/>
        <item x="589"/>
        <item x="451"/>
        <item x="627"/>
        <item x="237"/>
        <item x="813"/>
        <item x="117"/>
        <item x="362"/>
        <item x="896"/>
        <item x="725"/>
        <item x="517"/>
        <item x="345"/>
        <item x="755"/>
        <item x="30"/>
        <item x="190"/>
        <item x="302"/>
        <item x="864"/>
        <item x="617"/>
        <item x="389"/>
        <item x="148"/>
        <item x="686"/>
        <item x="844"/>
        <item x="11"/>
        <item x="675"/>
        <item x="172"/>
        <item x="480"/>
        <item x="579"/>
        <item x="303"/>
        <item x="714"/>
        <item x="408"/>
        <item x="53"/>
        <item x="840"/>
        <item x="28"/>
        <item x="770"/>
        <item x="551"/>
        <item x="514"/>
        <item x="402"/>
        <item x="756"/>
        <item x="748"/>
        <item x="27"/>
        <item x="837"/>
        <item x="713"/>
        <item x="441"/>
        <item x="219"/>
        <item x="529"/>
        <item x="80"/>
        <item x="776"/>
        <item x="200"/>
        <item x="109"/>
        <item x="527"/>
        <item x="580"/>
        <item x="595"/>
        <item x="797"/>
        <item x="533"/>
        <item x="17"/>
        <item x="209"/>
        <item x="343"/>
        <item x="752"/>
        <item x="868"/>
        <item x="454"/>
        <item x="890"/>
        <item x="614"/>
        <item x="494"/>
        <item x="114"/>
        <item x="450"/>
        <item x="698"/>
        <item x="203"/>
        <item x="321"/>
        <item x="374"/>
        <item x="442"/>
        <item x="90"/>
        <item x="611"/>
        <item x="863"/>
        <item x="193"/>
        <item x="265"/>
        <item x="142"/>
        <item x="250"/>
        <item x="360"/>
        <item x="488"/>
        <item x="456"/>
        <item x="414"/>
        <item x="487"/>
        <item x="606"/>
        <item x="628"/>
        <item x="81"/>
        <item x="176"/>
        <item x="607"/>
        <item x="349"/>
        <item x="767"/>
        <item x="854"/>
        <item x="134"/>
        <item x="643"/>
        <item x="574"/>
        <item x="400"/>
        <item x="329"/>
        <item x="269"/>
        <item x="794"/>
        <item x="238"/>
        <item x="51"/>
        <item x="737"/>
        <item x="543"/>
        <item x="133"/>
        <item x="423"/>
        <item x="800"/>
        <item x="504"/>
        <item x="746"/>
        <item x="558"/>
        <item x="668"/>
        <item x="497"/>
        <item x="816"/>
        <item x="594"/>
        <item x="376"/>
        <item x="834"/>
        <item x="353"/>
        <item x="781"/>
        <item x="19"/>
        <item x="582"/>
        <item x="49"/>
        <item x="224"/>
        <item x="838"/>
        <item x="397"/>
        <item x="113"/>
        <item x="879"/>
        <item x="268"/>
        <item x="560"/>
        <item x="95"/>
        <item x="479"/>
        <item x="848"/>
        <item x="749"/>
        <item x="539"/>
        <item x="227"/>
        <item x="50"/>
        <item x="91"/>
        <item x="555"/>
        <item x="502"/>
        <item x="390"/>
        <item x="789"/>
        <item x="291"/>
        <item x="640"/>
        <item x="547"/>
        <item x="44"/>
        <item x="733"/>
        <item x="792"/>
        <item x="779"/>
        <item x="313"/>
        <item x="243"/>
        <item x="758"/>
        <item x="577"/>
        <item x="398"/>
        <item x="559"/>
        <item x="254"/>
        <item x="221"/>
        <item x="39"/>
        <item x="266"/>
        <item x="70"/>
        <item x="369"/>
        <item x="272"/>
        <item x="129"/>
        <item x="139"/>
        <item x="419"/>
        <item x="205"/>
        <item x="373"/>
        <item x="136"/>
        <item x="83"/>
        <item x="521"/>
        <item x="286"/>
        <item x="197"/>
        <item x="852"/>
        <item x="151"/>
        <item x="36"/>
        <item x="670"/>
        <item x="751"/>
        <item x="490"/>
        <item x="548"/>
        <item x="884"/>
        <item x="263"/>
        <item x="351"/>
        <item x="568"/>
        <item x="742"/>
        <item x="609"/>
        <item x="596"/>
        <item x="498"/>
        <item x="576"/>
        <item x="346"/>
        <item x="828"/>
        <item x="316"/>
        <item x="754"/>
        <item x="665"/>
        <item x="428"/>
        <item x="584"/>
        <item x="370"/>
        <item x="477"/>
        <item x="891"/>
        <item x="273"/>
        <item x="213"/>
        <item x="522"/>
        <item x="821"/>
        <item x="35"/>
        <item x="72"/>
        <item x="371"/>
        <item x="183"/>
        <item x="159"/>
        <item x="565"/>
        <item x="676"/>
        <item x="29"/>
        <item x="131"/>
        <item x="25"/>
        <item x="149"/>
        <item x="775"/>
        <item x="619"/>
        <item x="444"/>
        <item x="232"/>
        <item x="99"/>
        <item x="680"/>
        <item x="571"/>
        <item x="561"/>
        <item x="877"/>
        <item x="458"/>
        <item x="306"/>
        <item x="107"/>
        <item x="298"/>
        <item x="58"/>
        <item x="187"/>
        <item x="563"/>
        <item x="810"/>
        <item x="147"/>
        <item x="380"/>
        <item x="524"/>
        <item x="65"/>
        <item x="310"/>
        <item x="257"/>
        <item x="260"/>
        <item x="512"/>
        <item x="586"/>
        <item x="413"/>
        <item x="356"/>
        <item x="795"/>
        <item x="189"/>
        <item x="526"/>
        <item x="476"/>
        <item x="225"/>
        <item x="56"/>
        <item x="771"/>
        <item x="5"/>
        <item x="199"/>
        <item x="282"/>
        <item x="89"/>
        <item x="385"/>
        <item x="393"/>
        <item x="429"/>
        <item x="206"/>
        <item x="895"/>
        <item x="511"/>
        <item x="447"/>
        <item x="386"/>
        <item x="500"/>
        <item x="341"/>
        <item x="562"/>
        <item x="223"/>
        <item x="60"/>
        <item x="52"/>
        <item x="734"/>
        <item x="599"/>
        <item x="687"/>
        <item x="465"/>
        <item x="655"/>
        <item x="610"/>
        <item x="726"/>
        <item x="853"/>
        <item x="587"/>
        <item x="332"/>
        <item x="772"/>
        <item x="621"/>
        <item x="847"/>
        <item x="2"/>
        <item x="881"/>
        <item x="850"/>
        <item x="110"/>
        <item x="333"/>
        <item x="695"/>
        <item x="736"/>
        <item x="161"/>
        <item x="730"/>
        <item x="32"/>
        <item x="874"/>
        <item x="309"/>
        <item x="564"/>
        <item x="765"/>
        <item x="330"/>
        <item x="279"/>
        <item x="519"/>
        <item x="885"/>
        <item x="642"/>
        <item x="75"/>
        <item x="738"/>
        <item x="518"/>
        <item x="88"/>
        <item x="14"/>
        <item x="484"/>
        <item x="152"/>
        <item x="174"/>
        <item x="84"/>
        <item x="57"/>
        <item x="7"/>
        <item x="43"/>
        <item x="144"/>
        <item x="467"/>
        <item x="94"/>
        <item x="545"/>
        <item x="747"/>
        <item x="342"/>
        <item x="67"/>
        <item x="743"/>
        <item x="469"/>
        <item x="593"/>
        <item x="871"/>
        <item x="889"/>
        <item x="715"/>
        <item x="470"/>
        <item x="178"/>
        <item x="793"/>
        <item x="882"/>
        <item x="79"/>
        <item x="274"/>
        <item x="92"/>
        <item x="12"/>
        <item x="728"/>
        <item x="651"/>
        <item x="401"/>
        <item x="832"/>
        <item x="677"/>
        <item x="858"/>
        <item x="866"/>
        <item x="434"/>
        <item x="566"/>
        <item x="718"/>
        <item x="288"/>
        <item x="121"/>
        <item x="388"/>
        <item x="403"/>
        <item x="659"/>
        <item x="445"/>
        <item x="473"/>
        <item x="82"/>
        <item x="381"/>
        <item x="460"/>
        <item x="530"/>
        <item x="294"/>
        <item x="774"/>
        <item x="791"/>
        <item x="37"/>
        <item x="647"/>
        <item x="54"/>
        <item x="532"/>
        <item x="622"/>
        <item x="712"/>
        <item x="336"/>
        <item x="632"/>
        <item x="544"/>
        <item x="411"/>
        <item x="815"/>
        <item x="808"/>
        <item x="474"/>
        <item x="826"/>
        <item x="335"/>
        <item x="592"/>
        <item x="195"/>
        <item x="153"/>
        <item x="255"/>
        <item x="809"/>
        <item x="368"/>
        <item x="505"/>
        <item x="4"/>
        <item x="510"/>
        <item x="433"/>
        <item x="806"/>
        <item x="404"/>
        <item x="244"/>
        <item x="372"/>
        <item x="383"/>
        <item x="508"/>
        <item x="455"/>
        <item x="290"/>
        <item x="557"/>
        <item x="439"/>
        <item x="773"/>
        <item x="132"/>
        <item x="705"/>
        <item x="278"/>
        <item x="731"/>
        <item x="685"/>
        <item x="230"/>
        <item x="158"/>
        <item x="293"/>
        <item x="24"/>
        <item x="1"/>
        <item x="47"/>
        <item t="default"/>
      </items>
    </pivotField>
    <pivotField showAll="0"/>
    <pivotField showAll="0"/>
    <pivotField numFmtId="14" showAll="0">
      <items count="539">
        <item x="208"/>
        <item x="481"/>
        <item x="408"/>
        <item x="444"/>
        <item x="372"/>
        <item x="312"/>
        <item x="345"/>
        <item x="414"/>
        <item x="10"/>
        <item x="354"/>
        <item x="393"/>
        <item x="169"/>
        <item x="15"/>
        <item x="424"/>
        <item x="185"/>
        <item x="246"/>
        <item x="515"/>
        <item x="324"/>
        <item x="48"/>
        <item x="41"/>
        <item x="74"/>
        <item x="303"/>
        <item x="142"/>
        <item x="40"/>
        <item x="370"/>
        <item x="138"/>
        <item x="406"/>
        <item x="33"/>
        <item x="75"/>
        <item x="80"/>
        <item x="134"/>
        <item x="91"/>
        <item x="177"/>
        <item x="462"/>
        <item x="211"/>
        <item x="535"/>
        <item x="81"/>
        <item x="467"/>
        <item x="301"/>
        <item x="334"/>
        <item x="273"/>
        <item x="150"/>
        <item x="236"/>
        <item x="488"/>
        <item x="39"/>
        <item x="357"/>
        <item x="276"/>
        <item x="29"/>
        <item x="326"/>
        <item x="229"/>
        <item x="361"/>
        <item x="421"/>
        <item x="296"/>
        <item x="197"/>
        <item x="21"/>
        <item x="329"/>
        <item x="459"/>
        <item x="517"/>
        <item x="493"/>
        <item x="146"/>
        <item x="7"/>
        <item x="78"/>
        <item x="182"/>
        <item x="44"/>
        <item x="234"/>
        <item x="162"/>
        <item x="482"/>
        <item x="94"/>
        <item x="448"/>
        <item x="179"/>
        <item x="386"/>
        <item x="101"/>
        <item x="307"/>
        <item x="124"/>
        <item x="55"/>
        <item x="209"/>
        <item x="213"/>
        <item x="69"/>
        <item x="260"/>
        <item x="522"/>
        <item x="222"/>
        <item x="447"/>
        <item x="106"/>
        <item x="315"/>
        <item x="437"/>
        <item x="306"/>
        <item x="13"/>
        <item x="272"/>
        <item x="247"/>
        <item x="223"/>
        <item x="379"/>
        <item x="18"/>
        <item x="225"/>
        <item x="207"/>
        <item x="85"/>
        <item x="135"/>
        <item x="131"/>
        <item x="79"/>
        <item x="528"/>
        <item x="325"/>
        <item x="58"/>
        <item x="476"/>
        <item x="520"/>
        <item x="281"/>
        <item x="71"/>
        <item x="255"/>
        <item x="165"/>
        <item x="353"/>
        <item x="90"/>
        <item x="261"/>
        <item x="422"/>
        <item x="232"/>
        <item x="72"/>
        <item x="298"/>
        <item x="70"/>
        <item x="491"/>
        <item x="277"/>
        <item x="469"/>
        <item x="45"/>
        <item x="151"/>
        <item x="262"/>
        <item x="140"/>
        <item x="356"/>
        <item x="322"/>
        <item x="268"/>
        <item x="4"/>
        <item x="288"/>
        <item x="235"/>
        <item x="475"/>
        <item x="292"/>
        <item x="499"/>
        <item x="110"/>
        <item x="505"/>
        <item x="519"/>
        <item x="375"/>
        <item x="320"/>
        <item x="456"/>
        <item x="280"/>
        <item x="12"/>
        <item x="32"/>
        <item x="26"/>
        <item x="205"/>
        <item x="460"/>
        <item x="290"/>
        <item x="453"/>
        <item x="397"/>
        <item x="1"/>
        <item x="143"/>
        <item x="188"/>
        <item x="494"/>
        <item x="231"/>
        <item x="314"/>
        <item x="339"/>
        <item x="526"/>
        <item x="378"/>
        <item x="160"/>
        <item x="293"/>
        <item x="458"/>
        <item x="309"/>
        <item x="284"/>
        <item x="504"/>
        <item x="219"/>
        <item x="175"/>
        <item x="282"/>
        <item x="279"/>
        <item x="411"/>
        <item x="212"/>
        <item x="6"/>
        <item x="366"/>
        <item x="364"/>
        <item x="53"/>
        <item x="115"/>
        <item x="230"/>
        <item x="500"/>
        <item x="286"/>
        <item x="365"/>
        <item x="176"/>
        <item x="451"/>
        <item x="495"/>
        <item x="98"/>
        <item x="65"/>
        <item x="341"/>
        <item x="204"/>
        <item x="103"/>
        <item x="155"/>
        <item x="537"/>
        <item x="518"/>
        <item x="242"/>
        <item x="492"/>
        <item x="291"/>
        <item x="409"/>
        <item x="170"/>
        <item x="506"/>
        <item x="30"/>
        <item x="123"/>
        <item x="508"/>
        <item x="258"/>
        <item x="510"/>
        <item x="166"/>
        <item x="226"/>
        <item x="141"/>
        <item x="474"/>
        <item x="289"/>
        <item x="163"/>
        <item x="136"/>
        <item x="319"/>
        <item x="367"/>
        <item x="119"/>
        <item x="455"/>
        <item x="63"/>
        <item x="171"/>
        <item x="266"/>
        <item x="523"/>
        <item x="425"/>
        <item x="452"/>
        <item x="120"/>
        <item x="210"/>
        <item x="250"/>
        <item x="147"/>
        <item x="436"/>
        <item x="156"/>
        <item x="202"/>
        <item x="77"/>
        <item x="86"/>
        <item x="355"/>
        <item x="294"/>
        <item x="318"/>
        <item x="267"/>
        <item x="465"/>
        <item x="157"/>
        <item x="84"/>
        <item x="36"/>
        <item x="502"/>
        <item x="19"/>
        <item x="358"/>
        <item x="348"/>
        <item x="412"/>
        <item x="190"/>
        <item x="265"/>
        <item x="418"/>
        <item x="189"/>
        <item x="297"/>
        <item x="371"/>
        <item x="14"/>
        <item x="527"/>
        <item x="512"/>
        <item x="390"/>
        <item x="479"/>
        <item x="64"/>
        <item x="304"/>
        <item x="149"/>
        <item x="218"/>
        <item x="400"/>
        <item x="338"/>
        <item x="82"/>
        <item x="333"/>
        <item x="426"/>
        <item x="198"/>
        <item x="164"/>
        <item x="54"/>
        <item x="88"/>
        <item x="239"/>
        <item x="388"/>
        <item x="159"/>
        <item x="404"/>
        <item x="497"/>
        <item x="112"/>
        <item x="381"/>
        <item x="516"/>
        <item x="532"/>
        <item x="34"/>
        <item x="454"/>
        <item x="316"/>
        <item x="68"/>
        <item x="251"/>
        <item x="377"/>
        <item x="435"/>
        <item x="344"/>
        <item x="328"/>
        <item x="433"/>
        <item x="415"/>
        <item x="214"/>
        <item x="259"/>
        <item x="137"/>
        <item x="191"/>
        <item x="105"/>
        <item x="161"/>
        <item x="67"/>
        <item x="118"/>
        <item x="343"/>
        <item x="299"/>
        <item x="271"/>
        <item x="427"/>
        <item x="43"/>
        <item x="51"/>
        <item x="441"/>
        <item x="241"/>
        <item x="95"/>
        <item x="383"/>
        <item x="117"/>
        <item x="509"/>
        <item x="310"/>
        <item x="363"/>
        <item x="245"/>
        <item x="224"/>
        <item x="321"/>
        <item x="195"/>
        <item x="398"/>
        <item x="373"/>
        <item x="186"/>
        <item x="243"/>
        <item x="240"/>
        <item x="62"/>
        <item x="485"/>
        <item x="331"/>
        <item x="507"/>
        <item x="449"/>
        <item x="158"/>
        <item x="220"/>
        <item x="470"/>
        <item x="107"/>
        <item x="439"/>
        <item x="127"/>
        <item x="238"/>
        <item x="369"/>
        <item x="99"/>
        <item x="16"/>
        <item x="308"/>
        <item x="380"/>
        <item x="295"/>
        <item x="432"/>
        <item x="395"/>
        <item x="278"/>
        <item x="359"/>
        <item x="531"/>
        <item x="405"/>
        <item x="173"/>
        <item x="269"/>
        <item x="340"/>
        <item x="335"/>
        <item x="60"/>
        <item x="529"/>
        <item x="129"/>
        <item x="89"/>
        <item x="429"/>
        <item x="233"/>
        <item x="385"/>
        <item x="152"/>
        <item x="217"/>
        <item x="468"/>
        <item x="203"/>
        <item x="249"/>
        <item x="323"/>
        <item x="192"/>
        <item x="287"/>
        <item x="533"/>
        <item x="130"/>
        <item x="346"/>
        <item x="478"/>
        <item x="97"/>
        <item x="483"/>
        <item x="360"/>
        <item x="23"/>
        <item x="285"/>
        <item x="256"/>
        <item x="254"/>
        <item x="196"/>
        <item x="52"/>
        <item x="116"/>
        <item x="20"/>
        <item x="263"/>
        <item x="28"/>
        <item x="174"/>
        <item x="178"/>
        <item x="450"/>
        <item x="133"/>
        <item x="73"/>
        <item x="300"/>
        <item x="2"/>
        <item x="438"/>
        <item x="442"/>
        <item x="302"/>
        <item x="59"/>
        <item x="413"/>
        <item x="394"/>
        <item x="368"/>
        <item x="17"/>
        <item x="534"/>
        <item x="49"/>
        <item x="50"/>
        <item x="391"/>
        <item x="332"/>
        <item x="184"/>
        <item x="180"/>
        <item x="42"/>
        <item x="22"/>
        <item x="8"/>
        <item x="503"/>
        <item x="466"/>
        <item x="87"/>
        <item x="215"/>
        <item x="275"/>
        <item x="83"/>
        <item x="403"/>
        <item x="536"/>
        <item x="92"/>
        <item x="477"/>
        <item x="514"/>
        <item x="430"/>
        <item x="420"/>
        <item x="253"/>
        <item x="38"/>
        <item x="24"/>
        <item x="200"/>
        <item x="104"/>
        <item x="248"/>
        <item x="187"/>
        <item x="121"/>
        <item x="167"/>
        <item x="416"/>
        <item x="201"/>
        <item x="374"/>
        <item x="472"/>
        <item x="31"/>
        <item x="498"/>
        <item x="431"/>
        <item x="342"/>
        <item x="9"/>
        <item x="46"/>
        <item x="419"/>
        <item x="392"/>
        <item x="407"/>
        <item x="489"/>
        <item x="132"/>
        <item x="313"/>
        <item x="511"/>
        <item x="139"/>
        <item x="66"/>
        <item x="317"/>
        <item x="382"/>
        <item x="193"/>
        <item x="109"/>
        <item x="37"/>
        <item x="487"/>
        <item x="168"/>
        <item x="423"/>
        <item x="145"/>
        <item x="181"/>
        <item x="440"/>
        <item x="237"/>
        <item x="352"/>
        <item x="396"/>
        <item x="252"/>
        <item x="330"/>
        <item x="530"/>
        <item x="114"/>
        <item x="113"/>
        <item x="227"/>
        <item x="471"/>
        <item x="387"/>
        <item x="496"/>
        <item x="417"/>
        <item x="172"/>
        <item x="125"/>
        <item x="389"/>
        <item x="445"/>
        <item x="490"/>
        <item x="362"/>
        <item x="434"/>
        <item x="486"/>
        <item x="480"/>
        <item x="401"/>
        <item x="57"/>
        <item x="457"/>
        <item x="56"/>
        <item x="206"/>
        <item x="3"/>
        <item x="513"/>
        <item x="128"/>
        <item x="102"/>
        <item x="464"/>
        <item x="194"/>
        <item x="153"/>
        <item x="264"/>
        <item x="257"/>
        <item x="446"/>
        <item x="461"/>
        <item x="463"/>
        <item x="384"/>
        <item x="61"/>
        <item x="100"/>
        <item x="410"/>
        <item x="228"/>
        <item x="96"/>
        <item x="327"/>
        <item x="111"/>
        <item x="524"/>
        <item x="311"/>
        <item x="221"/>
        <item x="244"/>
        <item x="25"/>
        <item x="144"/>
        <item x="443"/>
        <item x="351"/>
        <item x="376"/>
        <item x="305"/>
        <item x="347"/>
        <item x="0"/>
        <item x="336"/>
        <item x="428"/>
        <item x="27"/>
        <item x="337"/>
        <item x="399"/>
        <item x="126"/>
        <item x="525"/>
        <item x="501"/>
        <item x="349"/>
        <item x="5"/>
        <item x="154"/>
        <item x="484"/>
        <item x="47"/>
        <item x="270"/>
        <item x="521"/>
        <item x="183"/>
        <item x="76"/>
        <item x="350"/>
        <item x="108"/>
        <item x="473"/>
        <item x="274"/>
        <item x="122"/>
        <item x="35"/>
        <item x="148"/>
        <item x="216"/>
        <item x="11"/>
        <item x="93"/>
        <item x="283"/>
        <item x="199"/>
        <item x="402"/>
        <item t="default"/>
      </items>
    </pivotField>
    <pivotField showAll="0"/>
    <pivotField showAll="0"/>
    <pivotField axis="axisRow" showAll="0" sortType="descending">
      <items count="7">
        <item x="2"/>
        <item x="3"/>
        <item x="0"/>
        <item x="5"/>
        <item x="1"/>
        <item x="4"/>
        <item t="default"/>
      </items>
      <autoSortScope>
        <pivotArea dataOnly="0" outline="0" fieldPosition="0">
          <references count="1">
            <reference field="4294967294" count="1" selected="0">
              <x v="0"/>
            </reference>
          </references>
        </pivotArea>
      </autoSortScope>
    </pivotField>
    <pivotField showAll="0"/>
    <pivotField showAll="0">
      <items count="11">
        <item x="0"/>
        <item x="4"/>
        <item x="5"/>
        <item x="8"/>
        <item x="7"/>
        <item x="6"/>
        <item x="1"/>
        <item x="9"/>
        <item x="2"/>
        <item x="3"/>
        <item t="default"/>
      </items>
    </pivotField>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7">
    <i>
      <x v="2"/>
    </i>
    <i>
      <x v="1"/>
    </i>
    <i>
      <x/>
    </i>
    <i>
      <x v="5"/>
    </i>
    <i>
      <x v="3"/>
    </i>
    <i>
      <x v="4"/>
    </i>
    <i t="grand">
      <x/>
    </i>
  </rowItems>
  <colFields count="1">
    <field x="-2"/>
  </colFields>
  <colItems count="2">
    <i>
      <x/>
    </i>
    <i i="1">
      <x v="1"/>
    </i>
  </colItems>
  <dataFields count="2">
    <dataField name="Sum of Sales_CLEAN" fld="17" baseField="0" baseItem="0"/>
    <dataField name="Sum of Profit_CLEAN" fld="18" baseField="0" baseItem="0"/>
  </dataFields>
  <formats count="5">
    <format dxfId="18">
      <pivotArea dataOnly="0" grandRow="1" fieldPosition="0"/>
    </format>
    <format dxfId="17">
      <pivotArea dataOnly="0" labelOnly="1" grandRow="1" outline="0" fieldPosition="0"/>
    </format>
    <format dxfId="16">
      <pivotArea field="21" grandRow="1" outline="0" collapsedLevelsAreSubtotals="1">
        <references count="1">
          <reference field="4294967294" count="1" selected="0">
            <x v="0"/>
          </reference>
        </references>
      </pivotArea>
    </format>
    <format dxfId="15">
      <pivotArea field="21" grandRow="1" outline="0" collapsedLevelsAreSubtotals="1">
        <references count="1">
          <reference field="4294967294" count="1" selected="0">
            <x v="1"/>
          </reference>
        </references>
      </pivotArea>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0EA224-78CD-40D4-835F-21C6220BF0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C17" firstHeaderRow="0" firstDataRow="1" firstDataCol="1"/>
  <pivotFields count="22">
    <pivotField showAll="0"/>
    <pivotField showAll="0"/>
    <pivotField showAll="0">
      <items count="773">
        <item x="43"/>
        <item x="357"/>
        <item x="286"/>
        <item x="315"/>
        <item x="2"/>
        <item x="234"/>
        <item x="254"/>
        <item x="732"/>
        <item x="318"/>
        <item x="614"/>
        <item x="519"/>
        <item x="471"/>
        <item x="658"/>
        <item x="347"/>
        <item x="113"/>
        <item x="151"/>
        <item x="167"/>
        <item x="37"/>
        <item x="635"/>
        <item x="242"/>
        <item x="216"/>
        <item x="470"/>
        <item x="384"/>
        <item x="588"/>
        <item x="49"/>
        <item x="476"/>
        <item x="349"/>
        <item x="405"/>
        <item x="467"/>
        <item x="638"/>
        <item x="525"/>
        <item x="462"/>
        <item x="708"/>
        <item x="421"/>
        <item x="387"/>
        <item x="294"/>
        <item x="50"/>
        <item x="367"/>
        <item x="586"/>
        <item x="230"/>
        <item x="539"/>
        <item x="496"/>
        <item x="67"/>
        <item x="15"/>
        <item x="682"/>
        <item x="760"/>
        <item x="393"/>
        <item x="41"/>
        <item x="258"/>
        <item x="514"/>
        <item x="326"/>
        <item x="219"/>
        <item x="493"/>
        <item x="12"/>
        <item x="38"/>
        <item x="302"/>
        <item x="621"/>
        <item x="690"/>
        <item x="767"/>
        <item x="565"/>
        <item x="460"/>
        <item x="136"/>
        <item x="672"/>
        <item x="32"/>
        <item x="378"/>
        <item x="169"/>
        <item x="143"/>
        <item x="487"/>
        <item x="561"/>
        <item x="629"/>
        <item x="567"/>
        <item x="686"/>
        <item x="754"/>
        <item x="223"/>
        <item x="513"/>
        <item x="771"/>
        <item x="101"/>
        <item x="748"/>
        <item x="615"/>
        <item x="129"/>
        <item x="602"/>
        <item x="3"/>
        <item x="434"/>
        <item x="726"/>
        <item x="250"/>
        <item x="683"/>
        <item x="320"/>
        <item x="723"/>
        <item x="99"/>
        <item x="536"/>
        <item x="745"/>
        <item x="76"/>
        <item x="578"/>
        <item x="103"/>
        <item x="106"/>
        <item x="256"/>
        <item x="147"/>
        <item x="36"/>
        <item x="297"/>
        <item x="191"/>
        <item x="704"/>
        <item x="646"/>
        <item x="724"/>
        <item x="140"/>
        <item x="364"/>
        <item x="439"/>
        <item x="526"/>
        <item x="763"/>
        <item x="317"/>
        <item x="72"/>
        <item x="582"/>
        <item x="656"/>
        <item x="472"/>
        <item x="541"/>
        <item x="610"/>
        <item x="66"/>
        <item x="601"/>
        <item x="710"/>
        <item x="222"/>
        <item x="133"/>
        <item x="366"/>
        <item x="642"/>
        <item x="348"/>
        <item x="687"/>
        <item x="464"/>
        <item x="450"/>
        <item x="729"/>
        <item x="321"/>
        <item x="344"/>
        <item x="545"/>
        <item x="473"/>
        <item x="377"/>
        <item x="206"/>
        <item x="184"/>
        <item x="733"/>
        <item x="126"/>
        <item x="479"/>
        <item x="446"/>
        <item x="663"/>
        <item x="540"/>
        <item x="576"/>
        <item x="611"/>
        <item x="418"/>
        <item x="424"/>
        <item x="279"/>
        <item x="182"/>
        <item x="482"/>
        <item x="574"/>
        <item x="528"/>
        <item x="305"/>
        <item x="22"/>
        <item x="183"/>
        <item x="497"/>
        <item x="728"/>
        <item x="280"/>
        <item x="624"/>
        <item x="89"/>
        <item x="246"/>
        <item x="702"/>
        <item x="257"/>
        <item x="150"/>
        <item x="57"/>
        <item x="342"/>
        <item x="501"/>
        <item x="365"/>
        <item x="293"/>
        <item x="750"/>
        <item x="80"/>
        <item x="290"/>
        <item x="1"/>
        <item x="530"/>
        <item x="157"/>
        <item x="543"/>
        <item x="636"/>
        <item x="612"/>
        <item x="227"/>
        <item x="619"/>
        <item x="102"/>
        <item x="260"/>
        <item x="562"/>
        <item x="423"/>
        <item x="240"/>
        <item x="692"/>
        <item x="226"/>
        <item x="756"/>
        <item x="570"/>
        <item x="309"/>
        <item x="14"/>
        <item x="551"/>
        <item x="64"/>
        <item x="412"/>
        <item x="245"/>
        <item x="354"/>
        <item x="310"/>
        <item x="749"/>
        <item x="389"/>
        <item x="152"/>
        <item x="755"/>
        <item x="594"/>
        <item x="620"/>
        <item x="641"/>
        <item x="486"/>
        <item x="202"/>
        <item x="639"/>
        <item x="743"/>
        <item x="159"/>
        <item x="444"/>
        <item x="215"/>
        <item x="764"/>
        <item x="645"/>
        <item x="388"/>
        <item x="568"/>
        <item x="705"/>
        <item x="303"/>
        <item x="394"/>
        <item x="313"/>
        <item x="466"/>
        <item x="667"/>
        <item x="217"/>
        <item x="422"/>
        <item x="123"/>
        <item x="352"/>
        <item x="287"/>
        <item x="4"/>
        <item x="677"/>
        <item x="265"/>
        <item x="209"/>
        <item x="435"/>
        <item x="552"/>
        <item x="587"/>
        <item x="518"/>
        <item x="299"/>
        <item x="512"/>
        <item x="608"/>
        <item x="685"/>
        <item x="468"/>
        <item x="193"/>
        <item x="569"/>
        <item x="643"/>
        <item x="669"/>
        <item x="737"/>
        <item x="248"/>
        <item x="478"/>
        <item x="650"/>
        <item x="10"/>
        <item x="714"/>
        <item x="542"/>
        <item x="697"/>
        <item x="48"/>
        <item x="432"/>
        <item x="362"/>
        <item x="194"/>
        <item x="409"/>
        <item x="627"/>
        <item x="363"/>
        <item x="443"/>
        <item x="395"/>
        <item x="263"/>
        <item x="489"/>
        <item x="345"/>
        <item x="269"/>
        <item x="371"/>
        <item x="13"/>
        <item x="560"/>
        <item x="58"/>
        <item x="71"/>
        <item x="296"/>
        <item x="537"/>
        <item x="70"/>
        <item x="448"/>
        <item x="442"/>
        <item x="622"/>
        <item x="759"/>
        <item x="503"/>
        <item x="765"/>
        <item x="295"/>
        <item x="456"/>
        <item x="454"/>
        <item x="118"/>
        <item x="679"/>
        <item x="438"/>
        <item x="689"/>
        <item x="346"/>
        <item x="187"/>
        <item x="212"/>
        <item x="176"/>
        <item x="175"/>
        <item x="458"/>
        <item x="335"/>
        <item x="188"/>
        <item x="125"/>
        <item x="78"/>
        <item x="706"/>
        <item x="703"/>
        <item x="709"/>
        <item x="691"/>
        <item x="210"/>
        <item x="160"/>
        <item x="413"/>
        <item x="83"/>
        <item x="664"/>
        <item x="554"/>
        <item x="684"/>
        <item x="34"/>
        <item x="596"/>
        <item x="381"/>
        <item x="68"/>
        <item x="731"/>
        <item x="549"/>
        <item x="504"/>
        <item x="170"/>
        <item x="406"/>
        <item x="110"/>
        <item x="433"/>
        <item x="16"/>
        <item x="407"/>
        <item x="60"/>
        <item x="747"/>
        <item x="517"/>
        <item x="553"/>
        <item x="630"/>
        <item x="229"/>
        <item x="626"/>
        <item x="137"/>
        <item x="426"/>
        <item x="557"/>
        <item x="119"/>
        <item x="391"/>
        <item x="590"/>
        <item x="498"/>
        <item x="17"/>
        <item x="766"/>
        <item x="403"/>
        <item x="197"/>
        <item x="324"/>
        <item x="84"/>
        <item x="698"/>
        <item x="739"/>
        <item x="676"/>
        <item x="225"/>
        <item x="559"/>
        <item x="605"/>
        <item x="670"/>
        <item x="546"/>
        <item x="198"/>
        <item x="356"/>
        <item x="746"/>
        <item x="400"/>
        <item x="259"/>
        <item x="680"/>
        <item x="531"/>
        <item x="385"/>
        <item x="211"/>
        <item x="488"/>
        <item x="566"/>
        <item x="666"/>
        <item x="508"/>
        <item x="644"/>
        <item x="325"/>
        <item x="661"/>
        <item x="507"/>
        <item x="521"/>
        <item x="483"/>
        <item x="281"/>
        <item x="469"/>
        <item x="47"/>
        <item x="431"/>
        <item x="201"/>
        <item x="353"/>
        <item x="292"/>
        <item x="334"/>
        <item x="414"/>
        <item x="156"/>
        <item x="94"/>
        <item x="762"/>
        <item x="172"/>
        <item x="9"/>
        <item x="253"/>
        <item x="577"/>
        <item x="148"/>
        <item x="284"/>
        <item x="511"/>
        <item x="322"/>
        <item x="199"/>
        <item x="251"/>
        <item x="550"/>
        <item x="516"/>
        <item x="563"/>
        <item x="161"/>
        <item x="44"/>
        <item x="200"/>
        <item x="436"/>
        <item x="27"/>
        <item x="11"/>
        <item x="122"/>
        <item x="91"/>
        <item x="617"/>
        <item x="163"/>
        <item x="441"/>
        <item x="181"/>
        <item x="18"/>
        <item x="337"/>
        <item x="495"/>
        <item x="618"/>
        <item x="375"/>
        <item x="515"/>
        <item x="351"/>
        <item x="453"/>
        <item x="221"/>
        <item x="461"/>
        <item x="534"/>
        <item x="247"/>
        <item x="312"/>
        <item x="445"/>
        <item x="192"/>
        <item x="529"/>
        <item x="662"/>
        <item x="26"/>
        <item x="195"/>
        <item x="548"/>
        <item x="360"/>
        <item x="564"/>
        <item x="741"/>
        <item x="301"/>
        <item x="634"/>
        <item x="522"/>
        <item x="768"/>
        <item x="178"/>
        <item x="45"/>
        <item x="177"/>
        <item x="452"/>
        <item x="358"/>
        <item x="189"/>
        <item x="235"/>
        <item x="652"/>
        <item x="736"/>
        <item x="751"/>
        <item x="527"/>
        <item x="591"/>
        <item x="440"/>
        <item x="186"/>
        <item x="204"/>
        <item x="283"/>
        <item x="717"/>
        <item x="73"/>
        <item x="75"/>
        <item x="675"/>
        <item x="40"/>
        <item x="678"/>
        <item x="146"/>
        <item x="33"/>
        <item x="609"/>
        <item x="81"/>
        <item x="141"/>
        <item x="92"/>
        <item x="262"/>
        <item x="616"/>
        <item x="238"/>
        <item x="82"/>
        <item x="361"/>
        <item x="623"/>
        <item x="271"/>
        <item x="668"/>
        <item x="39"/>
        <item x="606"/>
        <item x="29"/>
        <item x="474"/>
        <item x="598"/>
        <item x="535"/>
        <item x="21"/>
        <item x="399"/>
        <item x="719"/>
        <item x="674"/>
        <item x="7"/>
        <item x="79"/>
        <item x="402"/>
        <item x="174"/>
        <item x="653"/>
        <item x="96"/>
        <item x="196"/>
        <item x="484"/>
        <item x="130"/>
        <item x="55"/>
        <item x="236"/>
        <item x="69"/>
        <item x="744"/>
        <item x="109"/>
        <item x="380"/>
        <item x="572"/>
        <item x="370"/>
        <item x="408"/>
        <item x="437"/>
        <item x="255"/>
        <item x="233"/>
        <item x="86"/>
        <item x="142"/>
        <item x="138"/>
        <item x="742"/>
        <item x="659"/>
        <item x="343"/>
        <item x="332"/>
        <item x="179"/>
        <item x="490"/>
        <item x="304"/>
        <item x="558"/>
        <item x="266"/>
        <item x="510"/>
        <item x="316"/>
        <item x="327"/>
        <item x="631"/>
        <item x="120"/>
        <item x="162"/>
        <item x="149"/>
        <item x="571"/>
        <item x="336"/>
        <item x="341"/>
        <item x="270"/>
        <item x="398"/>
        <item x="699"/>
        <item x="721"/>
        <item x="386"/>
        <item x="603"/>
        <item x="331"/>
        <item x="231"/>
        <item x="595"/>
        <item x="429"/>
        <item x="208"/>
        <item x="722"/>
        <item x="379"/>
        <item x="415"/>
        <item x="613"/>
        <item x="373"/>
        <item x="350"/>
        <item x="607"/>
        <item x="374"/>
        <item x="583"/>
        <item x="695"/>
        <item x="333"/>
        <item x="330"/>
        <item x="523"/>
        <item x="239"/>
        <item x="6"/>
        <item x="544"/>
        <item x="53"/>
        <item x="264"/>
        <item x="688"/>
        <item x="339"/>
        <item x="455"/>
        <item x="425"/>
        <item x="593"/>
        <item x="100"/>
        <item x="65"/>
        <item x="105"/>
        <item x="770"/>
        <item x="720"/>
        <item x="278"/>
        <item x="673"/>
        <item x="520"/>
        <item x="392"/>
        <item x="700"/>
        <item x="30"/>
        <item x="128"/>
        <item x="300"/>
        <item x="180"/>
        <item x="491"/>
        <item x="640"/>
        <item x="524"/>
        <item x="144"/>
        <item x="124"/>
        <item x="599"/>
        <item x="63"/>
        <item x="417"/>
        <item x="311"/>
        <item x="657"/>
        <item x="237"/>
        <item x="288"/>
        <item x="158"/>
        <item x="168"/>
        <item x="475"/>
        <item x="87"/>
        <item x="383"/>
        <item x="592"/>
        <item x="85"/>
        <item x="19"/>
        <item x="428"/>
        <item x="220"/>
        <item x="532"/>
        <item x="355"/>
        <item x="740"/>
        <item x="712"/>
        <item x="492"/>
        <item x="649"/>
        <item x="693"/>
        <item x="368"/>
        <item x="556"/>
        <item x="506"/>
        <item x="597"/>
        <item x="107"/>
        <item x="404"/>
        <item x="547"/>
        <item x="628"/>
        <item x="54"/>
        <item x="261"/>
        <item x="275"/>
        <item x="171"/>
        <item x="115"/>
        <item x="500"/>
        <item x="718"/>
        <item x="757"/>
        <item x="289"/>
        <item x="397"/>
        <item x="241"/>
        <item x="145"/>
        <item x="213"/>
        <item x="108"/>
        <item x="173"/>
        <item x="307"/>
        <item x="228"/>
        <item x="420"/>
        <item x="359"/>
        <item x="319"/>
        <item x="272"/>
        <item x="51"/>
        <item x="734"/>
        <item x="277"/>
        <item x="97"/>
        <item x="480"/>
        <item x="707"/>
        <item x="282"/>
        <item x="252"/>
        <item x="218"/>
        <item x="465"/>
        <item x="276"/>
        <item x="62"/>
        <item x="665"/>
        <item x="401"/>
        <item x="701"/>
        <item x="589"/>
        <item x="451"/>
        <item x="632"/>
        <item x="575"/>
        <item x="134"/>
        <item x="274"/>
        <item x="372"/>
        <item x="477"/>
        <item x="752"/>
        <item x="499"/>
        <item x="329"/>
        <item x="447"/>
        <item x="190"/>
        <item x="314"/>
        <item x="416"/>
        <item x="761"/>
        <item x="90"/>
        <item x="268"/>
        <item x="164"/>
        <item x="244"/>
        <item x="494"/>
        <item x="390"/>
        <item x="214"/>
        <item x="340"/>
        <item x="758"/>
        <item x="738"/>
        <item x="648"/>
        <item x="696"/>
        <item x="449"/>
        <item x="23"/>
        <item x="338"/>
        <item x="298"/>
        <item x="681"/>
        <item x="52"/>
        <item x="20"/>
        <item x="306"/>
        <item x="28"/>
        <item x="74"/>
        <item x="463"/>
        <item x="573"/>
        <item x="579"/>
        <item x="59"/>
        <item x="459"/>
        <item x="727"/>
        <item x="715"/>
        <item x="203"/>
        <item x="42"/>
        <item x="660"/>
        <item x="8"/>
        <item x="625"/>
        <item x="88"/>
        <item x="538"/>
        <item x="267"/>
        <item x="769"/>
        <item x="93"/>
        <item x="647"/>
        <item x="716"/>
        <item x="555"/>
        <item x="24"/>
        <item x="285"/>
        <item x="207"/>
        <item x="600"/>
        <item x="580"/>
        <item x="637"/>
        <item x="31"/>
        <item x="419"/>
        <item x="46"/>
        <item x="533"/>
        <item x="694"/>
        <item x="139"/>
        <item x="711"/>
        <item x="153"/>
        <item x="382"/>
        <item x="112"/>
        <item x="121"/>
        <item x="185"/>
        <item x="155"/>
        <item x="273"/>
        <item x="502"/>
        <item x="291"/>
        <item x="753"/>
        <item x="117"/>
        <item x="116"/>
        <item x="633"/>
        <item x="485"/>
        <item x="131"/>
        <item x="584"/>
        <item x="671"/>
        <item x="651"/>
        <item x="328"/>
        <item x="604"/>
        <item x="56"/>
        <item x="232"/>
        <item x="713"/>
        <item x="135"/>
        <item x="104"/>
        <item x="165"/>
        <item x="308"/>
        <item x="585"/>
        <item x="655"/>
        <item x="481"/>
        <item x="61"/>
        <item x="98"/>
        <item x="396"/>
        <item x="114"/>
        <item x="730"/>
        <item x="376"/>
        <item x="249"/>
        <item x="410"/>
        <item x="25"/>
        <item x="154"/>
        <item x="581"/>
        <item x="369"/>
        <item x="427"/>
        <item x="0"/>
        <item x="411"/>
        <item x="457"/>
        <item x="505"/>
        <item x="132"/>
        <item x="735"/>
        <item x="430"/>
        <item x="5"/>
        <item x="166"/>
        <item x="725"/>
        <item x="654"/>
        <item x="77"/>
        <item x="111"/>
        <item x="323"/>
        <item x="127"/>
        <item x="35"/>
        <item x="205"/>
        <item x="243"/>
        <item x="95"/>
        <item x="224"/>
        <item x="509"/>
        <item t="default"/>
      </items>
    </pivotField>
    <pivotField showAll="0"/>
    <pivotField showAll="0"/>
    <pivotField showAll="0"/>
    <pivotField showAll="0"/>
    <pivotField showAll="0"/>
    <pivotField showAll="0">
      <items count="900">
        <item x="328"/>
        <item x="350"/>
        <item x="9"/>
        <item x="762"/>
        <item x="656"/>
        <item x="499"/>
        <item x="270"/>
        <item x="554"/>
        <item x="249"/>
        <item x="347"/>
        <item x="493"/>
        <item x="489"/>
        <item x="367"/>
        <item x="18"/>
        <item x="697"/>
        <item x="600"/>
        <item x="438"/>
        <item x="883"/>
        <item x="608"/>
        <item x="62"/>
        <item x="843"/>
        <item x="181"/>
        <item x="251"/>
        <item x="315"/>
        <item x="417"/>
        <item x="124"/>
        <item x="541"/>
        <item x="440"/>
        <item x="603"/>
        <item x="629"/>
        <item x="615"/>
        <item x="55"/>
        <item x="711"/>
        <item x="464"/>
        <item x="575"/>
        <item x="719"/>
        <item x="68"/>
        <item x="280"/>
        <item x="583"/>
        <item x="729"/>
        <item x="649"/>
        <item x="115"/>
        <item x="876"/>
        <item x="700"/>
        <item x="855"/>
        <item x="38"/>
        <item x="22"/>
        <item x="239"/>
        <item x="252"/>
        <item x="570"/>
        <item x="740"/>
        <item x="326"/>
        <item x="305"/>
        <item x="317"/>
        <item x="898"/>
        <item x="137"/>
        <item x="344"/>
        <item x="796"/>
        <item x="320"/>
        <item x="491"/>
        <item x="375"/>
        <item x="387"/>
        <item x="805"/>
        <item x="870"/>
        <item x="3"/>
        <item x="534"/>
        <item x="295"/>
        <item x="819"/>
        <item x="207"/>
        <item x="845"/>
        <item x="253"/>
        <item x="851"/>
        <item x="867"/>
        <item x="361"/>
        <item x="277"/>
        <item x="591"/>
        <item x="34"/>
        <item x="405"/>
        <item x="652"/>
        <item x="118"/>
        <item x="760"/>
        <item x="13"/>
        <item x="861"/>
        <item x="764"/>
        <item x="228"/>
        <item x="683"/>
        <item x="769"/>
        <item x="674"/>
        <item x="246"/>
        <item x="717"/>
        <item x="804"/>
        <item x="170"/>
        <item x="671"/>
        <item x="162"/>
        <item x="513"/>
        <item x="466"/>
        <item x="516"/>
        <item x="364"/>
        <item x="127"/>
        <item x="242"/>
        <item x="396"/>
        <item x="146"/>
        <item x="605"/>
        <item x="45"/>
        <item x="626"/>
        <item x="191"/>
        <item x="220"/>
        <item x="233"/>
        <item x="829"/>
        <item x="515"/>
        <item x="165"/>
        <item x="399"/>
        <item x="453"/>
        <item x="436"/>
        <item x="337"/>
        <item x="141"/>
        <item x="160"/>
        <item x="415"/>
        <item x="384"/>
        <item x="180"/>
        <item x="71"/>
        <item x="520"/>
        <item x="271"/>
        <item x="157"/>
        <item x="588"/>
        <item x="602"/>
        <item x="276"/>
        <item x="616"/>
        <item x="691"/>
        <item x="214"/>
        <item x="63"/>
        <item x="459"/>
        <item x="0"/>
        <item x="886"/>
        <item x="553"/>
        <item x="556"/>
        <item x="820"/>
        <item x="348"/>
        <item x="644"/>
        <item x="710"/>
        <item x="636"/>
        <item x="581"/>
        <item x="653"/>
        <item x="222"/>
        <item x="880"/>
        <item x="723"/>
        <item x="327"/>
        <item x="435"/>
        <item x="658"/>
        <item x="446"/>
        <item x="103"/>
        <item x="673"/>
        <item x="31"/>
        <item x="623"/>
        <item x="590"/>
        <item x="185"/>
        <item x="177"/>
        <item x="667"/>
        <item x="409"/>
        <item x="422"/>
        <item x="145"/>
        <item x="59"/>
        <item x="143"/>
        <item x="122"/>
        <item x="799"/>
        <item x="126"/>
        <item x="857"/>
        <item x="108"/>
        <item x="78"/>
        <item x="156"/>
        <item x="432"/>
        <item x="803"/>
        <item x="618"/>
        <item x="620"/>
        <item x="120"/>
        <item x="692"/>
        <item x="573"/>
        <item x="229"/>
        <item x="234"/>
        <item x="624"/>
        <item x="334"/>
        <item x="198"/>
        <item x="150"/>
        <item x="721"/>
        <item x="168"/>
        <item x="735"/>
        <item x="869"/>
        <item x="739"/>
        <item x="192"/>
        <item x="186"/>
        <item x="744"/>
        <item x="23"/>
        <item x="241"/>
        <item x="578"/>
        <item x="299"/>
        <item x="314"/>
        <item x="6"/>
        <item x="359"/>
        <item x="418"/>
        <item x="116"/>
        <item x="16"/>
        <item x="836"/>
        <item x="188"/>
        <item x="297"/>
        <item x="448"/>
        <item x="604"/>
        <item x="104"/>
        <item x="202"/>
        <item x="635"/>
        <item x="601"/>
        <item x="818"/>
        <item x="486"/>
        <item x="822"/>
        <item x="538"/>
        <item x="128"/>
        <item x="825"/>
        <item x="261"/>
        <item x="218"/>
        <item x="784"/>
        <item x="702"/>
        <item x="831"/>
        <item x="210"/>
        <item x="893"/>
        <item x="550"/>
        <item x="613"/>
        <item x="862"/>
        <item x="839"/>
        <item x="648"/>
        <item x="264"/>
        <item x="318"/>
        <item x="679"/>
        <item x="666"/>
        <item x="842"/>
        <item x="204"/>
        <item x="406"/>
        <item x="339"/>
        <item x="338"/>
        <item x="201"/>
        <item x="569"/>
        <item x="780"/>
        <item x="379"/>
        <item x="750"/>
        <item x="15"/>
        <item x="669"/>
        <item x="285"/>
        <item x="123"/>
        <item x="766"/>
        <item x="33"/>
        <item x="154"/>
        <item x="281"/>
        <item x="48"/>
        <item x="138"/>
        <item x="688"/>
        <item x="431"/>
        <item x="483"/>
        <item x="212"/>
        <item x="835"/>
        <item x="841"/>
        <item x="892"/>
        <item x="452"/>
        <item x="69"/>
        <item x="650"/>
        <item x="101"/>
        <item x="612"/>
        <item x="182"/>
        <item x="449"/>
        <item x="709"/>
        <item x="814"/>
        <item x="888"/>
        <item x="684"/>
        <item x="495"/>
        <item x="175"/>
        <item x="21"/>
        <item x="410"/>
        <item x="366"/>
        <item x="525"/>
        <item x="179"/>
        <item x="777"/>
        <item x="267"/>
        <item x="706"/>
        <item x="531"/>
        <item x="872"/>
        <item x="231"/>
        <item x="824"/>
        <item x="236"/>
        <item x="790"/>
        <item x="167"/>
        <item x="833"/>
        <item x="97"/>
        <item x="296"/>
        <item x="196"/>
        <item x="424"/>
        <item x="377"/>
        <item x="745"/>
        <item x="788"/>
        <item x="77"/>
        <item x="331"/>
        <item x="802"/>
        <item x="42"/>
        <item x="783"/>
        <item x="875"/>
        <item x="194"/>
        <item x="119"/>
        <item x="509"/>
        <item x="258"/>
        <item x="275"/>
        <item x="10"/>
        <item x="727"/>
        <item x="741"/>
        <item x="757"/>
        <item x="859"/>
        <item x="546"/>
        <item x="363"/>
        <item x="20"/>
        <item x="707"/>
        <item x="155"/>
        <item x="208"/>
        <item x="475"/>
        <item x="105"/>
        <item x="887"/>
        <item x="722"/>
        <item x="392"/>
        <item x="98"/>
        <item x="646"/>
        <item x="639"/>
        <item x="638"/>
        <item x="8"/>
        <item x="878"/>
        <item x="849"/>
        <item x="365"/>
        <item x="703"/>
        <item x="641"/>
        <item x="660"/>
        <item x="85"/>
        <item x="662"/>
        <item x="426"/>
        <item x="427"/>
        <item x="357"/>
        <item x="631"/>
        <item x="171"/>
        <item x="897"/>
        <item x="421"/>
        <item x="672"/>
        <item x="245"/>
        <item x="262"/>
        <item x="472"/>
        <item x="322"/>
        <item x="102"/>
        <item x="240"/>
        <item x="501"/>
        <item x="40"/>
        <item x="352"/>
        <item x="412"/>
        <item x="259"/>
        <item x="846"/>
        <item x="420"/>
        <item x="283"/>
        <item x="704"/>
        <item x="247"/>
        <item x="682"/>
        <item x="86"/>
        <item x="74"/>
        <item x="96"/>
        <item x="481"/>
        <item x="325"/>
        <item x="536"/>
        <item x="323"/>
        <item x="696"/>
        <item x="552"/>
        <item x="572"/>
        <item x="634"/>
        <item x="457"/>
        <item x="169"/>
        <item x="468"/>
        <item x="827"/>
        <item x="865"/>
        <item x="66"/>
        <item x="394"/>
        <item x="184"/>
        <item x="693"/>
        <item x="461"/>
        <item x="542"/>
        <item x="248"/>
        <item x="308"/>
        <item x="732"/>
        <item x="787"/>
        <item x="496"/>
        <item x="506"/>
        <item x="482"/>
        <item x="163"/>
        <item x="807"/>
        <item x="759"/>
        <item x="324"/>
        <item x="61"/>
        <item x="382"/>
        <item x="801"/>
        <item x="87"/>
        <item x="699"/>
        <item x="312"/>
        <item x="256"/>
        <item x="540"/>
        <item x="471"/>
        <item x="166"/>
        <item x="112"/>
        <item x="391"/>
        <item x="786"/>
        <item x="64"/>
        <item x="311"/>
        <item x="430"/>
        <item x="407"/>
        <item x="26"/>
        <item x="301"/>
        <item x="778"/>
        <item x="503"/>
        <item x="226"/>
        <item x="654"/>
        <item x="625"/>
        <item x="507"/>
        <item x="716"/>
        <item x="630"/>
        <item x="724"/>
        <item x="860"/>
        <item x="462"/>
        <item x="93"/>
        <item x="637"/>
        <item x="761"/>
        <item x="681"/>
        <item x="657"/>
        <item x="817"/>
        <item x="173"/>
        <item x="215"/>
        <item x="763"/>
        <item x="720"/>
        <item x="768"/>
        <item x="300"/>
        <item x="130"/>
        <item x="823"/>
        <item x="395"/>
        <item x="463"/>
        <item x="287"/>
        <item x="492"/>
        <item x="830"/>
        <item x="378"/>
        <item x="645"/>
        <item x="319"/>
        <item x="111"/>
        <item x="355"/>
        <item x="164"/>
        <item x="478"/>
        <item x="598"/>
        <item x="304"/>
        <item x="140"/>
        <item x="289"/>
        <item x="812"/>
        <item x="307"/>
        <item x="798"/>
        <item x="100"/>
        <item x="663"/>
        <item x="528"/>
        <item x="753"/>
        <item x="782"/>
        <item x="437"/>
        <item x="661"/>
        <item x="125"/>
        <item x="689"/>
        <item x="211"/>
        <item x="485"/>
        <item x="535"/>
        <item x="708"/>
        <item x="216"/>
        <item x="523"/>
        <item x="135"/>
        <item x="664"/>
        <item x="894"/>
        <item x="690"/>
        <item x="811"/>
        <item x="537"/>
        <item x="443"/>
        <item x="694"/>
        <item x="597"/>
        <item x="46"/>
        <item x="785"/>
        <item x="358"/>
        <item x="106"/>
        <item x="425"/>
        <item x="585"/>
        <item x="41"/>
        <item x="856"/>
        <item x="217"/>
        <item x="340"/>
        <item x="549"/>
        <item x="73"/>
        <item x="678"/>
        <item x="416"/>
        <item x="235"/>
        <item x="873"/>
        <item x="292"/>
        <item x="76"/>
        <item x="567"/>
        <item x="701"/>
        <item x="633"/>
        <item x="284"/>
        <item x="354"/>
        <item x="589"/>
        <item x="451"/>
        <item x="627"/>
        <item x="237"/>
        <item x="813"/>
        <item x="117"/>
        <item x="362"/>
        <item x="896"/>
        <item x="725"/>
        <item x="517"/>
        <item x="345"/>
        <item x="755"/>
        <item x="30"/>
        <item x="190"/>
        <item x="302"/>
        <item x="864"/>
        <item x="617"/>
        <item x="389"/>
        <item x="148"/>
        <item x="686"/>
        <item x="844"/>
        <item x="11"/>
        <item x="675"/>
        <item x="172"/>
        <item x="480"/>
        <item x="579"/>
        <item x="303"/>
        <item x="714"/>
        <item x="408"/>
        <item x="53"/>
        <item x="840"/>
        <item x="28"/>
        <item x="770"/>
        <item x="551"/>
        <item x="514"/>
        <item x="402"/>
        <item x="756"/>
        <item x="748"/>
        <item x="27"/>
        <item x="837"/>
        <item x="713"/>
        <item x="441"/>
        <item x="219"/>
        <item x="529"/>
        <item x="80"/>
        <item x="776"/>
        <item x="200"/>
        <item x="109"/>
        <item x="527"/>
        <item x="580"/>
        <item x="595"/>
        <item x="797"/>
        <item x="533"/>
        <item x="17"/>
        <item x="209"/>
        <item x="343"/>
        <item x="752"/>
        <item x="868"/>
        <item x="454"/>
        <item x="890"/>
        <item x="614"/>
        <item x="494"/>
        <item x="114"/>
        <item x="450"/>
        <item x="698"/>
        <item x="203"/>
        <item x="321"/>
        <item x="374"/>
        <item x="442"/>
        <item x="90"/>
        <item x="611"/>
        <item x="863"/>
        <item x="193"/>
        <item x="265"/>
        <item x="142"/>
        <item x="250"/>
        <item x="360"/>
        <item x="488"/>
        <item x="456"/>
        <item x="414"/>
        <item x="487"/>
        <item x="606"/>
        <item x="628"/>
        <item x="81"/>
        <item x="176"/>
        <item x="607"/>
        <item x="349"/>
        <item x="767"/>
        <item x="854"/>
        <item x="134"/>
        <item x="643"/>
        <item x="574"/>
        <item x="400"/>
        <item x="329"/>
        <item x="269"/>
        <item x="794"/>
        <item x="238"/>
        <item x="51"/>
        <item x="737"/>
        <item x="543"/>
        <item x="133"/>
        <item x="423"/>
        <item x="800"/>
        <item x="504"/>
        <item x="746"/>
        <item x="558"/>
        <item x="668"/>
        <item x="497"/>
        <item x="816"/>
        <item x="594"/>
        <item x="376"/>
        <item x="834"/>
        <item x="353"/>
        <item x="781"/>
        <item x="19"/>
        <item x="582"/>
        <item x="49"/>
        <item x="224"/>
        <item x="838"/>
        <item x="397"/>
        <item x="113"/>
        <item x="879"/>
        <item x="268"/>
        <item x="560"/>
        <item x="95"/>
        <item x="479"/>
        <item x="848"/>
        <item x="749"/>
        <item x="539"/>
        <item x="227"/>
        <item x="50"/>
        <item x="91"/>
        <item x="555"/>
        <item x="502"/>
        <item x="390"/>
        <item x="789"/>
        <item x="291"/>
        <item x="640"/>
        <item x="547"/>
        <item x="44"/>
        <item x="733"/>
        <item x="792"/>
        <item x="779"/>
        <item x="313"/>
        <item x="243"/>
        <item x="758"/>
        <item x="577"/>
        <item x="398"/>
        <item x="559"/>
        <item x="254"/>
        <item x="221"/>
        <item x="39"/>
        <item x="266"/>
        <item x="70"/>
        <item x="369"/>
        <item x="272"/>
        <item x="129"/>
        <item x="139"/>
        <item x="419"/>
        <item x="205"/>
        <item x="373"/>
        <item x="136"/>
        <item x="83"/>
        <item x="521"/>
        <item x="286"/>
        <item x="197"/>
        <item x="852"/>
        <item x="151"/>
        <item x="36"/>
        <item x="670"/>
        <item x="751"/>
        <item x="490"/>
        <item x="548"/>
        <item x="884"/>
        <item x="263"/>
        <item x="351"/>
        <item x="568"/>
        <item x="742"/>
        <item x="609"/>
        <item x="596"/>
        <item x="498"/>
        <item x="576"/>
        <item x="346"/>
        <item x="828"/>
        <item x="316"/>
        <item x="754"/>
        <item x="665"/>
        <item x="428"/>
        <item x="584"/>
        <item x="370"/>
        <item x="477"/>
        <item x="891"/>
        <item x="273"/>
        <item x="213"/>
        <item x="522"/>
        <item x="821"/>
        <item x="35"/>
        <item x="72"/>
        <item x="371"/>
        <item x="183"/>
        <item x="159"/>
        <item x="565"/>
        <item x="676"/>
        <item x="29"/>
        <item x="131"/>
        <item x="25"/>
        <item x="149"/>
        <item x="775"/>
        <item x="619"/>
        <item x="444"/>
        <item x="232"/>
        <item x="99"/>
        <item x="680"/>
        <item x="571"/>
        <item x="561"/>
        <item x="877"/>
        <item x="458"/>
        <item x="306"/>
        <item x="107"/>
        <item x="298"/>
        <item x="58"/>
        <item x="187"/>
        <item x="563"/>
        <item x="810"/>
        <item x="147"/>
        <item x="380"/>
        <item x="524"/>
        <item x="65"/>
        <item x="310"/>
        <item x="257"/>
        <item x="260"/>
        <item x="512"/>
        <item x="586"/>
        <item x="413"/>
        <item x="356"/>
        <item x="795"/>
        <item x="189"/>
        <item x="526"/>
        <item x="476"/>
        <item x="225"/>
        <item x="56"/>
        <item x="771"/>
        <item x="5"/>
        <item x="199"/>
        <item x="282"/>
        <item x="89"/>
        <item x="385"/>
        <item x="393"/>
        <item x="429"/>
        <item x="206"/>
        <item x="895"/>
        <item x="511"/>
        <item x="447"/>
        <item x="386"/>
        <item x="500"/>
        <item x="341"/>
        <item x="562"/>
        <item x="223"/>
        <item x="60"/>
        <item x="52"/>
        <item x="734"/>
        <item x="599"/>
        <item x="687"/>
        <item x="465"/>
        <item x="655"/>
        <item x="610"/>
        <item x="726"/>
        <item x="853"/>
        <item x="587"/>
        <item x="332"/>
        <item x="772"/>
        <item x="621"/>
        <item x="847"/>
        <item x="2"/>
        <item x="881"/>
        <item x="850"/>
        <item x="110"/>
        <item x="333"/>
        <item x="695"/>
        <item x="736"/>
        <item x="161"/>
        <item x="730"/>
        <item x="32"/>
        <item x="874"/>
        <item x="309"/>
        <item x="564"/>
        <item x="765"/>
        <item x="330"/>
        <item x="279"/>
        <item x="519"/>
        <item x="885"/>
        <item x="642"/>
        <item x="75"/>
        <item x="738"/>
        <item x="518"/>
        <item x="88"/>
        <item x="14"/>
        <item x="484"/>
        <item x="152"/>
        <item x="174"/>
        <item x="84"/>
        <item x="57"/>
        <item x="7"/>
        <item x="43"/>
        <item x="144"/>
        <item x="467"/>
        <item x="94"/>
        <item x="545"/>
        <item x="747"/>
        <item x="342"/>
        <item x="67"/>
        <item x="743"/>
        <item x="469"/>
        <item x="593"/>
        <item x="871"/>
        <item x="889"/>
        <item x="715"/>
        <item x="470"/>
        <item x="178"/>
        <item x="793"/>
        <item x="882"/>
        <item x="79"/>
        <item x="274"/>
        <item x="92"/>
        <item x="12"/>
        <item x="728"/>
        <item x="651"/>
        <item x="401"/>
        <item x="832"/>
        <item x="677"/>
        <item x="858"/>
        <item x="866"/>
        <item x="434"/>
        <item x="566"/>
        <item x="718"/>
        <item x="288"/>
        <item x="121"/>
        <item x="388"/>
        <item x="403"/>
        <item x="659"/>
        <item x="445"/>
        <item x="473"/>
        <item x="82"/>
        <item x="381"/>
        <item x="460"/>
        <item x="530"/>
        <item x="294"/>
        <item x="774"/>
        <item x="791"/>
        <item x="37"/>
        <item x="647"/>
        <item x="54"/>
        <item x="532"/>
        <item x="622"/>
        <item x="712"/>
        <item x="336"/>
        <item x="632"/>
        <item x="544"/>
        <item x="411"/>
        <item x="815"/>
        <item x="808"/>
        <item x="474"/>
        <item x="826"/>
        <item x="335"/>
        <item x="592"/>
        <item x="195"/>
        <item x="153"/>
        <item x="255"/>
        <item x="809"/>
        <item x="368"/>
        <item x="505"/>
        <item x="4"/>
        <item x="510"/>
        <item x="433"/>
        <item x="806"/>
        <item x="404"/>
        <item x="244"/>
        <item x="372"/>
        <item x="383"/>
        <item x="508"/>
        <item x="455"/>
        <item x="290"/>
        <item x="557"/>
        <item x="439"/>
        <item x="773"/>
        <item x="132"/>
        <item x="705"/>
        <item x="278"/>
        <item x="731"/>
        <item x="685"/>
        <item x="230"/>
        <item x="158"/>
        <item x="293"/>
        <item x="24"/>
        <item x="1"/>
        <item x="47"/>
        <item t="default"/>
      </items>
    </pivotField>
    <pivotField showAll="0"/>
    <pivotField showAll="0"/>
    <pivotField numFmtId="14" showAll="0">
      <items count="539">
        <item x="208"/>
        <item x="481"/>
        <item x="408"/>
        <item x="444"/>
        <item x="372"/>
        <item x="312"/>
        <item x="345"/>
        <item x="414"/>
        <item x="10"/>
        <item x="354"/>
        <item x="393"/>
        <item x="169"/>
        <item x="15"/>
        <item x="424"/>
        <item x="185"/>
        <item x="246"/>
        <item x="515"/>
        <item x="324"/>
        <item x="48"/>
        <item x="41"/>
        <item x="74"/>
        <item x="303"/>
        <item x="142"/>
        <item x="40"/>
        <item x="370"/>
        <item x="138"/>
        <item x="406"/>
        <item x="33"/>
        <item x="75"/>
        <item x="80"/>
        <item x="134"/>
        <item x="91"/>
        <item x="177"/>
        <item x="462"/>
        <item x="211"/>
        <item x="535"/>
        <item x="81"/>
        <item x="467"/>
        <item x="301"/>
        <item x="334"/>
        <item x="273"/>
        <item x="150"/>
        <item x="236"/>
        <item x="488"/>
        <item x="39"/>
        <item x="357"/>
        <item x="276"/>
        <item x="29"/>
        <item x="326"/>
        <item x="229"/>
        <item x="361"/>
        <item x="421"/>
        <item x="296"/>
        <item x="197"/>
        <item x="21"/>
        <item x="329"/>
        <item x="459"/>
        <item x="517"/>
        <item x="493"/>
        <item x="146"/>
        <item x="7"/>
        <item x="78"/>
        <item x="182"/>
        <item x="44"/>
        <item x="234"/>
        <item x="162"/>
        <item x="482"/>
        <item x="94"/>
        <item x="448"/>
        <item x="179"/>
        <item x="386"/>
        <item x="101"/>
        <item x="307"/>
        <item x="124"/>
        <item x="55"/>
        <item x="209"/>
        <item x="213"/>
        <item x="69"/>
        <item x="260"/>
        <item x="522"/>
        <item x="222"/>
        <item x="447"/>
        <item x="106"/>
        <item x="315"/>
        <item x="437"/>
        <item x="306"/>
        <item x="13"/>
        <item x="272"/>
        <item x="247"/>
        <item x="223"/>
        <item x="379"/>
        <item x="18"/>
        <item x="225"/>
        <item x="207"/>
        <item x="85"/>
        <item x="135"/>
        <item x="131"/>
        <item x="79"/>
        <item x="528"/>
        <item x="325"/>
        <item x="58"/>
        <item x="476"/>
        <item x="520"/>
        <item x="281"/>
        <item x="71"/>
        <item x="255"/>
        <item x="165"/>
        <item x="353"/>
        <item x="90"/>
        <item x="261"/>
        <item x="422"/>
        <item x="232"/>
        <item x="72"/>
        <item x="298"/>
        <item x="70"/>
        <item x="491"/>
        <item x="277"/>
        <item x="469"/>
        <item x="45"/>
        <item x="151"/>
        <item x="262"/>
        <item x="140"/>
        <item x="356"/>
        <item x="322"/>
        <item x="268"/>
        <item x="4"/>
        <item x="288"/>
        <item x="235"/>
        <item x="475"/>
        <item x="292"/>
        <item x="499"/>
        <item x="110"/>
        <item x="505"/>
        <item x="519"/>
        <item x="375"/>
        <item x="320"/>
        <item x="456"/>
        <item x="280"/>
        <item x="12"/>
        <item x="32"/>
        <item x="26"/>
        <item x="205"/>
        <item x="460"/>
        <item x="290"/>
        <item x="453"/>
        <item x="397"/>
        <item x="1"/>
        <item x="143"/>
        <item x="188"/>
        <item x="494"/>
        <item x="231"/>
        <item x="314"/>
        <item x="339"/>
        <item x="526"/>
        <item x="378"/>
        <item x="160"/>
        <item x="293"/>
        <item x="458"/>
        <item x="309"/>
        <item x="284"/>
        <item x="504"/>
        <item x="219"/>
        <item x="175"/>
        <item x="282"/>
        <item x="279"/>
        <item x="411"/>
        <item x="212"/>
        <item x="6"/>
        <item x="366"/>
        <item x="364"/>
        <item x="53"/>
        <item x="115"/>
        <item x="230"/>
        <item x="500"/>
        <item x="286"/>
        <item x="365"/>
        <item x="176"/>
        <item x="451"/>
        <item x="495"/>
        <item x="98"/>
        <item x="65"/>
        <item x="341"/>
        <item x="204"/>
        <item x="103"/>
        <item x="155"/>
        <item x="537"/>
        <item x="518"/>
        <item x="242"/>
        <item x="492"/>
        <item x="291"/>
        <item x="409"/>
        <item x="170"/>
        <item x="506"/>
        <item x="30"/>
        <item x="123"/>
        <item x="508"/>
        <item x="258"/>
        <item x="510"/>
        <item x="166"/>
        <item x="226"/>
        <item x="141"/>
        <item x="474"/>
        <item x="289"/>
        <item x="163"/>
        <item x="136"/>
        <item x="319"/>
        <item x="367"/>
        <item x="119"/>
        <item x="455"/>
        <item x="63"/>
        <item x="171"/>
        <item x="266"/>
        <item x="523"/>
        <item x="425"/>
        <item x="452"/>
        <item x="120"/>
        <item x="210"/>
        <item x="250"/>
        <item x="147"/>
        <item x="436"/>
        <item x="156"/>
        <item x="202"/>
        <item x="77"/>
        <item x="86"/>
        <item x="355"/>
        <item x="294"/>
        <item x="318"/>
        <item x="267"/>
        <item x="465"/>
        <item x="157"/>
        <item x="84"/>
        <item x="36"/>
        <item x="502"/>
        <item x="19"/>
        <item x="358"/>
        <item x="348"/>
        <item x="412"/>
        <item x="190"/>
        <item x="265"/>
        <item x="418"/>
        <item x="189"/>
        <item x="297"/>
        <item x="371"/>
        <item x="14"/>
        <item x="527"/>
        <item x="512"/>
        <item x="390"/>
        <item x="479"/>
        <item x="64"/>
        <item x="304"/>
        <item x="149"/>
        <item x="218"/>
        <item x="400"/>
        <item x="338"/>
        <item x="82"/>
        <item x="333"/>
        <item x="426"/>
        <item x="198"/>
        <item x="164"/>
        <item x="54"/>
        <item x="88"/>
        <item x="239"/>
        <item x="388"/>
        <item x="159"/>
        <item x="404"/>
        <item x="497"/>
        <item x="112"/>
        <item x="381"/>
        <item x="516"/>
        <item x="532"/>
        <item x="34"/>
        <item x="454"/>
        <item x="316"/>
        <item x="68"/>
        <item x="251"/>
        <item x="377"/>
        <item x="435"/>
        <item x="344"/>
        <item x="328"/>
        <item x="433"/>
        <item x="415"/>
        <item x="214"/>
        <item x="259"/>
        <item x="137"/>
        <item x="191"/>
        <item x="105"/>
        <item x="161"/>
        <item x="67"/>
        <item x="118"/>
        <item x="343"/>
        <item x="299"/>
        <item x="271"/>
        <item x="427"/>
        <item x="43"/>
        <item x="51"/>
        <item x="441"/>
        <item x="241"/>
        <item x="95"/>
        <item x="383"/>
        <item x="117"/>
        <item x="509"/>
        <item x="310"/>
        <item x="363"/>
        <item x="245"/>
        <item x="224"/>
        <item x="321"/>
        <item x="195"/>
        <item x="398"/>
        <item x="373"/>
        <item x="186"/>
        <item x="243"/>
        <item x="240"/>
        <item x="62"/>
        <item x="485"/>
        <item x="331"/>
        <item x="507"/>
        <item x="449"/>
        <item x="158"/>
        <item x="220"/>
        <item x="470"/>
        <item x="107"/>
        <item x="439"/>
        <item x="127"/>
        <item x="238"/>
        <item x="369"/>
        <item x="99"/>
        <item x="16"/>
        <item x="308"/>
        <item x="380"/>
        <item x="295"/>
        <item x="432"/>
        <item x="395"/>
        <item x="278"/>
        <item x="359"/>
        <item x="531"/>
        <item x="405"/>
        <item x="173"/>
        <item x="269"/>
        <item x="340"/>
        <item x="335"/>
        <item x="60"/>
        <item x="529"/>
        <item x="129"/>
        <item x="89"/>
        <item x="429"/>
        <item x="233"/>
        <item x="385"/>
        <item x="152"/>
        <item x="217"/>
        <item x="468"/>
        <item x="203"/>
        <item x="249"/>
        <item x="323"/>
        <item x="192"/>
        <item x="287"/>
        <item x="533"/>
        <item x="130"/>
        <item x="346"/>
        <item x="478"/>
        <item x="97"/>
        <item x="483"/>
        <item x="360"/>
        <item x="23"/>
        <item x="285"/>
        <item x="256"/>
        <item x="254"/>
        <item x="196"/>
        <item x="52"/>
        <item x="116"/>
        <item x="20"/>
        <item x="263"/>
        <item x="28"/>
        <item x="174"/>
        <item x="178"/>
        <item x="450"/>
        <item x="133"/>
        <item x="73"/>
        <item x="300"/>
        <item x="2"/>
        <item x="438"/>
        <item x="442"/>
        <item x="302"/>
        <item x="59"/>
        <item x="413"/>
        <item x="394"/>
        <item x="368"/>
        <item x="17"/>
        <item x="534"/>
        <item x="49"/>
        <item x="50"/>
        <item x="391"/>
        <item x="332"/>
        <item x="184"/>
        <item x="180"/>
        <item x="42"/>
        <item x="22"/>
        <item x="8"/>
        <item x="503"/>
        <item x="466"/>
        <item x="87"/>
        <item x="215"/>
        <item x="275"/>
        <item x="83"/>
        <item x="403"/>
        <item x="536"/>
        <item x="92"/>
        <item x="477"/>
        <item x="514"/>
        <item x="430"/>
        <item x="420"/>
        <item x="253"/>
        <item x="38"/>
        <item x="24"/>
        <item x="200"/>
        <item x="104"/>
        <item x="248"/>
        <item x="187"/>
        <item x="121"/>
        <item x="167"/>
        <item x="416"/>
        <item x="201"/>
        <item x="374"/>
        <item x="472"/>
        <item x="31"/>
        <item x="498"/>
        <item x="431"/>
        <item x="342"/>
        <item x="9"/>
        <item x="46"/>
        <item x="419"/>
        <item x="392"/>
        <item x="407"/>
        <item x="489"/>
        <item x="132"/>
        <item x="313"/>
        <item x="511"/>
        <item x="139"/>
        <item x="66"/>
        <item x="317"/>
        <item x="382"/>
        <item x="193"/>
        <item x="109"/>
        <item x="37"/>
        <item x="487"/>
        <item x="168"/>
        <item x="423"/>
        <item x="145"/>
        <item x="181"/>
        <item x="440"/>
        <item x="237"/>
        <item x="352"/>
        <item x="396"/>
        <item x="252"/>
        <item x="330"/>
        <item x="530"/>
        <item x="114"/>
        <item x="113"/>
        <item x="227"/>
        <item x="471"/>
        <item x="387"/>
        <item x="496"/>
        <item x="417"/>
        <item x="172"/>
        <item x="125"/>
        <item x="389"/>
        <item x="445"/>
        <item x="490"/>
        <item x="362"/>
        <item x="434"/>
        <item x="486"/>
        <item x="480"/>
        <item x="401"/>
        <item x="57"/>
        <item x="457"/>
        <item x="56"/>
        <item x="206"/>
        <item x="3"/>
        <item x="513"/>
        <item x="128"/>
        <item x="102"/>
        <item x="464"/>
        <item x="194"/>
        <item x="153"/>
        <item x="264"/>
        <item x="257"/>
        <item x="446"/>
        <item x="461"/>
        <item x="463"/>
        <item x="384"/>
        <item x="61"/>
        <item x="100"/>
        <item x="410"/>
        <item x="228"/>
        <item x="96"/>
        <item x="327"/>
        <item x="111"/>
        <item x="524"/>
        <item x="311"/>
        <item x="221"/>
        <item x="244"/>
        <item x="25"/>
        <item x="144"/>
        <item x="443"/>
        <item x="351"/>
        <item x="376"/>
        <item x="305"/>
        <item x="347"/>
        <item x="0"/>
        <item x="336"/>
        <item x="428"/>
        <item x="27"/>
        <item x="337"/>
        <item x="399"/>
        <item x="126"/>
        <item x="525"/>
        <item x="501"/>
        <item x="349"/>
        <item x="5"/>
        <item x="154"/>
        <item x="484"/>
        <item x="47"/>
        <item x="270"/>
        <item x="521"/>
        <item x="183"/>
        <item x="76"/>
        <item x="350"/>
        <item x="108"/>
        <item x="473"/>
        <item x="274"/>
        <item x="122"/>
        <item x="35"/>
        <item x="148"/>
        <item x="216"/>
        <item x="11"/>
        <item x="93"/>
        <item x="283"/>
        <item x="199"/>
        <item x="402"/>
        <item t="default"/>
      </items>
    </pivotField>
    <pivotField showAll="0"/>
    <pivotField showAll="0"/>
    <pivotField showAll="0"/>
    <pivotField showAll="0"/>
    <pivotField axis="axisRow" showAll="0" measureFilter="1" sortType="descending">
      <items count="11">
        <item x="0"/>
        <item x="4"/>
        <item x="5"/>
        <item x="8"/>
        <item x="7"/>
        <item x="6"/>
        <item x="1"/>
        <item x="9"/>
        <item x="2"/>
        <item x="3"/>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6"/>
  </rowFields>
  <rowItems count="5">
    <i>
      <x v="6"/>
    </i>
    <i>
      <x v="8"/>
    </i>
    <i>
      <x v="1"/>
    </i>
    <i>
      <x/>
    </i>
    <i t="grand">
      <x/>
    </i>
  </rowItems>
  <colFields count="1">
    <field x="-2"/>
  </colFields>
  <colItems count="2">
    <i>
      <x/>
    </i>
    <i i="1">
      <x v="1"/>
    </i>
  </colItems>
  <dataFields count="2">
    <dataField name="Sum of Sales_CLEAN" fld="17" baseField="0" baseItem="0"/>
    <dataField name="Sum of Profit_CLEAN" fld="18" baseField="0" baseItem="0"/>
  </dataFields>
  <formats count="6">
    <format dxfId="24">
      <pivotArea dataOnly="0" fieldPosition="0">
        <references count="1">
          <reference field="16" count="1">
            <x v="6"/>
          </reference>
        </references>
      </pivotArea>
    </format>
    <format dxfId="23">
      <pivotArea collapsedLevelsAreSubtotals="1" fieldPosition="0">
        <references count="1">
          <reference field="16" count="1">
            <x v="6"/>
          </reference>
        </references>
      </pivotArea>
    </format>
    <format dxfId="22">
      <pivotArea dataOnly="0" labelOnly="1" fieldPosition="0">
        <references count="1">
          <reference field="16" count="1">
            <x v="6"/>
          </reference>
        </references>
      </pivotArea>
    </format>
    <format dxfId="21">
      <pivotArea collapsedLevelsAreSubtotals="1" fieldPosition="0">
        <references count="2">
          <reference field="4294967294" count="1" selected="0">
            <x v="0"/>
          </reference>
          <reference field="16" count="1">
            <x v="6"/>
          </reference>
        </references>
      </pivotArea>
    </format>
    <format dxfId="20">
      <pivotArea collapsedLevelsAreSubtotals="1" fieldPosition="0">
        <references count="2">
          <reference field="4294967294" count="1" selected="0">
            <x v="1"/>
          </reference>
          <reference field="16" count="1">
            <x v="6"/>
          </reference>
        </references>
      </pivotArea>
    </format>
    <format dxfId="19">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6" count="1" selected="0">
            <x v="1"/>
          </reference>
        </references>
      </pivotArea>
    </chartFormat>
    <chartFormat chart="0" format="3">
      <pivotArea type="data" outline="0" fieldPosition="0">
        <references count="2">
          <reference field="4294967294" count="1" selected="0">
            <x v="1"/>
          </reference>
          <reference field="16" count="1" selected="0">
            <x v="0"/>
          </reference>
        </references>
      </pivotArea>
    </chartFormat>
    <chartFormat chart="0" format="4">
      <pivotArea type="data" outline="0" fieldPosition="0">
        <references count="2">
          <reference field="4294967294" count="1" selected="0">
            <x v="1"/>
          </reference>
          <reference field="16" count="1" selected="0">
            <x v="8"/>
          </reference>
        </references>
      </pivotArea>
    </chartFormat>
    <chartFormat chart="0" format="5">
      <pivotArea type="data" outline="0" fieldPosition="0">
        <references count="2">
          <reference field="4294967294" count="1" selected="0">
            <x v="1"/>
          </reference>
          <reference field="16" count="1" selected="0">
            <x v="6"/>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CEDE4B-36D2-4A02-AA63-39E9442990C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4:C171" firstHeaderRow="0" firstDataRow="1" firstDataCol="1"/>
  <pivotFields count="22">
    <pivotField showAll="0"/>
    <pivotField showAll="0"/>
    <pivotField showAll="0">
      <items count="773">
        <item x="43"/>
        <item x="357"/>
        <item x="286"/>
        <item x="315"/>
        <item x="2"/>
        <item x="234"/>
        <item x="254"/>
        <item x="732"/>
        <item x="318"/>
        <item x="614"/>
        <item x="519"/>
        <item x="471"/>
        <item x="658"/>
        <item x="347"/>
        <item x="113"/>
        <item x="151"/>
        <item x="167"/>
        <item x="37"/>
        <item x="635"/>
        <item x="242"/>
        <item x="216"/>
        <item x="470"/>
        <item x="384"/>
        <item x="588"/>
        <item x="49"/>
        <item x="476"/>
        <item x="349"/>
        <item x="405"/>
        <item x="467"/>
        <item x="638"/>
        <item x="525"/>
        <item x="462"/>
        <item x="708"/>
        <item x="421"/>
        <item x="387"/>
        <item x="294"/>
        <item x="50"/>
        <item x="367"/>
        <item x="586"/>
        <item x="230"/>
        <item x="539"/>
        <item x="496"/>
        <item x="67"/>
        <item x="15"/>
        <item x="682"/>
        <item x="760"/>
        <item x="393"/>
        <item x="41"/>
        <item x="258"/>
        <item x="514"/>
        <item x="326"/>
        <item x="219"/>
        <item x="493"/>
        <item x="12"/>
        <item x="38"/>
        <item x="302"/>
        <item x="621"/>
        <item x="690"/>
        <item x="767"/>
        <item x="565"/>
        <item x="460"/>
        <item x="136"/>
        <item x="672"/>
        <item x="32"/>
        <item x="378"/>
        <item x="169"/>
        <item x="143"/>
        <item x="487"/>
        <item x="561"/>
        <item x="629"/>
        <item x="567"/>
        <item x="686"/>
        <item x="754"/>
        <item x="223"/>
        <item x="513"/>
        <item x="771"/>
        <item x="101"/>
        <item x="748"/>
        <item x="615"/>
        <item x="129"/>
        <item x="602"/>
        <item x="3"/>
        <item x="434"/>
        <item x="726"/>
        <item x="250"/>
        <item x="683"/>
        <item x="320"/>
        <item x="723"/>
        <item x="99"/>
        <item x="536"/>
        <item x="745"/>
        <item x="76"/>
        <item x="578"/>
        <item x="103"/>
        <item x="106"/>
        <item x="256"/>
        <item x="147"/>
        <item x="36"/>
        <item x="297"/>
        <item x="191"/>
        <item x="704"/>
        <item x="646"/>
        <item x="724"/>
        <item x="140"/>
        <item x="364"/>
        <item x="439"/>
        <item x="526"/>
        <item x="763"/>
        <item x="317"/>
        <item x="72"/>
        <item x="582"/>
        <item x="656"/>
        <item x="472"/>
        <item x="541"/>
        <item x="610"/>
        <item x="66"/>
        <item x="601"/>
        <item x="710"/>
        <item x="222"/>
        <item x="133"/>
        <item x="366"/>
        <item x="642"/>
        <item x="348"/>
        <item x="687"/>
        <item x="464"/>
        <item x="450"/>
        <item x="729"/>
        <item x="321"/>
        <item x="344"/>
        <item x="545"/>
        <item x="473"/>
        <item x="377"/>
        <item x="206"/>
        <item x="184"/>
        <item x="733"/>
        <item x="126"/>
        <item x="479"/>
        <item x="446"/>
        <item x="663"/>
        <item x="540"/>
        <item x="576"/>
        <item x="611"/>
        <item x="418"/>
        <item x="424"/>
        <item x="279"/>
        <item x="182"/>
        <item x="482"/>
        <item x="574"/>
        <item x="528"/>
        <item x="305"/>
        <item x="22"/>
        <item x="183"/>
        <item x="497"/>
        <item x="728"/>
        <item x="280"/>
        <item x="624"/>
        <item x="89"/>
        <item x="246"/>
        <item x="702"/>
        <item x="257"/>
        <item x="150"/>
        <item x="57"/>
        <item x="342"/>
        <item x="501"/>
        <item x="365"/>
        <item x="293"/>
        <item x="750"/>
        <item x="80"/>
        <item x="290"/>
        <item x="1"/>
        <item x="530"/>
        <item x="157"/>
        <item x="543"/>
        <item x="636"/>
        <item x="612"/>
        <item x="227"/>
        <item x="619"/>
        <item x="102"/>
        <item x="260"/>
        <item x="562"/>
        <item x="423"/>
        <item x="240"/>
        <item x="692"/>
        <item x="226"/>
        <item x="756"/>
        <item x="570"/>
        <item x="309"/>
        <item x="14"/>
        <item x="551"/>
        <item x="64"/>
        <item x="412"/>
        <item x="245"/>
        <item x="354"/>
        <item x="310"/>
        <item x="749"/>
        <item x="389"/>
        <item x="152"/>
        <item x="755"/>
        <item x="594"/>
        <item x="620"/>
        <item x="641"/>
        <item x="486"/>
        <item x="202"/>
        <item x="639"/>
        <item x="743"/>
        <item x="159"/>
        <item x="444"/>
        <item x="215"/>
        <item x="764"/>
        <item x="645"/>
        <item x="388"/>
        <item x="568"/>
        <item x="705"/>
        <item x="303"/>
        <item x="394"/>
        <item x="313"/>
        <item x="466"/>
        <item x="667"/>
        <item x="217"/>
        <item x="422"/>
        <item x="123"/>
        <item x="352"/>
        <item x="287"/>
        <item x="4"/>
        <item x="677"/>
        <item x="265"/>
        <item x="209"/>
        <item x="435"/>
        <item x="552"/>
        <item x="587"/>
        <item x="518"/>
        <item x="299"/>
        <item x="512"/>
        <item x="608"/>
        <item x="685"/>
        <item x="468"/>
        <item x="193"/>
        <item x="569"/>
        <item x="643"/>
        <item x="669"/>
        <item x="737"/>
        <item x="248"/>
        <item x="478"/>
        <item x="650"/>
        <item x="10"/>
        <item x="714"/>
        <item x="542"/>
        <item x="697"/>
        <item x="48"/>
        <item x="432"/>
        <item x="362"/>
        <item x="194"/>
        <item x="409"/>
        <item x="627"/>
        <item x="363"/>
        <item x="443"/>
        <item x="395"/>
        <item x="263"/>
        <item x="489"/>
        <item x="345"/>
        <item x="269"/>
        <item x="371"/>
        <item x="13"/>
        <item x="560"/>
        <item x="58"/>
        <item x="71"/>
        <item x="296"/>
        <item x="537"/>
        <item x="70"/>
        <item x="448"/>
        <item x="442"/>
        <item x="622"/>
        <item x="759"/>
        <item x="503"/>
        <item x="765"/>
        <item x="295"/>
        <item x="456"/>
        <item x="454"/>
        <item x="118"/>
        <item x="679"/>
        <item x="438"/>
        <item x="689"/>
        <item x="346"/>
        <item x="187"/>
        <item x="212"/>
        <item x="176"/>
        <item x="175"/>
        <item x="458"/>
        <item x="335"/>
        <item x="188"/>
        <item x="125"/>
        <item x="78"/>
        <item x="706"/>
        <item x="703"/>
        <item x="709"/>
        <item x="691"/>
        <item x="210"/>
        <item x="160"/>
        <item x="413"/>
        <item x="83"/>
        <item x="664"/>
        <item x="554"/>
        <item x="684"/>
        <item x="34"/>
        <item x="596"/>
        <item x="381"/>
        <item x="68"/>
        <item x="731"/>
        <item x="549"/>
        <item x="504"/>
        <item x="170"/>
        <item x="406"/>
        <item x="110"/>
        <item x="433"/>
        <item x="16"/>
        <item x="407"/>
        <item x="60"/>
        <item x="747"/>
        <item x="517"/>
        <item x="553"/>
        <item x="630"/>
        <item x="229"/>
        <item x="626"/>
        <item x="137"/>
        <item x="426"/>
        <item x="557"/>
        <item x="119"/>
        <item x="391"/>
        <item x="590"/>
        <item x="498"/>
        <item x="17"/>
        <item x="766"/>
        <item x="403"/>
        <item x="197"/>
        <item x="324"/>
        <item x="84"/>
        <item x="698"/>
        <item x="739"/>
        <item x="676"/>
        <item x="225"/>
        <item x="559"/>
        <item x="605"/>
        <item x="670"/>
        <item x="546"/>
        <item x="198"/>
        <item x="356"/>
        <item x="746"/>
        <item x="400"/>
        <item x="259"/>
        <item x="680"/>
        <item x="531"/>
        <item x="385"/>
        <item x="211"/>
        <item x="488"/>
        <item x="566"/>
        <item x="666"/>
        <item x="508"/>
        <item x="644"/>
        <item x="325"/>
        <item x="661"/>
        <item x="507"/>
        <item x="521"/>
        <item x="483"/>
        <item x="281"/>
        <item x="469"/>
        <item x="47"/>
        <item x="431"/>
        <item x="201"/>
        <item x="353"/>
        <item x="292"/>
        <item x="334"/>
        <item x="414"/>
        <item x="156"/>
        <item x="94"/>
        <item x="762"/>
        <item x="172"/>
        <item x="9"/>
        <item x="253"/>
        <item x="577"/>
        <item x="148"/>
        <item x="284"/>
        <item x="511"/>
        <item x="322"/>
        <item x="199"/>
        <item x="251"/>
        <item x="550"/>
        <item x="516"/>
        <item x="563"/>
        <item x="161"/>
        <item x="44"/>
        <item x="200"/>
        <item x="436"/>
        <item x="27"/>
        <item x="11"/>
        <item x="122"/>
        <item x="91"/>
        <item x="617"/>
        <item x="163"/>
        <item x="441"/>
        <item x="181"/>
        <item x="18"/>
        <item x="337"/>
        <item x="495"/>
        <item x="618"/>
        <item x="375"/>
        <item x="515"/>
        <item x="351"/>
        <item x="453"/>
        <item x="221"/>
        <item x="461"/>
        <item x="534"/>
        <item x="247"/>
        <item x="312"/>
        <item x="445"/>
        <item x="192"/>
        <item x="529"/>
        <item x="662"/>
        <item x="26"/>
        <item x="195"/>
        <item x="548"/>
        <item x="360"/>
        <item x="564"/>
        <item x="741"/>
        <item x="301"/>
        <item x="634"/>
        <item x="522"/>
        <item x="768"/>
        <item x="178"/>
        <item x="45"/>
        <item x="177"/>
        <item x="452"/>
        <item x="358"/>
        <item x="189"/>
        <item x="235"/>
        <item x="652"/>
        <item x="736"/>
        <item x="751"/>
        <item x="527"/>
        <item x="591"/>
        <item x="440"/>
        <item x="186"/>
        <item x="204"/>
        <item x="283"/>
        <item x="717"/>
        <item x="73"/>
        <item x="75"/>
        <item x="675"/>
        <item x="40"/>
        <item x="678"/>
        <item x="146"/>
        <item x="33"/>
        <item x="609"/>
        <item x="81"/>
        <item x="141"/>
        <item x="92"/>
        <item x="262"/>
        <item x="616"/>
        <item x="238"/>
        <item x="82"/>
        <item x="361"/>
        <item x="623"/>
        <item x="271"/>
        <item x="668"/>
        <item x="39"/>
        <item x="606"/>
        <item x="29"/>
        <item x="474"/>
        <item x="598"/>
        <item x="535"/>
        <item x="21"/>
        <item x="399"/>
        <item x="719"/>
        <item x="674"/>
        <item x="7"/>
        <item x="79"/>
        <item x="402"/>
        <item x="174"/>
        <item x="653"/>
        <item x="96"/>
        <item x="196"/>
        <item x="484"/>
        <item x="130"/>
        <item x="55"/>
        <item x="236"/>
        <item x="69"/>
        <item x="744"/>
        <item x="109"/>
        <item x="380"/>
        <item x="572"/>
        <item x="370"/>
        <item x="408"/>
        <item x="437"/>
        <item x="255"/>
        <item x="233"/>
        <item x="86"/>
        <item x="142"/>
        <item x="138"/>
        <item x="742"/>
        <item x="659"/>
        <item x="343"/>
        <item x="332"/>
        <item x="179"/>
        <item x="490"/>
        <item x="304"/>
        <item x="558"/>
        <item x="266"/>
        <item x="510"/>
        <item x="316"/>
        <item x="327"/>
        <item x="631"/>
        <item x="120"/>
        <item x="162"/>
        <item x="149"/>
        <item x="571"/>
        <item x="336"/>
        <item x="341"/>
        <item x="270"/>
        <item x="398"/>
        <item x="699"/>
        <item x="721"/>
        <item x="386"/>
        <item x="603"/>
        <item x="331"/>
        <item x="231"/>
        <item x="595"/>
        <item x="429"/>
        <item x="208"/>
        <item x="722"/>
        <item x="379"/>
        <item x="415"/>
        <item x="613"/>
        <item x="373"/>
        <item x="350"/>
        <item x="607"/>
        <item x="374"/>
        <item x="583"/>
        <item x="695"/>
        <item x="333"/>
        <item x="330"/>
        <item x="523"/>
        <item x="239"/>
        <item x="6"/>
        <item x="544"/>
        <item x="53"/>
        <item x="264"/>
        <item x="688"/>
        <item x="339"/>
        <item x="455"/>
        <item x="425"/>
        <item x="593"/>
        <item x="100"/>
        <item x="65"/>
        <item x="105"/>
        <item x="770"/>
        <item x="720"/>
        <item x="278"/>
        <item x="673"/>
        <item x="520"/>
        <item x="392"/>
        <item x="700"/>
        <item x="30"/>
        <item x="128"/>
        <item x="300"/>
        <item x="180"/>
        <item x="491"/>
        <item x="640"/>
        <item x="524"/>
        <item x="144"/>
        <item x="124"/>
        <item x="599"/>
        <item x="63"/>
        <item x="417"/>
        <item x="311"/>
        <item x="657"/>
        <item x="237"/>
        <item x="288"/>
        <item x="158"/>
        <item x="168"/>
        <item x="475"/>
        <item x="87"/>
        <item x="383"/>
        <item x="592"/>
        <item x="85"/>
        <item x="19"/>
        <item x="428"/>
        <item x="220"/>
        <item x="532"/>
        <item x="355"/>
        <item x="740"/>
        <item x="712"/>
        <item x="492"/>
        <item x="649"/>
        <item x="693"/>
        <item x="368"/>
        <item x="556"/>
        <item x="506"/>
        <item x="597"/>
        <item x="107"/>
        <item x="404"/>
        <item x="547"/>
        <item x="628"/>
        <item x="54"/>
        <item x="261"/>
        <item x="275"/>
        <item x="171"/>
        <item x="115"/>
        <item x="500"/>
        <item x="718"/>
        <item x="757"/>
        <item x="289"/>
        <item x="397"/>
        <item x="241"/>
        <item x="145"/>
        <item x="213"/>
        <item x="108"/>
        <item x="173"/>
        <item x="307"/>
        <item x="228"/>
        <item x="420"/>
        <item x="359"/>
        <item x="319"/>
        <item x="272"/>
        <item x="51"/>
        <item x="734"/>
        <item x="277"/>
        <item x="97"/>
        <item x="480"/>
        <item x="707"/>
        <item x="282"/>
        <item x="252"/>
        <item x="218"/>
        <item x="465"/>
        <item x="276"/>
        <item x="62"/>
        <item x="665"/>
        <item x="401"/>
        <item x="701"/>
        <item x="589"/>
        <item x="451"/>
        <item x="632"/>
        <item x="575"/>
        <item x="134"/>
        <item x="274"/>
        <item x="372"/>
        <item x="477"/>
        <item x="752"/>
        <item x="499"/>
        <item x="329"/>
        <item x="447"/>
        <item x="190"/>
        <item x="314"/>
        <item x="416"/>
        <item x="761"/>
        <item x="90"/>
        <item x="268"/>
        <item x="164"/>
        <item x="244"/>
        <item x="494"/>
        <item x="390"/>
        <item x="214"/>
        <item x="340"/>
        <item x="758"/>
        <item x="738"/>
        <item x="648"/>
        <item x="696"/>
        <item x="449"/>
        <item x="23"/>
        <item x="338"/>
        <item x="298"/>
        <item x="681"/>
        <item x="52"/>
        <item x="20"/>
        <item x="306"/>
        <item x="28"/>
        <item x="74"/>
        <item x="463"/>
        <item x="573"/>
        <item x="579"/>
        <item x="59"/>
        <item x="459"/>
        <item x="727"/>
        <item x="715"/>
        <item x="203"/>
        <item x="42"/>
        <item x="660"/>
        <item x="8"/>
        <item x="625"/>
        <item x="88"/>
        <item x="538"/>
        <item x="267"/>
        <item x="769"/>
        <item x="93"/>
        <item x="647"/>
        <item x="716"/>
        <item x="555"/>
        <item x="24"/>
        <item x="285"/>
        <item x="207"/>
        <item x="600"/>
        <item x="580"/>
        <item x="637"/>
        <item x="31"/>
        <item x="419"/>
        <item x="46"/>
        <item x="533"/>
        <item x="694"/>
        <item x="139"/>
        <item x="711"/>
        <item x="153"/>
        <item x="382"/>
        <item x="112"/>
        <item x="121"/>
        <item x="185"/>
        <item x="155"/>
        <item x="273"/>
        <item x="502"/>
        <item x="291"/>
        <item x="753"/>
        <item x="117"/>
        <item x="116"/>
        <item x="633"/>
        <item x="485"/>
        <item x="131"/>
        <item x="584"/>
        <item x="671"/>
        <item x="651"/>
        <item x="328"/>
        <item x="604"/>
        <item x="56"/>
        <item x="232"/>
        <item x="713"/>
        <item x="135"/>
        <item x="104"/>
        <item x="165"/>
        <item x="308"/>
        <item x="585"/>
        <item x="655"/>
        <item x="481"/>
        <item x="61"/>
        <item x="98"/>
        <item x="396"/>
        <item x="114"/>
        <item x="730"/>
        <item x="376"/>
        <item x="249"/>
        <item x="410"/>
        <item x="25"/>
        <item x="154"/>
        <item x="581"/>
        <item x="369"/>
        <item x="427"/>
        <item x="0"/>
        <item x="411"/>
        <item x="457"/>
        <item x="505"/>
        <item x="132"/>
        <item x="735"/>
        <item x="430"/>
        <item x="5"/>
        <item x="166"/>
        <item x="725"/>
        <item x="654"/>
        <item x="77"/>
        <item x="111"/>
        <item x="323"/>
        <item x="127"/>
        <item x="35"/>
        <item x="205"/>
        <item x="243"/>
        <item x="95"/>
        <item x="224"/>
        <item x="509"/>
        <item t="default"/>
      </items>
    </pivotField>
    <pivotField showAll="0">
      <items count="6">
        <item x="1"/>
        <item x="3"/>
        <item x="4"/>
        <item x="2"/>
        <item x="0"/>
        <item t="default"/>
      </items>
    </pivotField>
    <pivotField showAll="0"/>
    <pivotField showAll="0"/>
    <pivotField showAll="0"/>
    <pivotField showAll="0"/>
    <pivotField showAll="0">
      <items count="900">
        <item x="328"/>
        <item x="350"/>
        <item x="9"/>
        <item x="762"/>
        <item x="656"/>
        <item x="499"/>
        <item x="270"/>
        <item x="554"/>
        <item x="249"/>
        <item x="347"/>
        <item x="493"/>
        <item x="489"/>
        <item x="367"/>
        <item x="18"/>
        <item x="697"/>
        <item x="600"/>
        <item x="438"/>
        <item x="883"/>
        <item x="608"/>
        <item x="62"/>
        <item x="843"/>
        <item x="181"/>
        <item x="251"/>
        <item x="315"/>
        <item x="417"/>
        <item x="124"/>
        <item x="541"/>
        <item x="440"/>
        <item x="603"/>
        <item x="629"/>
        <item x="615"/>
        <item x="55"/>
        <item x="711"/>
        <item x="464"/>
        <item x="575"/>
        <item x="719"/>
        <item x="68"/>
        <item x="280"/>
        <item x="583"/>
        <item x="729"/>
        <item x="649"/>
        <item x="115"/>
        <item x="876"/>
        <item x="700"/>
        <item x="855"/>
        <item x="38"/>
        <item x="22"/>
        <item x="239"/>
        <item x="252"/>
        <item x="570"/>
        <item x="740"/>
        <item x="326"/>
        <item x="305"/>
        <item x="317"/>
        <item x="898"/>
        <item x="137"/>
        <item x="344"/>
        <item x="796"/>
        <item x="320"/>
        <item x="491"/>
        <item x="375"/>
        <item x="387"/>
        <item x="805"/>
        <item x="870"/>
        <item x="3"/>
        <item x="534"/>
        <item x="295"/>
        <item x="819"/>
        <item x="207"/>
        <item x="845"/>
        <item x="253"/>
        <item x="851"/>
        <item x="867"/>
        <item x="361"/>
        <item x="277"/>
        <item x="591"/>
        <item x="34"/>
        <item x="405"/>
        <item x="652"/>
        <item x="118"/>
        <item x="760"/>
        <item x="13"/>
        <item x="861"/>
        <item x="764"/>
        <item x="228"/>
        <item x="683"/>
        <item x="769"/>
        <item x="674"/>
        <item x="246"/>
        <item x="717"/>
        <item x="804"/>
        <item x="170"/>
        <item x="671"/>
        <item x="162"/>
        <item x="513"/>
        <item x="466"/>
        <item x="516"/>
        <item x="364"/>
        <item x="127"/>
        <item x="242"/>
        <item x="396"/>
        <item x="146"/>
        <item x="605"/>
        <item x="45"/>
        <item x="626"/>
        <item x="191"/>
        <item x="220"/>
        <item x="233"/>
        <item x="829"/>
        <item x="515"/>
        <item x="165"/>
        <item x="399"/>
        <item x="453"/>
        <item x="436"/>
        <item x="337"/>
        <item x="141"/>
        <item x="160"/>
        <item x="415"/>
        <item x="384"/>
        <item x="180"/>
        <item x="71"/>
        <item x="520"/>
        <item x="271"/>
        <item x="157"/>
        <item x="588"/>
        <item x="602"/>
        <item x="276"/>
        <item x="616"/>
        <item x="691"/>
        <item x="214"/>
        <item x="63"/>
        <item x="459"/>
        <item x="0"/>
        <item x="886"/>
        <item x="553"/>
        <item x="556"/>
        <item x="820"/>
        <item x="348"/>
        <item x="644"/>
        <item x="710"/>
        <item x="636"/>
        <item x="581"/>
        <item x="653"/>
        <item x="222"/>
        <item x="880"/>
        <item x="723"/>
        <item x="327"/>
        <item x="435"/>
        <item x="658"/>
        <item x="446"/>
        <item x="103"/>
        <item x="673"/>
        <item x="31"/>
        <item x="623"/>
        <item x="590"/>
        <item x="185"/>
        <item x="177"/>
        <item x="667"/>
        <item x="409"/>
        <item x="422"/>
        <item x="145"/>
        <item x="59"/>
        <item x="143"/>
        <item x="122"/>
        <item x="799"/>
        <item x="126"/>
        <item x="857"/>
        <item x="108"/>
        <item x="78"/>
        <item x="156"/>
        <item x="432"/>
        <item x="803"/>
        <item x="618"/>
        <item x="620"/>
        <item x="120"/>
        <item x="692"/>
        <item x="573"/>
        <item x="229"/>
        <item x="234"/>
        <item x="624"/>
        <item x="334"/>
        <item x="198"/>
        <item x="150"/>
        <item x="721"/>
        <item x="168"/>
        <item x="735"/>
        <item x="869"/>
        <item x="739"/>
        <item x="192"/>
        <item x="186"/>
        <item x="744"/>
        <item x="23"/>
        <item x="241"/>
        <item x="578"/>
        <item x="299"/>
        <item x="314"/>
        <item x="6"/>
        <item x="359"/>
        <item x="418"/>
        <item x="116"/>
        <item x="16"/>
        <item x="836"/>
        <item x="188"/>
        <item x="297"/>
        <item x="448"/>
        <item x="604"/>
        <item x="104"/>
        <item x="202"/>
        <item x="635"/>
        <item x="601"/>
        <item x="818"/>
        <item x="486"/>
        <item x="822"/>
        <item x="538"/>
        <item x="128"/>
        <item x="825"/>
        <item x="261"/>
        <item x="218"/>
        <item x="784"/>
        <item x="702"/>
        <item x="831"/>
        <item x="210"/>
        <item x="893"/>
        <item x="550"/>
        <item x="613"/>
        <item x="862"/>
        <item x="839"/>
        <item x="648"/>
        <item x="264"/>
        <item x="318"/>
        <item x="679"/>
        <item x="666"/>
        <item x="842"/>
        <item x="204"/>
        <item x="406"/>
        <item x="339"/>
        <item x="338"/>
        <item x="201"/>
        <item x="569"/>
        <item x="780"/>
        <item x="379"/>
        <item x="750"/>
        <item x="15"/>
        <item x="669"/>
        <item x="285"/>
        <item x="123"/>
        <item x="766"/>
        <item x="33"/>
        <item x="154"/>
        <item x="281"/>
        <item x="48"/>
        <item x="138"/>
        <item x="688"/>
        <item x="431"/>
        <item x="483"/>
        <item x="212"/>
        <item x="835"/>
        <item x="841"/>
        <item x="892"/>
        <item x="452"/>
        <item x="69"/>
        <item x="650"/>
        <item x="101"/>
        <item x="612"/>
        <item x="182"/>
        <item x="449"/>
        <item x="709"/>
        <item x="814"/>
        <item x="888"/>
        <item x="684"/>
        <item x="495"/>
        <item x="175"/>
        <item x="21"/>
        <item x="410"/>
        <item x="366"/>
        <item x="525"/>
        <item x="179"/>
        <item x="777"/>
        <item x="267"/>
        <item x="706"/>
        <item x="531"/>
        <item x="872"/>
        <item x="231"/>
        <item x="824"/>
        <item x="236"/>
        <item x="790"/>
        <item x="167"/>
        <item x="833"/>
        <item x="97"/>
        <item x="296"/>
        <item x="196"/>
        <item x="424"/>
        <item x="377"/>
        <item x="745"/>
        <item x="788"/>
        <item x="77"/>
        <item x="331"/>
        <item x="802"/>
        <item x="42"/>
        <item x="783"/>
        <item x="875"/>
        <item x="194"/>
        <item x="119"/>
        <item x="509"/>
        <item x="258"/>
        <item x="275"/>
        <item x="10"/>
        <item x="727"/>
        <item x="741"/>
        <item x="757"/>
        <item x="859"/>
        <item x="546"/>
        <item x="363"/>
        <item x="20"/>
        <item x="707"/>
        <item x="155"/>
        <item x="208"/>
        <item x="475"/>
        <item x="105"/>
        <item x="887"/>
        <item x="722"/>
        <item x="392"/>
        <item x="98"/>
        <item x="646"/>
        <item x="639"/>
        <item x="638"/>
        <item x="8"/>
        <item x="878"/>
        <item x="849"/>
        <item x="365"/>
        <item x="703"/>
        <item x="641"/>
        <item x="660"/>
        <item x="85"/>
        <item x="662"/>
        <item x="426"/>
        <item x="427"/>
        <item x="357"/>
        <item x="631"/>
        <item x="171"/>
        <item x="897"/>
        <item x="421"/>
        <item x="672"/>
        <item x="245"/>
        <item x="262"/>
        <item x="472"/>
        <item x="322"/>
        <item x="102"/>
        <item x="240"/>
        <item x="501"/>
        <item x="40"/>
        <item x="352"/>
        <item x="412"/>
        <item x="259"/>
        <item x="846"/>
        <item x="420"/>
        <item x="283"/>
        <item x="704"/>
        <item x="247"/>
        <item x="682"/>
        <item x="86"/>
        <item x="74"/>
        <item x="96"/>
        <item x="481"/>
        <item x="325"/>
        <item x="536"/>
        <item x="323"/>
        <item x="696"/>
        <item x="552"/>
        <item x="572"/>
        <item x="634"/>
        <item x="457"/>
        <item x="169"/>
        <item x="468"/>
        <item x="827"/>
        <item x="865"/>
        <item x="66"/>
        <item x="394"/>
        <item x="184"/>
        <item x="693"/>
        <item x="461"/>
        <item x="542"/>
        <item x="248"/>
        <item x="308"/>
        <item x="732"/>
        <item x="787"/>
        <item x="496"/>
        <item x="506"/>
        <item x="482"/>
        <item x="163"/>
        <item x="807"/>
        <item x="759"/>
        <item x="324"/>
        <item x="61"/>
        <item x="382"/>
        <item x="801"/>
        <item x="87"/>
        <item x="699"/>
        <item x="312"/>
        <item x="256"/>
        <item x="540"/>
        <item x="471"/>
        <item x="166"/>
        <item x="112"/>
        <item x="391"/>
        <item x="786"/>
        <item x="64"/>
        <item x="311"/>
        <item x="430"/>
        <item x="407"/>
        <item x="26"/>
        <item x="301"/>
        <item x="778"/>
        <item x="503"/>
        <item x="226"/>
        <item x="654"/>
        <item x="625"/>
        <item x="507"/>
        <item x="716"/>
        <item x="630"/>
        <item x="724"/>
        <item x="860"/>
        <item x="462"/>
        <item x="93"/>
        <item x="637"/>
        <item x="761"/>
        <item x="681"/>
        <item x="657"/>
        <item x="817"/>
        <item x="173"/>
        <item x="215"/>
        <item x="763"/>
        <item x="720"/>
        <item x="768"/>
        <item x="300"/>
        <item x="130"/>
        <item x="823"/>
        <item x="395"/>
        <item x="463"/>
        <item x="287"/>
        <item x="492"/>
        <item x="830"/>
        <item x="378"/>
        <item x="645"/>
        <item x="319"/>
        <item x="111"/>
        <item x="355"/>
        <item x="164"/>
        <item x="478"/>
        <item x="598"/>
        <item x="304"/>
        <item x="140"/>
        <item x="289"/>
        <item x="812"/>
        <item x="307"/>
        <item x="798"/>
        <item x="100"/>
        <item x="663"/>
        <item x="528"/>
        <item x="753"/>
        <item x="782"/>
        <item x="437"/>
        <item x="661"/>
        <item x="125"/>
        <item x="689"/>
        <item x="211"/>
        <item x="485"/>
        <item x="535"/>
        <item x="708"/>
        <item x="216"/>
        <item x="523"/>
        <item x="135"/>
        <item x="664"/>
        <item x="894"/>
        <item x="690"/>
        <item x="811"/>
        <item x="537"/>
        <item x="443"/>
        <item x="694"/>
        <item x="597"/>
        <item x="46"/>
        <item x="785"/>
        <item x="358"/>
        <item x="106"/>
        <item x="425"/>
        <item x="585"/>
        <item x="41"/>
        <item x="856"/>
        <item x="217"/>
        <item x="340"/>
        <item x="549"/>
        <item x="73"/>
        <item x="678"/>
        <item x="416"/>
        <item x="235"/>
        <item x="873"/>
        <item x="292"/>
        <item x="76"/>
        <item x="567"/>
        <item x="701"/>
        <item x="633"/>
        <item x="284"/>
        <item x="354"/>
        <item x="589"/>
        <item x="451"/>
        <item x="627"/>
        <item x="237"/>
        <item x="813"/>
        <item x="117"/>
        <item x="362"/>
        <item x="896"/>
        <item x="725"/>
        <item x="517"/>
        <item x="345"/>
        <item x="755"/>
        <item x="30"/>
        <item x="190"/>
        <item x="302"/>
        <item x="864"/>
        <item x="617"/>
        <item x="389"/>
        <item x="148"/>
        <item x="686"/>
        <item x="844"/>
        <item x="11"/>
        <item x="675"/>
        <item x="172"/>
        <item x="480"/>
        <item x="579"/>
        <item x="303"/>
        <item x="714"/>
        <item x="408"/>
        <item x="53"/>
        <item x="840"/>
        <item x="28"/>
        <item x="770"/>
        <item x="551"/>
        <item x="514"/>
        <item x="402"/>
        <item x="756"/>
        <item x="748"/>
        <item x="27"/>
        <item x="837"/>
        <item x="713"/>
        <item x="441"/>
        <item x="219"/>
        <item x="529"/>
        <item x="80"/>
        <item x="776"/>
        <item x="200"/>
        <item x="109"/>
        <item x="527"/>
        <item x="580"/>
        <item x="595"/>
        <item x="797"/>
        <item x="533"/>
        <item x="17"/>
        <item x="209"/>
        <item x="343"/>
        <item x="752"/>
        <item x="868"/>
        <item x="454"/>
        <item x="890"/>
        <item x="614"/>
        <item x="494"/>
        <item x="114"/>
        <item x="450"/>
        <item x="698"/>
        <item x="203"/>
        <item x="321"/>
        <item x="374"/>
        <item x="442"/>
        <item x="90"/>
        <item x="611"/>
        <item x="863"/>
        <item x="193"/>
        <item x="265"/>
        <item x="142"/>
        <item x="250"/>
        <item x="360"/>
        <item x="488"/>
        <item x="456"/>
        <item x="414"/>
        <item x="487"/>
        <item x="606"/>
        <item x="628"/>
        <item x="81"/>
        <item x="176"/>
        <item x="607"/>
        <item x="349"/>
        <item x="767"/>
        <item x="854"/>
        <item x="134"/>
        <item x="643"/>
        <item x="574"/>
        <item x="400"/>
        <item x="329"/>
        <item x="269"/>
        <item x="794"/>
        <item x="238"/>
        <item x="51"/>
        <item x="737"/>
        <item x="543"/>
        <item x="133"/>
        <item x="423"/>
        <item x="800"/>
        <item x="504"/>
        <item x="746"/>
        <item x="558"/>
        <item x="668"/>
        <item x="497"/>
        <item x="816"/>
        <item x="594"/>
        <item x="376"/>
        <item x="834"/>
        <item x="353"/>
        <item x="781"/>
        <item x="19"/>
        <item x="582"/>
        <item x="49"/>
        <item x="224"/>
        <item x="838"/>
        <item x="397"/>
        <item x="113"/>
        <item x="879"/>
        <item x="268"/>
        <item x="560"/>
        <item x="95"/>
        <item x="479"/>
        <item x="848"/>
        <item x="749"/>
        <item x="539"/>
        <item x="227"/>
        <item x="50"/>
        <item x="91"/>
        <item x="555"/>
        <item x="502"/>
        <item x="390"/>
        <item x="789"/>
        <item x="291"/>
        <item x="640"/>
        <item x="547"/>
        <item x="44"/>
        <item x="733"/>
        <item x="792"/>
        <item x="779"/>
        <item x="313"/>
        <item x="243"/>
        <item x="758"/>
        <item x="577"/>
        <item x="398"/>
        <item x="559"/>
        <item x="254"/>
        <item x="221"/>
        <item x="39"/>
        <item x="266"/>
        <item x="70"/>
        <item x="369"/>
        <item x="272"/>
        <item x="129"/>
        <item x="139"/>
        <item x="419"/>
        <item x="205"/>
        <item x="373"/>
        <item x="136"/>
        <item x="83"/>
        <item x="521"/>
        <item x="286"/>
        <item x="197"/>
        <item x="852"/>
        <item x="151"/>
        <item x="36"/>
        <item x="670"/>
        <item x="751"/>
        <item x="490"/>
        <item x="548"/>
        <item x="884"/>
        <item x="263"/>
        <item x="351"/>
        <item x="568"/>
        <item x="742"/>
        <item x="609"/>
        <item x="596"/>
        <item x="498"/>
        <item x="576"/>
        <item x="346"/>
        <item x="828"/>
        <item x="316"/>
        <item x="754"/>
        <item x="665"/>
        <item x="428"/>
        <item x="584"/>
        <item x="370"/>
        <item x="477"/>
        <item x="891"/>
        <item x="273"/>
        <item x="213"/>
        <item x="522"/>
        <item x="821"/>
        <item x="35"/>
        <item x="72"/>
        <item x="371"/>
        <item x="183"/>
        <item x="159"/>
        <item x="565"/>
        <item x="676"/>
        <item x="29"/>
        <item x="131"/>
        <item x="25"/>
        <item x="149"/>
        <item x="775"/>
        <item x="619"/>
        <item x="444"/>
        <item x="232"/>
        <item x="99"/>
        <item x="680"/>
        <item x="571"/>
        <item x="561"/>
        <item x="877"/>
        <item x="458"/>
        <item x="306"/>
        <item x="107"/>
        <item x="298"/>
        <item x="58"/>
        <item x="187"/>
        <item x="563"/>
        <item x="810"/>
        <item x="147"/>
        <item x="380"/>
        <item x="524"/>
        <item x="65"/>
        <item x="310"/>
        <item x="257"/>
        <item x="260"/>
        <item x="512"/>
        <item x="586"/>
        <item x="413"/>
        <item x="356"/>
        <item x="795"/>
        <item x="189"/>
        <item x="526"/>
        <item x="476"/>
        <item x="225"/>
        <item x="56"/>
        <item x="771"/>
        <item x="5"/>
        <item x="199"/>
        <item x="282"/>
        <item x="89"/>
        <item x="385"/>
        <item x="393"/>
        <item x="429"/>
        <item x="206"/>
        <item x="895"/>
        <item x="511"/>
        <item x="447"/>
        <item x="386"/>
        <item x="500"/>
        <item x="341"/>
        <item x="562"/>
        <item x="223"/>
        <item x="60"/>
        <item x="52"/>
        <item x="734"/>
        <item x="599"/>
        <item x="687"/>
        <item x="465"/>
        <item x="655"/>
        <item x="610"/>
        <item x="726"/>
        <item x="853"/>
        <item x="587"/>
        <item x="332"/>
        <item x="772"/>
        <item x="621"/>
        <item x="847"/>
        <item x="2"/>
        <item x="881"/>
        <item x="850"/>
        <item x="110"/>
        <item x="333"/>
        <item x="695"/>
        <item x="736"/>
        <item x="161"/>
        <item x="730"/>
        <item x="32"/>
        <item x="874"/>
        <item x="309"/>
        <item x="564"/>
        <item x="765"/>
        <item x="330"/>
        <item x="279"/>
        <item x="519"/>
        <item x="885"/>
        <item x="642"/>
        <item x="75"/>
        <item x="738"/>
        <item x="518"/>
        <item x="88"/>
        <item x="14"/>
        <item x="484"/>
        <item x="152"/>
        <item x="174"/>
        <item x="84"/>
        <item x="57"/>
        <item x="7"/>
        <item x="43"/>
        <item x="144"/>
        <item x="467"/>
        <item x="94"/>
        <item x="545"/>
        <item x="747"/>
        <item x="342"/>
        <item x="67"/>
        <item x="743"/>
        <item x="469"/>
        <item x="593"/>
        <item x="871"/>
        <item x="889"/>
        <item x="715"/>
        <item x="470"/>
        <item x="178"/>
        <item x="793"/>
        <item x="882"/>
        <item x="79"/>
        <item x="274"/>
        <item x="92"/>
        <item x="12"/>
        <item x="728"/>
        <item x="651"/>
        <item x="401"/>
        <item x="832"/>
        <item x="677"/>
        <item x="858"/>
        <item x="866"/>
        <item x="434"/>
        <item x="566"/>
        <item x="718"/>
        <item x="288"/>
        <item x="121"/>
        <item x="388"/>
        <item x="403"/>
        <item x="659"/>
        <item x="445"/>
        <item x="473"/>
        <item x="82"/>
        <item x="381"/>
        <item x="460"/>
        <item x="530"/>
        <item x="294"/>
        <item x="774"/>
        <item x="791"/>
        <item x="37"/>
        <item x="647"/>
        <item x="54"/>
        <item x="532"/>
        <item x="622"/>
        <item x="712"/>
        <item x="336"/>
        <item x="632"/>
        <item x="544"/>
        <item x="411"/>
        <item x="815"/>
        <item x="808"/>
        <item x="474"/>
        <item x="826"/>
        <item x="335"/>
        <item x="592"/>
        <item x="195"/>
        <item x="153"/>
        <item x="255"/>
        <item x="809"/>
        <item x="368"/>
        <item x="505"/>
        <item x="4"/>
        <item x="510"/>
        <item x="433"/>
        <item x="806"/>
        <item x="404"/>
        <item x="244"/>
        <item x="372"/>
        <item x="383"/>
        <item x="508"/>
        <item x="455"/>
        <item x="290"/>
        <item x="557"/>
        <item x="439"/>
        <item x="773"/>
        <item x="132"/>
        <item x="705"/>
        <item x="278"/>
        <item x="731"/>
        <item x="685"/>
        <item x="230"/>
        <item x="158"/>
        <item x="293"/>
        <item x="24"/>
        <item x="1"/>
        <item x="47"/>
        <item t="default"/>
      </items>
    </pivotField>
    <pivotField showAll="0"/>
    <pivotField axis="axisRow" showAll="0">
      <items count="3">
        <item x="0"/>
        <item x="1"/>
        <item t="default"/>
      </items>
    </pivotField>
    <pivotField numFmtId="14" showAll="0">
      <items count="539">
        <item x="208"/>
        <item x="481"/>
        <item x="408"/>
        <item x="444"/>
        <item x="372"/>
        <item x="312"/>
        <item x="345"/>
        <item x="414"/>
        <item x="10"/>
        <item x="354"/>
        <item x="393"/>
        <item x="169"/>
        <item x="15"/>
        <item x="424"/>
        <item x="185"/>
        <item x="246"/>
        <item x="515"/>
        <item x="324"/>
        <item x="48"/>
        <item x="41"/>
        <item x="74"/>
        <item x="303"/>
        <item x="142"/>
        <item x="40"/>
        <item x="370"/>
        <item x="138"/>
        <item x="406"/>
        <item x="33"/>
        <item x="75"/>
        <item x="80"/>
        <item x="134"/>
        <item x="91"/>
        <item x="177"/>
        <item x="462"/>
        <item x="211"/>
        <item x="535"/>
        <item x="81"/>
        <item x="467"/>
        <item x="301"/>
        <item x="334"/>
        <item x="273"/>
        <item x="150"/>
        <item x="236"/>
        <item x="488"/>
        <item x="39"/>
        <item x="357"/>
        <item x="276"/>
        <item x="29"/>
        <item x="326"/>
        <item x="229"/>
        <item x="361"/>
        <item x="421"/>
        <item x="296"/>
        <item x="197"/>
        <item x="21"/>
        <item x="329"/>
        <item x="459"/>
        <item x="517"/>
        <item x="493"/>
        <item x="146"/>
        <item x="7"/>
        <item x="78"/>
        <item x="182"/>
        <item x="44"/>
        <item x="234"/>
        <item x="162"/>
        <item x="482"/>
        <item x="94"/>
        <item x="448"/>
        <item x="179"/>
        <item x="386"/>
        <item x="101"/>
        <item x="307"/>
        <item x="124"/>
        <item x="55"/>
        <item x="209"/>
        <item x="213"/>
        <item x="69"/>
        <item x="260"/>
        <item x="522"/>
        <item x="222"/>
        <item x="447"/>
        <item x="106"/>
        <item x="315"/>
        <item x="437"/>
        <item x="306"/>
        <item x="13"/>
        <item x="272"/>
        <item x="247"/>
        <item x="223"/>
        <item x="379"/>
        <item x="18"/>
        <item x="225"/>
        <item x="207"/>
        <item x="85"/>
        <item x="135"/>
        <item x="131"/>
        <item x="79"/>
        <item x="528"/>
        <item x="325"/>
        <item x="58"/>
        <item x="476"/>
        <item x="520"/>
        <item x="281"/>
        <item x="71"/>
        <item x="255"/>
        <item x="165"/>
        <item x="353"/>
        <item x="90"/>
        <item x="261"/>
        <item x="422"/>
        <item x="232"/>
        <item x="72"/>
        <item x="298"/>
        <item x="70"/>
        <item x="491"/>
        <item x="277"/>
        <item x="469"/>
        <item x="45"/>
        <item x="151"/>
        <item x="262"/>
        <item x="140"/>
        <item x="356"/>
        <item x="322"/>
        <item x="268"/>
        <item x="4"/>
        <item x="288"/>
        <item x="235"/>
        <item x="475"/>
        <item x="292"/>
        <item x="499"/>
        <item x="110"/>
        <item x="505"/>
        <item x="519"/>
        <item x="375"/>
        <item x="320"/>
        <item x="456"/>
        <item x="280"/>
        <item x="12"/>
        <item x="32"/>
        <item x="26"/>
        <item x="205"/>
        <item x="460"/>
        <item x="290"/>
        <item x="453"/>
        <item x="397"/>
        <item x="1"/>
        <item x="143"/>
        <item x="188"/>
        <item x="494"/>
        <item x="231"/>
        <item x="314"/>
        <item x="339"/>
        <item x="526"/>
        <item x="378"/>
        <item x="160"/>
        <item x="293"/>
        <item x="458"/>
        <item x="309"/>
        <item x="284"/>
        <item x="504"/>
        <item x="219"/>
        <item x="175"/>
        <item x="282"/>
        <item x="279"/>
        <item x="411"/>
        <item x="212"/>
        <item x="6"/>
        <item x="366"/>
        <item x="364"/>
        <item x="53"/>
        <item x="115"/>
        <item x="230"/>
        <item x="500"/>
        <item x="286"/>
        <item x="365"/>
        <item x="176"/>
        <item x="451"/>
        <item x="495"/>
        <item x="98"/>
        <item x="65"/>
        <item x="341"/>
        <item x="204"/>
        <item x="103"/>
        <item x="155"/>
        <item x="537"/>
        <item x="518"/>
        <item x="242"/>
        <item x="492"/>
        <item x="291"/>
        <item x="409"/>
        <item x="170"/>
        <item x="506"/>
        <item x="30"/>
        <item x="123"/>
        <item x="508"/>
        <item x="258"/>
        <item x="510"/>
        <item x="166"/>
        <item x="226"/>
        <item x="141"/>
        <item x="474"/>
        <item x="289"/>
        <item x="163"/>
        <item x="136"/>
        <item x="319"/>
        <item x="367"/>
        <item x="119"/>
        <item x="455"/>
        <item x="63"/>
        <item x="171"/>
        <item x="266"/>
        <item x="523"/>
        <item x="425"/>
        <item x="452"/>
        <item x="120"/>
        <item x="210"/>
        <item x="250"/>
        <item x="147"/>
        <item x="436"/>
        <item x="156"/>
        <item x="202"/>
        <item x="77"/>
        <item x="86"/>
        <item x="355"/>
        <item x="294"/>
        <item x="318"/>
        <item x="267"/>
        <item x="465"/>
        <item x="157"/>
        <item x="84"/>
        <item x="36"/>
        <item x="502"/>
        <item x="19"/>
        <item x="358"/>
        <item x="348"/>
        <item x="412"/>
        <item x="190"/>
        <item x="265"/>
        <item x="418"/>
        <item x="189"/>
        <item x="297"/>
        <item x="371"/>
        <item x="14"/>
        <item x="527"/>
        <item x="512"/>
        <item x="390"/>
        <item x="479"/>
        <item x="64"/>
        <item x="304"/>
        <item x="149"/>
        <item x="218"/>
        <item x="400"/>
        <item x="338"/>
        <item x="82"/>
        <item x="333"/>
        <item x="426"/>
        <item x="198"/>
        <item x="164"/>
        <item x="54"/>
        <item x="88"/>
        <item x="239"/>
        <item x="388"/>
        <item x="159"/>
        <item x="404"/>
        <item x="497"/>
        <item x="112"/>
        <item x="381"/>
        <item x="516"/>
        <item x="532"/>
        <item x="34"/>
        <item x="454"/>
        <item x="316"/>
        <item x="68"/>
        <item x="251"/>
        <item x="377"/>
        <item x="435"/>
        <item x="344"/>
        <item x="328"/>
        <item x="433"/>
        <item x="415"/>
        <item x="214"/>
        <item x="259"/>
        <item x="137"/>
        <item x="191"/>
        <item x="105"/>
        <item x="161"/>
        <item x="67"/>
        <item x="118"/>
        <item x="343"/>
        <item x="299"/>
        <item x="271"/>
        <item x="427"/>
        <item x="43"/>
        <item x="51"/>
        <item x="441"/>
        <item x="241"/>
        <item x="95"/>
        <item x="383"/>
        <item x="117"/>
        <item x="509"/>
        <item x="310"/>
        <item x="363"/>
        <item x="245"/>
        <item x="224"/>
        <item x="321"/>
        <item x="195"/>
        <item x="398"/>
        <item x="373"/>
        <item x="186"/>
        <item x="243"/>
        <item x="240"/>
        <item x="62"/>
        <item x="485"/>
        <item x="331"/>
        <item x="507"/>
        <item x="449"/>
        <item x="158"/>
        <item x="220"/>
        <item x="470"/>
        <item x="107"/>
        <item x="439"/>
        <item x="127"/>
        <item x="238"/>
        <item x="369"/>
        <item x="99"/>
        <item x="16"/>
        <item x="308"/>
        <item x="380"/>
        <item x="295"/>
        <item x="432"/>
        <item x="395"/>
        <item x="278"/>
        <item x="359"/>
        <item x="531"/>
        <item x="405"/>
        <item x="173"/>
        <item x="269"/>
        <item x="340"/>
        <item x="335"/>
        <item x="60"/>
        <item x="529"/>
        <item x="129"/>
        <item x="89"/>
        <item x="429"/>
        <item x="233"/>
        <item x="385"/>
        <item x="152"/>
        <item x="217"/>
        <item x="468"/>
        <item x="203"/>
        <item x="249"/>
        <item x="323"/>
        <item x="192"/>
        <item x="287"/>
        <item x="533"/>
        <item x="130"/>
        <item x="346"/>
        <item x="478"/>
        <item x="97"/>
        <item x="483"/>
        <item x="360"/>
        <item x="23"/>
        <item x="285"/>
        <item x="256"/>
        <item x="254"/>
        <item x="196"/>
        <item x="52"/>
        <item x="116"/>
        <item x="20"/>
        <item x="263"/>
        <item x="28"/>
        <item x="174"/>
        <item x="178"/>
        <item x="450"/>
        <item x="133"/>
        <item x="73"/>
        <item x="300"/>
        <item x="2"/>
        <item x="438"/>
        <item x="442"/>
        <item x="302"/>
        <item x="59"/>
        <item x="413"/>
        <item x="394"/>
        <item x="368"/>
        <item x="17"/>
        <item x="534"/>
        <item x="49"/>
        <item x="50"/>
        <item x="391"/>
        <item x="332"/>
        <item x="184"/>
        <item x="180"/>
        <item x="42"/>
        <item x="22"/>
        <item x="8"/>
        <item x="503"/>
        <item x="466"/>
        <item x="87"/>
        <item x="215"/>
        <item x="275"/>
        <item x="83"/>
        <item x="403"/>
        <item x="536"/>
        <item x="92"/>
        <item x="477"/>
        <item x="514"/>
        <item x="430"/>
        <item x="420"/>
        <item x="253"/>
        <item x="38"/>
        <item x="24"/>
        <item x="200"/>
        <item x="104"/>
        <item x="248"/>
        <item x="187"/>
        <item x="121"/>
        <item x="167"/>
        <item x="416"/>
        <item x="201"/>
        <item x="374"/>
        <item x="472"/>
        <item x="31"/>
        <item x="498"/>
        <item x="431"/>
        <item x="342"/>
        <item x="9"/>
        <item x="46"/>
        <item x="419"/>
        <item x="392"/>
        <item x="407"/>
        <item x="489"/>
        <item x="132"/>
        <item x="313"/>
        <item x="511"/>
        <item x="139"/>
        <item x="66"/>
        <item x="317"/>
        <item x="382"/>
        <item x="193"/>
        <item x="109"/>
        <item x="37"/>
        <item x="487"/>
        <item x="168"/>
        <item x="423"/>
        <item x="145"/>
        <item x="181"/>
        <item x="440"/>
        <item x="237"/>
        <item x="352"/>
        <item x="396"/>
        <item x="252"/>
        <item x="330"/>
        <item x="530"/>
        <item x="114"/>
        <item x="113"/>
        <item x="227"/>
        <item x="471"/>
        <item x="387"/>
        <item x="496"/>
        <item x="417"/>
        <item x="172"/>
        <item x="125"/>
        <item x="389"/>
        <item x="445"/>
        <item x="490"/>
        <item x="362"/>
        <item x="434"/>
        <item x="486"/>
        <item x="480"/>
        <item x="401"/>
        <item x="57"/>
        <item x="457"/>
        <item x="56"/>
        <item x="206"/>
        <item x="3"/>
        <item x="513"/>
        <item x="128"/>
        <item x="102"/>
        <item x="464"/>
        <item x="194"/>
        <item x="153"/>
        <item x="264"/>
        <item x="257"/>
        <item x="446"/>
        <item x="461"/>
        <item x="463"/>
        <item x="384"/>
        <item x="61"/>
        <item x="100"/>
        <item x="410"/>
        <item x="228"/>
        <item x="96"/>
        <item x="327"/>
        <item x="111"/>
        <item x="524"/>
        <item x="311"/>
        <item x="221"/>
        <item x="244"/>
        <item x="25"/>
        <item x="144"/>
        <item x="443"/>
        <item x="351"/>
        <item x="376"/>
        <item x="305"/>
        <item x="347"/>
        <item x="0"/>
        <item x="336"/>
        <item x="428"/>
        <item x="27"/>
        <item x="337"/>
        <item x="399"/>
        <item x="126"/>
        <item x="525"/>
        <item x="501"/>
        <item x="349"/>
        <item x="5"/>
        <item x="154"/>
        <item x="484"/>
        <item x="47"/>
        <item x="270"/>
        <item x="521"/>
        <item x="183"/>
        <item x="76"/>
        <item x="350"/>
        <item x="108"/>
        <item x="473"/>
        <item x="274"/>
        <item x="122"/>
        <item x="35"/>
        <item x="148"/>
        <item x="216"/>
        <item x="11"/>
        <item x="93"/>
        <item x="283"/>
        <item x="199"/>
        <item x="402"/>
        <item t="default"/>
      </items>
    </pivotField>
    <pivotField showAll="0"/>
    <pivotField showAll="0"/>
    <pivotField showAll="0"/>
    <pivotField showAll="0"/>
    <pivotField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21"/>
    <field x="10"/>
  </rowFields>
  <rowItems count="7">
    <i>
      <x v="1"/>
    </i>
    <i r="1">
      <x/>
    </i>
    <i r="1">
      <x v="1"/>
    </i>
    <i>
      <x v="2"/>
    </i>
    <i r="1">
      <x/>
    </i>
    <i r="1">
      <x v="1"/>
    </i>
    <i t="grand">
      <x/>
    </i>
  </rowItems>
  <colFields count="1">
    <field x="-2"/>
  </colFields>
  <colItems count="2">
    <i>
      <x/>
    </i>
    <i i="1">
      <x v="1"/>
    </i>
  </colItems>
  <dataFields count="2">
    <dataField name="Sum of Sales_CLEAN" fld="17" baseField="0" baseItem="0"/>
    <dataField name="Sum of Profit_CLEAN" fld="18" baseField="0" baseItem="0"/>
  </dataFields>
  <formats count="1">
    <format dxfId="25">
      <pivotArea dataOnly="0" grandRow="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3">
          <reference field="4294967294" count="1" selected="0">
            <x v="1"/>
          </reference>
          <reference field="10" count="1" selected="0">
            <x v="1"/>
          </reference>
          <reference field="21" count="1" selected="0">
            <x v="2"/>
          </reference>
        </references>
      </pivotArea>
    </chartFormat>
    <chartFormat chart="0" format="3">
      <pivotArea type="data" outline="0" fieldPosition="0">
        <references count="3">
          <reference field="4294967294" count="1" selected="0">
            <x v="1"/>
          </reference>
          <reference field="10" count="1" selected="0">
            <x v="0"/>
          </reference>
          <reference field="21" count="1" selected="0">
            <x v="2"/>
          </reference>
        </references>
      </pivotArea>
    </chartFormat>
    <chartFormat chart="0" format="4">
      <pivotArea type="data" outline="0" fieldPosition="0">
        <references count="3">
          <reference field="4294967294" count="1" selected="0">
            <x v="1"/>
          </reference>
          <reference field="10" count="1" selected="0">
            <x v="1"/>
          </reference>
          <reference field="21" count="1" selected="0">
            <x v="1"/>
          </reference>
        </references>
      </pivotArea>
    </chartFormat>
    <chartFormat chart="0" format="5">
      <pivotArea type="data" outline="0" fieldPosition="0">
        <references count="3">
          <reference field="4294967294" count="1" selected="0">
            <x v="1"/>
          </reference>
          <reference field="10"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0EA2DE-2577-4A48-B155-B321DD679E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C9" firstHeaderRow="0" firstDataRow="1" firstDataCol="1"/>
  <pivotFields count="22">
    <pivotField showAll="0"/>
    <pivotField showAll="0"/>
    <pivotField showAll="0">
      <items count="773">
        <item x="43"/>
        <item x="357"/>
        <item x="286"/>
        <item x="315"/>
        <item x="2"/>
        <item x="234"/>
        <item x="254"/>
        <item x="732"/>
        <item x="318"/>
        <item x="614"/>
        <item x="519"/>
        <item x="471"/>
        <item x="658"/>
        <item x="347"/>
        <item x="113"/>
        <item x="151"/>
        <item x="167"/>
        <item x="37"/>
        <item x="635"/>
        <item x="242"/>
        <item x="216"/>
        <item x="470"/>
        <item x="384"/>
        <item x="588"/>
        <item x="49"/>
        <item x="476"/>
        <item x="349"/>
        <item x="405"/>
        <item x="467"/>
        <item x="638"/>
        <item x="525"/>
        <item x="462"/>
        <item x="708"/>
        <item x="421"/>
        <item x="387"/>
        <item x="294"/>
        <item x="50"/>
        <item x="367"/>
        <item x="586"/>
        <item x="230"/>
        <item x="539"/>
        <item x="496"/>
        <item x="67"/>
        <item x="15"/>
        <item x="682"/>
        <item x="760"/>
        <item x="393"/>
        <item x="41"/>
        <item x="258"/>
        <item x="514"/>
        <item x="326"/>
        <item x="219"/>
        <item x="493"/>
        <item x="12"/>
        <item x="38"/>
        <item x="302"/>
        <item x="621"/>
        <item x="690"/>
        <item x="767"/>
        <item x="565"/>
        <item x="460"/>
        <item x="136"/>
        <item x="672"/>
        <item x="32"/>
        <item x="378"/>
        <item x="169"/>
        <item x="143"/>
        <item x="487"/>
        <item x="561"/>
        <item x="629"/>
        <item x="567"/>
        <item x="686"/>
        <item x="754"/>
        <item x="223"/>
        <item x="513"/>
        <item x="771"/>
        <item x="101"/>
        <item x="748"/>
        <item x="615"/>
        <item x="129"/>
        <item x="602"/>
        <item x="3"/>
        <item x="434"/>
        <item x="726"/>
        <item x="250"/>
        <item x="683"/>
        <item x="320"/>
        <item x="723"/>
        <item x="99"/>
        <item x="536"/>
        <item x="745"/>
        <item x="76"/>
        <item x="578"/>
        <item x="103"/>
        <item x="106"/>
        <item x="256"/>
        <item x="147"/>
        <item x="36"/>
        <item x="297"/>
        <item x="191"/>
        <item x="704"/>
        <item x="646"/>
        <item x="724"/>
        <item x="140"/>
        <item x="364"/>
        <item x="439"/>
        <item x="526"/>
        <item x="763"/>
        <item x="317"/>
        <item x="72"/>
        <item x="582"/>
        <item x="656"/>
        <item x="472"/>
        <item x="541"/>
        <item x="610"/>
        <item x="66"/>
        <item x="601"/>
        <item x="710"/>
        <item x="222"/>
        <item x="133"/>
        <item x="366"/>
        <item x="642"/>
        <item x="348"/>
        <item x="687"/>
        <item x="464"/>
        <item x="450"/>
        <item x="729"/>
        <item x="321"/>
        <item x="344"/>
        <item x="545"/>
        <item x="473"/>
        <item x="377"/>
        <item x="206"/>
        <item x="184"/>
        <item x="733"/>
        <item x="126"/>
        <item x="479"/>
        <item x="446"/>
        <item x="663"/>
        <item x="540"/>
        <item x="576"/>
        <item x="611"/>
        <item x="418"/>
        <item x="424"/>
        <item x="279"/>
        <item x="182"/>
        <item x="482"/>
        <item x="574"/>
        <item x="528"/>
        <item x="305"/>
        <item x="22"/>
        <item x="183"/>
        <item x="497"/>
        <item x="728"/>
        <item x="280"/>
        <item x="624"/>
        <item x="89"/>
        <item x="246"/>
        <item x="702"/>
        <item x="257"/>
        <item x="150"/>
        <item x="57"/>
        <item x="342"/>
        <item x="501"/>
        <item x="365"/>
        <item x="293"/>
        <item x="750"/>
        <item x="80"/>
        <item x="290"/>
        <item x="1"/>
        <item x="530"/>
        <item x="157"/>
        <item x="543"/>
        <item x="636"/>
        <item x="612"/>
        <item x="227"/>
        <item x="619"/>
        <item x="102"/>
        <item x="260"/>
        <item x="562"/>
        <item x="423"/>
        <item x="240"/>
        <item x="692"/>
        <item x="226"/>
        <item x="756"/>
        <item x="570"/>
        <item x="309"/>
        <item x="14"/>
        <item x="551"/>
        <item x="64"/>
        <item x="412"/>
        <item x="245"/>
        <item x="354"/>
        <item x="310"/>
        <item x="749"/>
        <item x="389"/>
        <item x="152"/>
        <item x="755"/>
        <item x="594"/>
        <item x="620"/>
        <item x="641"/>
        <item x="486"/>
        <item x="202"/>
        <item x="639"/>
        <item x="743"/>
        <item x="159"/>
        <item x="444"/>
        <item x="215"/>
        <item x="764"/>
        <item x="645"/>
        <item x="388"/>
        <item x="568"/>
        <item x="705"/>
        <item x="303"/>
        <item x="394"/>
        <item x="313"/>
        <item x="466"/>
        <item x="667"/>
        <item x="217"/>
        <item x="422"/>
        <item x="123"/>
        <item x="352"/>
        <item x="287"/>
        <item x="4"/>
        <item x="677"/>
        <item x="265"/>
        <item x="209"/>
        <item x="435"/>
        <item x="552"/>
        <item x="587"/>
        <item x="518"/>
        <item x="299"/>
        <item x="512"/>
        <item x="608"/>
        <item x="685"/>
        <item x="468"/>
        <item x="193"/>
        <item x="569"/>
        <item x="643"/>
        <item x="669"/>
        <item x="737"/>
        <item x="248"/>
        <item x="478"/>
        <item x="650"/>
        <item x="10"/>
        <item x="714"/>
        <item x="542"/>
        <item x="697"/>
        <item x="48"/>
        <item x="432"/>
        <item x="362"/>
        <item x="194"/>
        <item x="409"/>
        <item x="627"/>
        <item x="363"/>
        <item x="443"/>
        <item x="395"/>
        <item x="263"/>
        <item x="489"/>
        <item x="345"/>
        <item x="269"/>
        <item x="371"/>
        <item x="13"/>
        <item x="560"/>
        <item x="58"/>
        <item x="71"/>
        <item x="296"/>
        <item x="537"/>
        <item x="70"/>
        <item x="448"/>
        <item x="442"/>
        <item x="622"/>
        <item x="759"/>
        <item x="503"/>
        <item x="765"/>
        <item x="295"/>
        <item x="456"/>
        <item x="454"/>
        <item x="118"/>
        <item x="679"/>
        <item x="438"/>
        <item x="689"/>
        <item x="346"/>
        <item x="187"/>
        <item x="212"/>
        <item x="176"/>
        <item x="175"/>
        <item x="458"/>
        <item x="335"/>
        <item x="188"/>
        <item x="125"/>
        <item x="78"/>
        <item x="706"/>
        <item x="703"/>
        <item x="709"/>
        <item x="691"/>
        <item x="210"/>
        <item x="160"/>
        <item x="413"/>
        <item x="83"/>
        <item x="664"/>
        <item x="554"/>
        <item x="684"/>
        <item x="34"/>
        <item x="596"/>
        <item x="381"/>
        <item x="68"/>
        <item x="731"/>
        <item x="549"/>
        <item x="504"/>
        <item x="170"/>
        <item x="406"/>
        <item x="110"/>
        <item x="433"/>
        <item x="16"/>
        <item x="407"/>
        <item x="60"/>
        <item x="747"/>
        <item x="517"/>
        <item x="553"/>
        <item x="630"/>
        <item x="229"/>
        <item x="626"/>
        <item x="137"/>
        <item x="426"/>
        <item x="557"/>
        <item x="119"/>
        <item x="391"/>
        <item x="590"/>
        <item x="498"/>
        <item x="17"/>
        <item x="766"/>
        <item x="403"/>
        <item x="197"/>
        <item x="324"/>
        <item x="84"/>
        <item x="698"/>
        <item x="739"/>
        <item x="676"/>
        <item x="225"/>
        <item x="559"/>
        <item x="605"/>
        <item x="670"/>
        <item x="546"/>
        <item x="198"/>
        <item x="356"/>
        <item x="746"/>
        <item x="400"/>
        <item x="259"/>
        <item x="680"/>
        <item x="531"/>
        <item x="385"/>
        <item x="211"/>
        <item x="488"/>
        <item x="566"/>
        <item x="666"/>
        <item x="508"/>
        <item x="644"/>
        <item x="325"/>
        <item x="661"/>
        <item x="507"/>
        <item x="521"/>
        <item x="483"/>
        <item x="281"/>
        <item x="469"/>
        <item x="47"/>
        <item x="431"/>
        <item x="201"/>
        <item x="353"/>
        <item x="292"/>
        <item x="334"/>
        <item x="414"/>
        <item x="156"/>
        <item x="94"/>
        <item x="762"/>
        <item x="172"/>
        <item x="9"/>
        <item x="253"/>
        <item x="577"/>
        <item x="148"/>
        <item x="284"/>
        <item x="511"/>
        <item x="322"/>
        <item x="199"/>
        <item x="251"/>
        <item x="550"/>
        <item x="516"/>
        <item x="563"/>
        <item x="161"/>
        <item x="44"/>
        <item x="200"/>
        <item x="436"/>
        <item x="27"/>
        <item x="11"/>
        <item x="122"/>
        <item x="91"/>
        <item x="617"/>
        <item x="163"/>
        <item x="441"/>
        <item x="181"/>
        <item x="18"/>
        <item x="337"/>
        <item x="495"/>
        <item x="618"/>
        <item x="375"/>
        <item x="515"/>
        <item x="351"/>
        <item x="453"/>
        <item x="221"/>
        <item x="461"/>
        <item x="534"/>
        <item x="247"/>
        <item x="312"/>
        <item x="445"/>
        <item x="192"/>
        <item x="529"/>
        <item x="662"/>
        <item x="26"/>
        <item x="195"/>
        <item x="548"/>
        <item x="360"/>
        <item x="564"/>
        <item x="741"/>
        <item x="301"/>
        <item x="634"/>
        <item x="522"/>
        <item x="768"/>
        <item x="178"/>
        <item x="45"/>
        <item x="177"/>
        <item x="452"/>
        <item x="358"/>
        <item x="189"/>
        <item x="235"/>
        <item x="652"/>
        <item x="736"/>
        <item x="751"/>
        <item x="527"/>
        <item x="591"/>
        <item x="440"/>
        <item x="186"/>
        <item x="204"/>
        <item x="283"/>
        <item x="717"/>
        <item x="73"/>
        <item x="75"/>
        <item x="675"/>
        <item x="40"/>
        <item x="678"/>
        <item x="146"/>
        <item x="33"/>
        <item x="609"/>
        <item x="81"/>
        <item x="141"/>
        <item x="92"/>
        <item x="262"/>
        <item x="616"/>
        <item x="238"/>
        <item x="82"/>
        <item x="361"/>
        <item x="623"/>
        <item x="271"/>
        <item x="668"/>
        <item x="39"/>
        <item x="606"/>
        <item x="29"/>
        <item x="474"/>
        <item x="598"/>
        <item x="535"/>
        <item x="21"/>
        <item x="399"/>
        <item x="719"/>
        <item x="674"/>
        <item x="7"/>
        <item x="79"/>
        <item x="402"/>
        <item x="174"/>
        <item x="653"/>
        <item x="96"/>
        <item x="196"/>
        <item x="484"/>
        <item x="130"/>
        <item x="55"/>
        <item x="236"/>
        <item x="69"/>
        <item x="744"/>
        <item x="109"/>
        <item x="380"/>
        <item x="572"/>
        <item x="370"/>
        <item x="408"/>
        <item x="437"/>
        <item x="255"/>
        <item x="233"/>
        <item x="86"/>
        <item x="142"/>
        <item x="138"/>
        <item x="742"/>
        <item x="659"/>
        <item x="343"/>
        <item x="332"/>
        <item x="179"/>
        <item x="490"/>
        <item x="304"/>
        <item x="558"/>
        <item x="266"/>
        <item x="510"/>
        <item x="316"/>
        <item x="327"/>
        <item x="631"/>
        <item x="120"/>
        <item x="162"/>
        <item x="149"/>
        <item x="571"/>
        <item x="336"/>
        <item x="341"/>
        <item x="270"/>
        <item x="398"/>
        <item x="699"/>
        <item x="721"/>
        <item x="386"/>
        <item x="603"/>
        <item x="331"/>
        <item x="231"/>
        <item x="595"/>
        <item x="429"/>
        <item x="208"/>
        <item x="722"/>
        <item x="379"/>
        <item x="415"/>
        <item x="613"/>
        <item x="373"/>
        <item x="350"/>
        <item x="607"/>
        <item x="374"/>
        <item x="583"/>
        <item x="695"/>
        <item x="333"/>
        <item x="330"/>
        <item x="523"/>
        <item x="239"/>
        <item x="6"/>
        <item x="544"/>
        <item x="53"/>
        <item x="264"/>
        <item x="688"/>
        <item x="339"/>
        <item x="455"/>
        <item x="425"/>
        <item x="593"/>
        <item x="100"/>
        <item x="65"/>
        <item x="105"/>
        <item x="770"/>
        <item x="720"/>
        <item x="278"/>
        <item x="673"/>
        <item x="520"/>
        <item x="392"/>
        <item x="700"/>
        <item x="30"/>
        <item x="128"/>
        <item x="300"/>
        <item x="180"/>
        <item x="491"/>
        <item x="640"/>
        <item x="524"/>
        <item x="144"/>
        <item x="124"/>
        <item x="599"/>
        <item x="63"/>
        <item x="417"/>
        <item x="311"/>
        <item x="657"/>
        <item x="237"/>
        <item x="288"/>
        <item x="158"/>
        <item x="168"/>
        <item x="475"/>
        <item x="87"/>
        <item x="383"/>
        <item x="592"/>
        <item x="85"/>
        <item x="19"/>
        <item x="428"/>
        <item x="220"/>
        <item x="532"/>
        <item x="355"/>
        <item x="740"/>
        <item x="712"/>
        <item x="492"/>
        <item x="649"/>
        <item x="693"/>
        <item x="368"/>
        <item x="556"/>
        <item x="506"/>
        <item x="597"/>
        <item x="107"/>
        <item x="404"/>
        <item x="547"/>
        <item x="628"/>
        <item x="54"/>
        <item x="261"/>
        <item x="275"/>
        <item x="171"/>
        <item x="115"/>
        <item x="500"/>
        <item x="718"/>
        <item x="757"/>
        <item x="289"/>
        <item x="397"/>
        <item x="241"/>
        <item x="145"/>
        <item x="213"/>
        <item x="108"/>
        <item x="173"/>
        <item x="307"/>
        <item x="228"/>
        <item x="420"/>
        <item x="359"/>
        <item x="319"/>
        <item x="272"/>
        <item x="51"/>
        <item x="734"/>
        <item x="277"/>
        <item x="97"/>
        <item x="480"/>
        <item x="707"/>
        <item x="282"/>
        <item x="252"/>
        <item x="218"/>
        <item x="465"/>
        <item x="276"/>
        <item x="62"/>
        <item x="665"/>
        <item x="401"/>
        <item x="701"/>
        <item x="589"/>
        <item x="451"/>
        <item x="632"/>
        <item x="575"/>
        <item x="134"/>
        <item x="274"/>
        <item x="372"/>
        <item x="477"/>
        <item x="752"/>
        <item x="499"/>
        <item x="329"/>
        <item x="447"/>
        <item x="190"/>
        <item x="314"/>
        <item x="416"/>
        <item x="761"/>
        <item x="90"/>
        <item x="268"/>
        <item x="164"/>
        <item x="244"/>
        <item x="494"/>
        <item x="390"/>
        <item x="214"/>
        <item x="340"/>
        <item x="758"/>
        <item x="738"/>
        <item x="648"/>
        <item x="696"/>
        <item x="449"/>
        <item x="23"/>
        <item x="338"/>
        <item x="298"/>
        <item x="681"/>
        <item x="52"/>
        <item x="20"/>
        <item x="306"/>
        <item x="28"/>
        <item x="74"/>
        <item x="463"/>
        <item x="573"/>
        <item x="579"/>
        <item x="59"/>
        <item x="459"/>
        <item x="727"/>
        <item x="715"/>
        <item x="203"/>
        <item x="42"/>
        <item x="660"/>
        <item x="8"/>
        <item x="625"/>
        <item x="88"/>
        <item x="538"/>
        <item x="267"/>
        <item x="769"/>
        <item x="93"/>
        <item x="647"/>
        <item x="716"/>
        <item x="555"/>
        <item x="24"/>
        <item x="285"/>
        <item x="207"/>
        <item x="600"/>
        <item x="580"/>
        <item x="637"/>
        <item x="31"/>
        <item x="419"/>
        <item x="46"/>
        <item x="533"/>
        <item x="694"/>
        <item x="139"/>
        <item x="711"/>
        <item x="153"/>
        <item x="382"/>
        <item x="112"/>
        <item x="121"/>
        <item x="185"/>
        <item x="155"/>
        <item x="273"/>
        <item x="502"/>
        <item x="291"/>
        <item x="753"/>
        <item x="117"/>
        <item x="116"/>
        <item x="633"/>
        <item x="485"/>
        <item x="131"/>
        <item x="584"/>
        <item x="671"/>
        <item x="651"/>
        <item x="328"/>
        <item x="604"/>
        <item x="56"/>
        <item x="232"/>
        <item x="713"/>
        <item x="135"/>
        <item x="104"/>
        <item x="165"/>
        <item x="308"/>
        <item x="585"/>
        <item x="655"/>
        <item x="481"/>
        <item x="61"/>
        <item x="98"/>
        <item x="396"/>
        <item x="114"/>
        <item x="730"/>
        <item x="376"/>
        <item x="249"/>
        <item x="410"/>
        <item x="25"/>
        <item x="154"/>
        <item x="581"/>
        <item x="369"/>
        <item x="427"/>
        <item x="0"/>
        <item x="411"/>
        <item x="457"/>
        <item x="505"/>
        <item x="132"/>
        <item x="735"/>
        <item x="430"/>
        <item x="5"/>
        <item x="166"/>
        <item x="725"/>
        <item x="654"/>
        <item x="77"/>
        <item x="111"/>
        <item x="323"/>
        <item x="127"/>
        <item x="35"/>
        <item x="205"/>
        <item x="243"/>
        <item x="95"/>
        <item x="224"/>
        <item x="509"/>
        <item t="default"/>
      </items>
    </pivotField>
    <pivotField showAll="0"/>
    <pivotField showAll="0"/>
    <pivotField showAll="0"/>
    <pivotField showAll="0"/>
    <pivotField showAll="0"/>
    <pivotField showAll="0">
      <items count="900">
        <item x="328"/>
        <item x="350"/>
        <item x="9"/>
        <item x="762"/>
        <item x="656"/>
        <item x="499"/>
        <item x="270"/>
        <item x="554"/>
        <item x="249"/>
        <item x="347"/>
        <item x="493"/>
        <item x="489"/>
        <item x="367"/>
        <item x="18"/>
        <item x="697"/>
        <item x="600"/>
        <item x="438"/>
        <item x="883"/>
        <item x="608"/>
        <item x="62"/>
        <item x="843"/>
        <item x="181"/>
        <item x="251"/>
        <item x="315"/>
        <item x="417"/>
        <item x="124"/>
        <item x="541"/>
        <item x="440"/>
        <item x="603"/>
        <item x="629"/>
        <item x="615"/>
        <item x="55"/>
        <item x="711"/>
        <item x="464"/>
        <item x="575"/>
        <item x="719"/>
        <item x="68"/>
        <item x="280"/>
        <item x="583"/>
        <item x="729"/>
        <item x="649"/>
        <item x="115"/>
        <item x="876"/>
        <item x="700"/>
        <item x="855"/>
        <item x="38"/>
        <item x="22"/>
        <item x="239"/>
        <item x="252"/>
        <item x="570"/>
        <item x="740"/>
        <item x="326"/>
        <item x="305"/>
        <item x="317"/>
        <item x="898"/>
        <item x="137"/>
        <item x="344"/>
        <item x="796"/>
        <item x="320"/>
        <item x="491"/>
        <item x="375"/>
        <item x="387"/>
        <item x="805"/>
        <item x="870"/>
        <item x="3"/>
        <item x="534"/>
        <item x="295"/>
        <item x="819"/>
        <item x="207"/>
        <item x="845"/>
        <item x="253"/>
        <item x="851"/>
        <item x="867"/>
        <item x="361"/>
        <item x="277"/>
        <item x="591"/>
        <item x="34"/>
        <item x="405"/>
        <item x="652"/>
        <item x="118"/>
        <item x="760"/>
        <item x="13"/>
        <item x="861"/>
        <item x="764"/>
        <item x="228"/>
        <item x="683"/>
        <item x="769"/>
        <item x="674"/>
        <item x="246"/>
        <item x="717"/>
        <item x="804"/>
        <item x="170"/>
        <item x="671"/>
        <item x="162"/>
        <item x="513"/>
        <item x="466"/>
        <item x="516"/>
        <item x="364"/>
        <item x="127"/>
        <item x="242"/>
        <item x="396"/>
        <item x="146"/>
        <item x="605"/>
        <item x="45"/>
        <item x="626"/>
        <item x="191"/>
        <item x="220"/>
        <item x="233"/>
        <item x="829"/>
        <item x="515"/>
        <item x="165"/>
        <item x="399"/>
        <item x="453"/>
        <item x="436"/>
        <item x="337"/>
        <item x="141"/>
        <item x="160"/>
        <item x="415"/>
        <item x="384"/>
        <item x="180"/>
        <item x="71"/>
        <item x="520"/>
        <item x="271"/>
        <item x="157"/>
        <item x="588"/>
        <item x="602"/>
        <item x="276"/>
        <item x="616"/>
        <item x="691"/>
        <item x="214"/>
        <item x="63"/>
        <item x="459"/>
        <item x="0"/>
        <item x="886"/>
        <item x="553"/>
        <item x="556"/>
        <item x="820"/>
        <item x="348"/>
        <item x="644"/>
        <item x="710"/>
        <item x="636"/>
        <item x="581"/>
        <item x="653"/>
        <item x="222"/>
        <item x="880"/>
        <item x="723"/>
        <item x="327"/>
        <item x="435"/>
        <item x="658"/>
        <item x="446"/>
        <item x="103"/>
        <item x="673"/>
        <item x="31"/>
        <item x="623"/>
        <item x="590"/>
        <item x="185"/>
        <item x="177"/>
        <item x="667"/>
        <item x="409"/>
        <item x="422"/>
        <item x="145"/>
        <item x="59"/>
        <item x="143"/>
        <item x="122"/>
        <item x="799"/>
        <item x="126"/>
        <item x="857"/>
        <item x="108"/>
        <item x="78"/>
        <item x="156"/>
        <item x="432"/>
        <item x="803"/>
        <item x="618"/>
        <item x="620"/>
        <item x="120"/>
        <item x="692"/>
        <item x="573"/>
        <item x="229"/>
        <item x="234"/>
        <item x="624"/>
        <item x="334"/>
        <item x="198"/>
        <item x="150"/>
        <item x="721"/>
        <item x="168"/>
        <item x="735"/>
        <item x="869"/>
        <item x="739"/>
        <item x="192"/>
        <item x="186"/>
        <item x="744"/>
        <item x="23"/>
        <item x="241"/>
        <item x="578"/>
        <item x="299"/>
        <item x="314"/>
        <item x="6"/>
        <item x="359"/>
        <item x="418"/>
        <item x="116"/>
        <item x="16"/>
        <item x="836"/>
        <item x="188"/>
        <item x="297"/>
        <item x="448"/>
        <item x="604"/>
        <item x="104"/>
        <item x="202"/>
        <item x="635"/>
        <item x="601"/>
        <item x="818"/>
        <item x="486"/>
        <item x="822"/>
        <item x="538"/>
        <item x="128"/>
        <item x="825"/>
        <item x="261"/>
        <item x="218"/>
        <item x="784"/>
        <item x="702"/>
        <item x="831"/>
        <item x="210"/>
        <item x="893"/>
        <item x="550"/>
        <item x="613"/>
        <item x="862"/>
        <item x="839"/>
        <item x="648"/>
        <item x="264"/>
        <item x="318"/>
        <item x="679"/>
        <item x="666"/>
        <item x="842"/>
        <item x="204"/>
        <item x="406"/>
        <item x="339"/>
        <item x="338"/>
        <item x="201"/>
        <item x="569"/>
        <item x="780"/>
        <item x="379"/>
        <item x="750"/>
        <item x="15"/>
        <item x="669"/>
        <item x="285"/>
        <item x="123"/>
        <item x="766"/>
        <item x="33"/>
        <item x="154"/>
        <item x="281"/>
        <item x="48"/>
        <item x="138"/>
        <item x="688"/>
        <item x="431"/>
        <item x="483"/>
        <item x="212"/>
        <item x="835"/>
        <item x="841"/>
        <item x="892"/>
        <item x="452"/>
        <item x="69"/>
        <item x="650"/>
        <item x="101"/>
        <item x="612"/>
        <item x="182"/>
        <item x="449"/>
        <item x="709"/>
        <item x="814"/>
        <item x="888"/>
        <item x="684"/>
        <item x="495"/>
        <item x="175"/>
        <item x="21"/>
        <item x="410"/>
        <item x="366"/>
        <item x="525"/>
        <item x="179"/>
        <item x="777"/>
        <item x="267"/>
        <item x="706"/>
        <item x="531"/>
        <item x="872"/>
        <item x="231"/>
        <item x="824"/>
        <item x="236"/>
        <item x="790"/>
        <item x="167"/>
        <item x="833"/>
        <item x="97"/>
        <item x="296"/>
        <item x="196"/>
        <item x="424"/>
        <item x="377"/>
        <item x="745"/>
        <item x="788"/>
        <item x="77"/>
        <item x="331"/>
        <item x="802"/>
        <item x="42"/>
        <item x="783"/>
        <item x="875"/>
        <item x="194"/>
        <item x="119"/>
        <item x="509"/>
        <item x="258"/>
        <item x="275"/>
        <item x="10"/>
        <item x="727"/>
        <item x="741"/>
        <item x="757"/>
        <item x="859"/>
        <item x="546"/>
        <item x="363"/>
        <item x="20"/>
        <item x="707"/>
        <item x="155"/>
        <item x="208"/>
        <item x="475"/>
        <item x="105"/>
        <item x="887"/>
        <item x="722"/>
        <item x="392"/>
        <item x="98"/>
        <item x="646"/>
        <item x="639"/>
        <item x="638"/>
        <item x="8"/>
        <item x="878"/>
        <item x="849"/>
        <item x="365"/>
        <item x="703"/>
        <item x="641"/>
        <item x="660"/>
        <item x="85"/>
        <item x="662"/>
        <item x="426"/>
        <item x="427"/>
        <item x="357"/>
        <item x="631"/>
        <item x="171"/>
        <item x="897"/>
        <item x="421"/>
        <item x="672"/>
        <item x="245"/>
        <item x="262"/>
        <item x="472"/>
        <item x="322"/>
        <item x="102"/>
        <item x="240"/>
        <item x="501"/>
        <item x="40"/>
        <item x="352"/>
        <item x="412"/>
        <item x="259"/>
        <item x="846"/>
        <item x="420"/>
        <item x="283"/>
        <item x="704"/>
        <item x="247"/>
        <item x="682"/>
        <item x="86"/>
        <item x="74"/>
        <item x="96"/>
        <item x="481"/>
        <item x="325"/>
        <item x="536"/>
        <item x="323"/>
        <item x="696"/>
        <item x="552"/>
        <item x="572"/>
        <item x="634"/>
        <item x="457"/>
        <item x="169"/>
        <item x="468"/>
        <item x="827"/>
        <item x="865"/>
        <item x="66"/>
        <item x="394"/>
        <item x="184"/>
        <item x="693"/>
        <item x="461"/>
        <item x="542"/>
        <item x="248"/>
        <item x="308"/>
        <item x="732"/>
        <item x="787"/>
        <item x="496"/>
        <item x="506"/>
        <item x="482"/>
        <item x="163"/>
        <item x="807"/>
        <item x="759"/>
        <item x="324"/>
        <item x="61"/>
        <item x="382"/>
        <item x="801"/>
        <item x="87"/>
        <item x="699"/>
        <item x="312"/>
        <item x="256"/>
        <item x="540"/>
        <item x="471"/>
        <item x="166"/>
        <item x="112"/>
        <item x="391"/>
        <item x="786"/>
        <item x="64"/>
        <item x="311"/>
        <item x="430"/>
        <item x="407"/>
        <item x="26"/>
        <item x="301"/>
        <item x="778"/>
        <item x="503"/>
        <item x="226"/>
        <item x="654"/>
        <item x="625"/>
        <item x="507"/>
        <item x="716"/>
        <item x="630"/>
        <item x="724"/>
        <item x="860"/>
        <item x="462"/>
        <item x="93"/>
        <item x="637"/>
        <item x="761"/>
        <item x="681"/>
        <item x="657"/>
        <item x="817"/>
        <item x="173"/>
        <item x="215"/>
        <item x="763"/>
        <item x="720"/>
        <item x="768"/>
        <item x="300"/>
        <item x="130"/>
        <item x="823"/>
        <item x="395"/>
        <item x="463"/>
        <item x="287"/>
        <item x="492"/>
        <item x="830"/>
        <item x="378"/>
        <item x="645"/>
        <item x="319"/>
        <item x="111"/>
        <item x="355"/>
        <item x="164"/>
        <item x="478"/>
        <item x="598"/>
        <item x="304"/>
        <item x="140"/>
        <item x="289"/>
        <item x="812"/>
        <item x="307"/>
        <item x="798"/>
        <item x="100"/>
        <item x="663"/>
        <item x="528"/>
        <item x="753"/>
        <item x="782"/>
        <item x="437"/>
        <item x="661"/>
        <item x="125"/>
        <item x="689"/>
        <item x="211"/>
        <item x="485"/>
        <item x="535"/>
        <item x="708"/>
        <item x="216"/>
        <item x="523"/>
        <item x="135"/>
        <item x="664"/>
        <item x="894"/>
        <item x="690"/>
        <item x="811"/>
        <item x="537"/>
        <item x="443"/>
        <item x="694"/>
        <item x="597"/>
        <item x="46"/>
        <item x="785"/>
        <item x="358"/>
        <item x="106"/>
        <item x="425"/>
        <item x="585"/>
        <item x="41"/>
        <item x="856"/>
        <item x="217"/>
        <item x="340"/>
        <item x="549"/>
        <item x="73"/>
        <item x="678"/>
        <item x="416"/>
        <item x="235"/>
        <item x="873"/>
        <item x="292"/>
        <item x="76"/>
        <item x="567"/>
        <item x="701"/>
        <item x="633"/>
        <item x="284"/>
        <item x="354"/>
        <item x="589"/>
        <item x="451"/>
        <item x="627"/>
        <item x="237"/>
        <item x="813"/>
        <item x="117"/>
        <item x="362"/>
        <item x="896"/>
        <item x="725"/>
        <item x="517"/>
        <item x="345"/>
        <item x="755"/>
        <item x="30"/>
        <item x="190"/>
        <item x="302"/>
        <item x="864"/>
        <item x="617"/>
        <item x="389"/>
        <item x="148"/>
        <item x="686"/>
        <item x="844"/>
        <item x="11"/>
        <item x="675"/>
        <item x="172"/>
        <item x="480"/>
        <item x="579"/>
        <item x="303"/>
        <item x="714"/>
        <item x="408"/>
        <item x="53"/>
        <item x="840"/>
        <item x="28"/>
        <item x="770"/>
        <item x="551"/>
        <item x="514"/>
        <item x="402"/>
        <item x="756"/>
        <item x="748"/>
        <item x="27"/>
        <item x="837"/>
        <item x="713"/>
        <item x="441"/>
        <item x="219"/>
        <item x="529"/>
        <item x="80"/>
        <item x="776"/>
        <item x="200"/>
        <item x="109"/>
        <item x="527"/>
        <item x="580"/>
        <item x="595"/>
        <item x="797"/>
        <item x="533"/>
        <item x="17"/>
        <item x="209"/>
        <item x="343"/>
        <item x="752"/>
        <item x="868"/>
        <item x="454"/>
        <item x="890"/>
        <item x="614"/>
        <item x="494"/>
        <item x="114"/>
        <item x="450"/>
        <item x="698"/>
        <item x="203"/>
        <item x="321"/>
        <item x="374"/>
        <item x="442"/>
        <item x="90"/>
        <item x="611"/>
        <item x="863"/>
        <item x="193"/>
        <item x="265"/>
        <item x="142"/>
        <item x="250"/>
        <item x="360"/>
        <item x="488"/>
        <item x="456"/>
        <item x="414"/>
        <item x="487"/>
        <item x="606"/>
        <item x="628"/>
        <item x="81"/>
        <item x="176"/>
        <item x="607"/>
        <item x="349"/>
        <item x="767"/>
        <item x="854"/>
        <item x="134"/>
        <item x="643"/>
        <item x="574"/>
        <item x="400"/>
        <item x="329"/>
        <item x="269"/>
        <item x="794"/>
        <item x="238"/>
        <item x="51"/>
        <item x="737"/>
        <item x="543"/>
        <item x="133"/>
        <item x="423"/>
        <item x="800"/>
        <item x="504"/>
        <item x="746"/>
        <item x="558"/>
        <item x="668"/>
        <item x="497"/>
        <item x="816"/>
        <item x="594"/>
        <item x="376"/>
        <item x="834"/>
        <item x="353"/>
        <item x="781"/>
        <item x="19"/>
        <item x="582"/>
        <item x="49"/>
        <item x="224"/>
        <item x="838"/>
        <item x="397"/>
        <item x="113"/>
        <item x="879"/>
        <item x="268"/>
        <item x="560"/>
        <item x="95"/>
        <item x="479"/>
        <item x="848"/>
        <item x="749"/>
        <item x="539"/>
        <item x="227"/>
        <item x="50"/>
        <item x="91"/>
        <item x="555"/>
        <item x="502"/>
        <item x="390"/>
        <item x="789"/>
        <item x="291"/>
        <item x="640"/>
        <item x="547"/>
        <item x="44"/>
        <item x="733"/>
        <item x="792"/>
        <item x="779"/>
        <item x="313"/>
        <item x="243"/>
        <item x="758"/>
        <item x="577"/>
        <item x="398"/>
        <item x="559"/>
        <item x="254"/>
        <item x="221"/>
        <item x="39"/>
        <item x="266"/>
        <item x="70"/>
        <item x="369"/>
        <item x="272"/>
        <item x="129"/>
        <item x="139"/>
        <item x="419"/>
        <item x="205"/>
        <item x="373"/>
        <item x="136"/>
        <item x="83"/>
        <item x="521"/>
        <item x="286"/>
        <item x="197"/>
        <item x="852"/>
        <item x="151"/>
        <item x="36"/>
        <item x="670"/>
        <item x="751"/>
        <item x="490"/>
        <item x="548"/>
        <item x="884"/>
        <item x="263"/>
        <item x="351"/>
        <item x="568"/>
        <item x="742"/>
        <item x="609"/>
        <item x="596"/>
        <item x="498"/>
        <item x="576"/>
        <item x="346"/>
        <item x="828"/>
        <item x="316"/>
        <item x="754"/>
        <item x="665"/>
        <item x="428"/>
        <item x="584"/>
        <item x="370"/>
        <item x="477"/>
        <item x="891"/>
        <item x="273"/>
        <item x="213"/>
        <item x="522"/>
        <item x="821"/>
        <item x="35"/>
        <item x="72"/>
        <item x="371"/>
        <item x="183"/>
        <item x="159"/>
        <item x="565"/>
        <item x="676"/>
        <item x="29"/>
        <item x="131"/>
        <item x="25"/>
        <item x="149"/>
        <item x="775"/>
        <item x="619"/>
        <item x="444"/>
        <item x="232"/>
        <item x="99"/>
        <item x="680"/>
        <item x="571"/>
        <item x="561"/>
        <item x="877"/>
        <item x="458"/>
        <item x="306"/>
        <item x="107"/>
        <item x="298"/>
        <item x="58"/>
        <item x="187"/>
        <item x="563"/>
        <item x="810"/>
        <item x="147"/>
        <item x="380"/>
        <item x="524"/>
        <item x="65"/>
        <item x="310"/>
        <item x="257"/>
        <item x="260"/>
        <item x="512"/>
        <item x="586"/>
        <item x="413"/>
        <item x="356"/>
        <item x="795"/>
        <item x="189"/>
        <item x="526"/>
        <item x="476"/>
        <item x="225"/>
        <item x="56"/>
        <item x="771"/>
        <item x="5"/>
        <item x="199"/>
        <item x="282"/>
        <item x="89"/>
        <item x="385"/>
        <item x="393"/>
        <item x="429"/>
        <item x="206"/>
        <item x="895"/>
        <item x="511"/>
        <item x="447"/>
        <item x="386"/>
        <item x="500"/>
        <item x="341"/>
        <item x="562"/>
        <item x="223"/>
        <item x="60"/>
        <item x="52"/>
        <item x="734"/>
        <item x="599"/>
        <item x="687"/>
        <item x="465"/>
        <item x="655"/>
        <item x="610"/>
        <item x="726"/>
        <item x="853"/>
        <item x="587"/>
        <item x="332"/>
        <item x="772"/>
        <item x="621"/>
        <item x="847"/>
        <item x="2"/>
        <item x="881"/>
        <item x="850"/>
        <item x="110"/>
        <item x="333"/>
        <item x="695"/>
        <item x="736"/>
        <item x="161"/>
        <item x="730"/>
        <item x="32"/>
        <item x="874"/>
        <item x="309"/>
        <item x="564"/>
        <item x="765"/>
        <item x="330"/>
        <item x="279"/>
        <item x="519"/>
        <item x="885"/>
        <item x="642"/>
        <item x="75"/>
        <item x="738"/>
        <item x="518"/>
        <item x="88"/>
        <item x="14"/>
        <item x="484"/>
        <item x="152"/>
        <item x="174"/>
        <item x="84"/>
        <item x="57"/>
        <item x="7"/>
        <item x="43"/>
        <item x="144"/>
        <item x="467"/>
        <item x="94"/>
        <item x="545"/>
        <item x="747"/>
        <item x="342"/>
        <item x="67"/>
        <item x="743"/>
        <item x="469"/>
        <item x="593"/>
        <item x="871"/>
        <item x="889"/>
        <item x="715"/>
        <item x="470"/>
        <item x="178"/>
        <item x="793"/>
        <item x="882"/>
        <item x="79"/>
        <item x="274"/>
        <item x="92"/>
        <item x="12"/>
        <item x="728"/>
        <item x="651"/>
        <item x="401"/>
        <item x="832"/>
        <item x="677"/>
        <item x="858"/>
        <item x="866"/>
        <item x="434"/>
        <item x="566"/>
        <item x="718"/>
        <item x="288"/>
        <item x="121"/>
        <item x="388"/>
        <item x="403"/>
        <item x="659"/>
        <item x="445"/>
        <item x="473"/>
        <item x="82"/>
        <item x="381"/>
        <item x="460"/>
        <item x="530"/>
        <item x="294"/>
        <item x="774"/>
        <item x="791"/>
        <item x="37"/>
        <item x="647"/>
        <item x="54"/>
        <item x="532"/>
        <item x="622"/>
        <item x="712"/>
        <item x="336"/>
        <item x="632"/>
        <item x="544"/>
        <item x="411"/>
        <item x="815"/>
        <item x="808"/>
        <item x="474"/>
        <item x="826"/>
        <item x="335"/>
        <item x="592"/>
        <item x="195"/>
        <item x="153"/>
        <item x="255"/>
        <item x="809"/>
        <item x="368"/>
        <item x="505"/>
        <item x="4"/>
        <item x="510"/>
        <item x="433"/>
        <item x="806"/>
        <item x="404"/>
        <item x="244"/>
        <item x="372"/>
        <item x="383"/>
        <item x="508"/>
        <item x="455"/>
        <item x="290"/>
        <item x="557"/>
        <item x="439"/>
        <item x="773"/>
        <item x="132"/>
        <item x="705"/>
        <item x="278"/>
        <item x="731"/>
        <item x="685"/>
        <item x="230"/>
        <item x="158"/>
        <item x="293"/>
        <item x="24"/>
        <item x="1"/>
        <item x="47"/>
        <item t="default"/>
      </items>
    </pivotField>
    <pivotField showAll="0"/>
    <pivotField showAll="0"/>
    <pivotField axis="axisRow" numFmtId="14" showAll="0">
      <items count="539">
        <item x="208"/>
        <item x="481"/>
        <item x="408"/>
        <item x="444"/>
        <item x="372"/>
        <item x="312"/>
        <item x="345"/>
        <item x="414"/>
        <item x="10"/>
        <item x="354"/>
        <item x="393"/>
        <item x="169"/>
        <item x="15"/>
        <item x="424"/>
        <item x="185"/>
        <item x="246"/>
        <item x="515"/>
        <item x="324"/>
        <item x="48"/>
        <item x="41"/>
        <item x="74"/>
        <item x="303"/>
        <item x="142"/>
        <item x="40"/>
        <item x="370"/>
        <item x="138"/>
        <item x="406"/>
        <item x="33"/>
        <item x="75"/>
        <item x="80"/>
        <item x="134"/>
        <item x="91"/>
        <item x="177"/>
        <item x="462"/>
        <item x="211"/>
        <item x="535"/>
        <item x="81"/>
        <item x="467"/>
        <item x="301"/>
        <item x="334"/>
        <item x="273"/>
        <item x="150"/>
        <item x="236"/>
        <item x="488"/>
        <item x="39"/>
        <item x="357"/>
        <item x="276"/>
        <item x="29"/>
        <item x="326"/>
        <item x="229"/>
        <item x="361"/>
        <item x="421"/>
        <item x="296"/>
        <item x="197"/>
        <item x="21"/>
        <item x="329"/>
        <item x="459"/>
        <item x="517"/>
        <item x="493"/>
        <item x="146"/>
        <item x="7"/>
        <item x="78"/>
        <item x="182"/>
        <item x="44"/>
        <item x="234"/>
        <item x="162"/>
        <item x="482"/>
        <item x="94"/>
        <item x="448"/>
        <item x="179"/>
        <item x="386"/>
        <item x="101"/>
        <item x="307"/>
        <item x="124"/>
        <item x="55"/>
        <item x="209"/>
        <item x="213"/>
        <item x="69"/>
        <item x="260"/>
        <item x="522"/>
        <item x="222"/>
        <item x="447"/>
        <item x="106"/>
        <item x="315"/>
        <item x="437"/>
        <item x="306"/>
        <item x="13"/>
        <item x="272"/>
        <item x="247"/>
        <item x="223"/>
        <item x="379"/>
        <item x="18"/>
        <item x="225"/>
        <item x="207"/>
        <item x="85"/>
        <item x="135"/>
        <item x="131"/>
        <item x="79"/>
        <item x="528"/>
        <item x="325"/>
        <item x="58"/>
        <item x="476"/>
        <item x="520"/>
        <item x="281"/>
        <item x="71"/>
        <item x="255"/>
        <item x="165"/>
        <item x="353"/>
        <item x="90"/>
        <item x="261"/>
        <item x="422"/>
        <item x="232"/>
        <item x="72"/>
        <item x="298"/>
        <item x="70"/>
        <item x="491"/>
        <item x="277"/>
        <item x="469"/>
        <item x="45"/>
        <item x="151"/>
        <item x="262"/>
        <item x="140"/>
        <item x="356"/>
        <item x="322"/>
        <item x="268"/>
        <item x="4"/>
        <item x="288"/>
        <item x="235"/>
        <item x="475"/>
        <item x="292"/>
        <item x="499"/>
        <item x="110"/>
        <item x="505"/>
        <item x="519"/>
        <item x="375"/>
        <item x="320"/>
        <item x="456"/>
        <item x="280"/>
        <item x="12"/>
        <item x="32"/>
        <item x="26"/>
        <item x="205"/>
        <item x="460"/>
        <item x="290"/>
        <item x="453"/>
        <item x="397"/>
        <item x="1"/>
        <item x="143"/>
        <item x="188"/>
        <item x="494"/>
        <item x="231"/>
        <item x="314"/>
        <item x="339"/>
        <item x="526"/>
        <item x="378"/>
        <item x="160"/>
        <item x="293"/>
        <item x="458"/>
        <item x="309"/>
        <item x="284"/>
        <item x="504"/>
        <item x="219"/>
        <item x="175"/>
        <item x="282"/>
        <item x="279"/>
        <item x="411"/>
        <item x="212"/>
        <item x="6"/>
        <item x="366"/>
        <item x="364"/>
        <item x="53"/>
        <item x="115"/>
        <item x="230"/>
        <item x="500"/>
        <item x="286"/>
        <item x="365"/>
        <item x="176"/>
        <item x="451"/>
        <item x="495"/>
        <item x="98"/>
        <item x="65"/>
        <item x="341"/>
        <item x="204"/>
        <item x="103"/>
        <item x="155"/>
        <item x="537"/>
        <item x="518"/>
        <item x="242"/>
        <item x="492"/>
        <item x="291"/>
        <item x="409"/>
        <item x="170"/>
        <item x="506"/>
        <item x="30"/>
        <item x="123"/>
        <item x="508"/>
        <item x="258"/>
        <item x="510"/>
        <item x="166"/>
        <item x="226"/>
        <item x="141"/>
        <item x="474"/>
        <item x="289"/>
        <item x="163"/>
        <item x="136"/>
        <item x="319"/>
        <item x="367"/>
        <item x="119"/>
        <item x="455"/>
        <item x="63"/>
        <item x="171"/>
        <item x="266"/>
        <item x="523"/>
        <item x="425"/>
        <item x="452"/>
        <item x="120"/>
        <item x="210"/>
        <item x="250"/>
        <item x="147"/>
        <item x="436"/>
        <item x="156"/>
        <item x="202"/>
        <item x="77"/>
        <item x="86"/>
        <item x="355"/>
        <item x="294"/>
        <item x="318"/>
        <item x="267"/>
        <item x="465"/>
        <item x="157"/>
        <item x="84"/>
        <item x="36"/>
        <item x="502"/>
        <item x="19"/>
        <item x="358"/>
        <item x="348"/>
        <item x="412"/>
        <item x="190"/>
        <item x="265"/>
        <item x="418"/>
        <item x="189"/>
        <item x="297"/>
        <item x="371"/>
        <item x="14"/>
        <item x="527"/>
        <item x="512"/>
        <item x="390"/>
        <item x="479"/>
        <item x="64"/>
        <item x="304"/>
        <item x="149"/>
        <item x="218"/>
        <item x="400"/>
        <item x="338"/>
        <item x="82"/>
        <item x="333"/>
        <item x="426"/>
        <item x="198"/>
        <item x="164"/>
        <item x="54"/>
        <item x="88"/>
        <item x="239"/>
        <item x="388"/>
        <item x="159"/>
        <item x="404"/>
        <item x="497"/>
        <item x="112"/>
        <item x="381"/>
        <item x="516"/>
        <item x="532"/>
        <item x="34"/>
        <item x="454"/>
        <item x="316"/>
        <item x="68"/>
        <item x="251"/>
        <item x="377"/>
        <item x="435"/>
        <item x="344"/>
        <item x="328"/>
        <item x="433"/>
        <item x="415"/>
        <item x="214"/>
        <item x="259"/>
        <item x="137"/>
        <item x="191"/>
        <item x="105"/>
        <item x="161"/>
        <item x="67"/>
        <item x="118"/>
        <item x="343"/>
        <item x="299"/>
        <item x="271"/>
        <item x="427"/>
        <item x="43"/>
        <item x="51"/>
        <item x="441"/>
        <item x="241"/>
        <item x="95"/>
        <item x="383"/>
        <item x="117"/>
        <item x="509"/>
        <item x="310"/>
        <item x="363"/>
        <item x="245"/>
        <item x="224"/>
        <item x="321"/>
        <item x="195"/>
        <item x="398"/>
        <item x="373"/>
        <item x="186"/>
        <item x="243"/>
        <item x="240"/>
        <item x="62"/>
        <item x="485"/>
        <item x="331"/>
        <item x="507"/>
        <item x="449"/>
        <item x="158"/>
        <item x="220"/>
        <item x="470"/>
        <item x="107"/>
        <item x="439"/>
        <item x="127"/>
        <item x="238"/>
        <item x="369"/>
        <item x="99"/>
        <item x="16"/>
        <item x="308"/>
        <item x="380"/>
        <item x="295"/>
        <item x="432"/>
        <item x="395"/>
        <item x="278"/>
        <item x="359"/>
        <item x="531"/>
        <item x="405"/>
        <item x="173"/>
        <item x="269"/>
        <item x="340"/>
        <item x="335"/>
        <item x="60"/>
        <item x="529"/>
        <item x="129"/>
        <item x="89"/>
        <item x="429"/>
        <item x="233"/>
        <item x="385"/>
        <item x="152"/>
        <item x="217"/>
        <item x="468"/>
        <item x="203"/>
        <item x="249"/>
        <item x="323"/>
        <item x="192"/>
        <item x="287"/>
        <item x="533"/>
        <item x="130"/>
        <item x="346"/>
        <item x="478"/>
        <item x="97"/>
        <item x="483"/>
        <item x="360"/>
        <item x="23"/>
        <item x="285"/>
        <item x="256"/>
        <item x="254"/>
        <item x="196"/>
        <item x="52"/>
        <item x="116"/>
        <item x="20"/>
        <item x="263"/>
        <item x="28"/>
        <item x="174"/>
        <item x="178"/>
        <item x="450"/>
        <item x="133"/>
        <item x="73"/>
        <item x="300"/>
        <item x="2"/>
        <item x="438"/>
        <item x="442"/>
        <item x="302"/>
        <item x="59"/>
        <item x="413"/>
        <item x="394"/>
        <item x="368"/>
        <item x="17"/>
        <item x="534"/>
        <item x="49"/>
        <item x="50"/>
        <item x="391"/>
        <item x="332"/>
        <item x="184"/>
        <item x="180"/>
        <item x="42"/>
        <item x="22"/>
        <item x="8"/>
        <item x="503"/>
        <item x="466"/>
        <item x="87"/>
        <item x="215"/>
        <item x="275"/>
        <item x="83"/>
        <item x="403"/>
        <item x="536"/>
        <item x="92"/>
        <item x="477"/>
        <item x="514"/>
        <item x="430"/>
        <item x="420"/>
        <item x="253"/>
        <item x="38"/>
        <item x="24"/>
        <item x="200"/>
        <item x="104"/>
        <item x="248"/>
        <item x="187"/>
        <item x="121"/>
        <item x="167"/>
        <item x="416"/>
        <item x="201"/>
        <item x="374"/>
        <item x="472"/>
        <item x="31"/>
        <item x="498"/>
        <item x="431"/>
        <item x="342"/>
        <item x="9"/>
        <item x="46"/>
        <item x="419"/>
        <item x="392"/>
        <item x="407"/>
        <item x="489"/>
        <item x="132"/>
        <item x="313"/>
        <item x="511"/>
        <item x="139"/>
        <item x="66"/>
        <item x="317"/>
        <item x="382"/>
        <item x="193"/>
        <item x="109"/>
        <item x="37"/>
        <item x="487"/>
        <item x="168"/>
        <item x="423"/>
        <item x="145"/>
        <item x="181"/>
        <item x="440"/>
        <item x="237"/>
        <item x="352"/>
        <item x="396"/>
        <item x="252"/>
        <item x="330"/>
        <item x="530"/>
        <item x="114"/>
        <item x="113"/>
        <item x="227"/>
        <item x="471"/>
        <item x="387"/>
        <item x="496"/>
        <item x="417"/>
        <item x="172"/>
        <item x="125"/>
        <item x="389"/>
        <item x="445"/>
        <item x="490"/>
        <item x="362"/>
        <item x="434"/>
        <item x="486"/>
        <item x="480"/>
        <item x="401"/>
        <item x="57"/>
        <item x="457"/>
        <item x="56"/>
        <item x="206"/>
        <item x="3"/>
        <item x="513"/>
        <item x="128"/>
        <item x="102"/>
        <item x="464"/>
        <item x="194"/>
        <item x="153"/>
        <item x="264"/>
        <item x="257"/>
        <item x="446"/>
        <item x="461"/>
        <item x="463"/>
        <item x="384"/>
        <item x="61"/>
        <item x="100"/>
        <item x="410"/>
        <item x="228"/>
        <item x="96"/>
        <item x="327"/>
        <item x="111"/>
        <item x="524"/>
        <item x="311"/>
        <item x="221"/>
        <item x="244"/>
        <item x="25"/>
        <item x="144"/>
        <item x="443"/>
        <item x="351"/>
        <item x="376"/>
        <item x="305"/>
        <item x="347"/>
        <item x="0"/>
        <item x="336"/>
        <item x="428"/>
        <item x="27"/>
        <item x="337"/>
        <item x="399"/>
        <item x="126"/>
        <item x="525"/>
        <item x="501"/>
        <item x="349"/>
        <item x="5"/>
        <item x="154"/>
        <item x="484"/>
        <item x="47"/>
        <item x="270"/>
        <item x="521"/>
        <item x="183"/>
        <item x="76"/>
        <item x="350"/>
        <item x="108"/>
        <item x="473"/>
        <item x="274"/>
        <item x="122"/>
        <item x="35"/>
        <item x="148"/>
        <item x="216"/>
        <item x="11"/>
        <item x="93"/>
        <item x="283"/>
        <item x="199"/>
        <item x="402"/>
        <item t="default"/>
      </items>
    </pivotField>
    <pivotField showAll="0"/>
    <pivotField showAll="0"/>
    <pivotField showAll="0"/>
    <pivotField showAll="0"/>
    <pivotField showAll="0">
      <items count="11">
        <item x="0"/>
        <item x="4"/>
        <item x="5"/>
        <item x="8"/>
        <item x="7"/>
        <item x="6"/>
        <item x="1"/>
        <item x="9"/>
        <item x="2"/>
        <item x="3"/>
        <item t="default"/>
      </items>
    </pivotField>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21"/>
    <field x="20"/>
    <field x="19"/>
    <field x="11"/>
  </rowFields>
  <rowItems count="3">
    <i>
      <x v="1"/>
    </i>
    <i>
      <x v="2"/>
    </i>
    <i t="grand">
      <x/>
    </i>
  </rowItems>
  <colFields count="1">
    <field x="-2"/>
  </colFields>
  <colItems count="2">
    <i>
      <x/>
    </i>
    <i i="1">
      <x v="1"/>
    </i>
  </colItems>
  <dataFields count="2">
    <dataField name="Sum of Sales_CLEAN" fld="17" baseField="0" baseItem="0"/>
    <dataField name="Sum of Profit_CLEAN" fld="18" baseField="0" baseItem="0"/>
  </dataFields>
  <formats count="4">
    <format dxfId="29">
      <pivotArea dataOnly="0" grandRow="1" fieldPosition="0"/>
    </format>
    <format dxfId="28">
      <pivotArea dataOnly="0" labelOnly="1" grandRow="1" outline="0" fieldPosition="0"/>
    </format>
    <format dxfId="27">
      <pivotArea field="21" grandRow="1" outline="0" collapsedLevelsAreSubtotals="1" axis="axisRow" fieldPosition="0">
        <references count="1">
          <reference field="4294967294" count="1" selected="0">
            <x v="0"/>
          </reference>
        </references>
      </pivotArea>
    </format>
    <format dxfId="26">
      <pivotArea field="21"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BF8000-99AF-49C8-AD44-3B1E5FF85BD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9:D93" firstHeaderRow="1" firstDataRow="2" firstDataCol="1"/>
  <pivotFields count="22">
    <pivotField showAll="0"/>
    <pivotField showAll="0"/>
    <pivotField showAll="0">
      <items count="773">
        <item x="43"/>
        <item x="357"/>
        <item x="286"/>
        <item x="315"/>
        <item x="2"/>
        <item x="234"/>
        <item x="254"/>
        <item x="732"/>
        <item x="318"/>
        <item x="614"/>
        <item x="519"/>
        <item x="471"/>
        <item x="658"/>
        <item x="347"/>
        <item x="113"/>
        <item x="151"/>
        <item x="167"/>
        <item x="37"/>
        <item x="635"/>
        <item x="242"/>
        <item x="216"/>
        <item x="470"/>
        <item x="384"/>
        <item x="588"/>
        <item x="49"/>
        <item x="476"/>
        <item x="349"/>
        <item x="405"/>
        <item x="467"/>
        <item x="638"/>
        <item x="525"/>
        <item x="462"/>
        <item x="708"/>
        <item x="421"/>
        <item x="387"/>
        <item x="294"/>
        <item x="50"/>
        <item x="367"/>
        <item x="586"/>
        <item x="230"/>
        <item x="539"/>
        <item x="496"/>
        <item x="67"/>
        <item x="15"/>
        <item x="682"/>
        <item x="760"/>
        <item x="393"/>
        <item x="41"/>
        <item x="258"/>
        <item x="514"/>
        <item x="326"/>
        <item x="219"/>
        <item x="493"/>
        <item x="12"/>
        <item x="38"/>
        <item x="302"/>
        <item x="621"/>
        <item x="690"/>
        <item x="767"/>
        <item x="565"/>
        <item x="460"/>
        <item x="136"/>
        <item x="672"/>
        <item x="32"/>
        <item x="378"/>
        <item x="169"/>
        <item x="143"/>
        <item x="487"/>
        <item x="561"/>
        <item x="629"/>
        <item x="567"/>
        <item x="686"/>
        <item x="754"/>
        <item x="223"/>
        <item x="513"/>
        <item x="771"/>
        <item x="101"/>
        <item x="748"/>
        <item x="615"/>
        <item x="129"/>
        <item x="602"/>
        <item x="3"/>
        <item x="434"/>
        <item x="726"/>
        <item x="250"/>
        <item x="683"/>
        <item x="320"/>
        <item x="723"/>
        <item x="99"/>
        <item x="536"/>
        <item x="745"/>
        <item x="76"/>
        <item x="578"/>
        <item x="103"/>
        <item x="106"/>
        <item x="256"/>
        <item x="147"/>
        <item x="36"/>
        <item x="297"/>
        <item x="191"/>
        <item x="704"/>
        <item x="646"/>
        <item x="724"/>
        <item x="140"/>
        <item x="364"/>
        <item x="439"/>
        <item x="526"/>
        <item x="763"/>
        <item x="317"/>
        <item x="72"/>
        <item x="582"/>
        <item x="656"/>
        <item x="472"/>
        <item x="541"/>
        <item x="610"/>
        <item x="66"/>
        <item x="601"/>
        <item x="710"/>
        <item x="222"/>
        <item x="133"/>
        <item x="366"/>
        <item x="642"/>
        <item x="348"/>
        <item x="687"/>
        <item x="464"/>
        <item x="450"/>
        <item x="729"/>
        <item x="321"/>
        <item x="344"/>
        <item x="545"/>
        <item x="473"/>
        <item x="377"/>
        <item x="206"/>
        <item x="184"/>
        <item x="733"/>
        <item x="126"/>
        <item x="479"/>
        <item x="446"/>
        <item x="663"/>
        <item x="540"/>
        <item x="576"/>
        <item x="611"/>
        <item x="418"/>
        <item x="424"/>
        <item x="279"/>
        <item x="182"/>
        <item x="482"/>
        <item x="574"/>
        <item x="528"/>
        <item x="305"/>
        <item x="22"/>
        <item x="183"/>
        <item x="497"/>
        <item x="728"/>
        <item x="280"/>
        <item x="624"/>
        <item x="89"/>
        <item x="246"/>
        <item x="702"/>
        <item x="257"/>
        <item x="150"/>
        <item x="57"/>
        <item x="342"/>
        <item x="501"/>
        <item x="365"/>
        <item x="293"/>
        <item x="750"/>
        <item x="80"/>
        <item x="290"/>
        <item x="1"/>
        <item x="530"/>
        <item x="157"/>
        <item x="543"/>
        <item x="636"/>
        <item x="612"/>
        <item x="227"/>
        <item x="619"/>
        <item x="102"/>
        <item x="260"/>
        <item x="562"/>
        <item x="423"/>
        <item x="240"/>
        <item x="692"/>
        <item x="226"/>
        <item x="756"/>
        <item x="570"/>
        <item x="309"/>
        <item x="14"/>
        <item x="551"/>
        <item x="64"/>
        <item x="412"/>
        <item x="245"/>
        <item x="354"/>
        <item x="310"/>
        <item x="749"/>
        <item x="389"/>
        <item x="152"/>
        <item x="755"/>
        <item x="594"/>
        <item x="620"/>
        <item x="641"/>
        <item x="486"/>
        <item x="202"/>
        <item x="639"/>
        <item x="743"/>
        <item x="159"/>
        <item x="444"/>
        <item x="215"/>
        <item x="764"/>
        <item x="645"/>
        <item x="388"/>
        <item x="568"/>
        <item x="705"/>
        <item x="303"/>
        <item x="394"/>
        <item x="313"/>
        <item x="466"/>
        <item x="667"/>
        <item x="217"/>
        <item x="422"/>
        <item x="123"/>
        <item x="352"/>
        <item x="287"/>
        <item x="4"/>
        <item x="677"/>
        <item x="265"/>
        <item x="209"/>
        <item x="435"/>
        <item x="552"/>
        <item x="587"/>
        <item x="518"/>
        <item x="299"/>
        <item x="512"/>
        <item x="608"/>
        <item x="685"/>
        <item x="468"/>
        <item x="193"/>
        <item x="569"/>
        <item x="643"/>
        <item x="669"/>
        <item x="737"/>
        <item x="248"/>
        <item x="478"/>
        <item x="650"/>
        <item x="10"/>
        <item x="714"/>
        <item x="542"/>
        <item x="697"/>
        <item x="48"/>
        <item x="432"/>
        <item x="362"/>
        <item x="194"/>
        <item x="409"/>
        <item x="627"/>
        <item x="363"/>
        <item x="443"/>
        <item x="395"/>
        <item x="263"/>
        <item x="489"/>
        <item x="345"/>
        <item x="269"/>
        <item x="371"/>
        <item x="13"/>
        <item x="560"/>
        <item x="58"/>
        <item x="71"/>
        <item x="296"/>
        <item x="537"/>
        <item x="70"/>
        <item x="448"/>
        <item x="442"/>
        <item x="622"/>
        <item x="759"/>
        <item x="503"/>
        <item x="765"/>
        <item x="295"/>
        <item x="456"/>
        <item x="454"/>
        <item x="118"/>
        <item x="679"/>
        <item x="438"/>
        <item x="689"/>
        <item x="346"/>
        <item x="187"/>
        <item x="212"/>
        <item x="176"/>
        <item x="175"/>
        <item x="458"/>
        <item x="335"/>
        <item x="188"/>
        <item x="125"/>
        <item x="78"/>
        <item x="706"/>
        <item x="703"/>
        <item x="709"/>
        <item x="691"/>
        <item x="210"/>
        <item x="160"/>
        <item x="413"/>
        <item x="83"/>
        <item x="664"/>
        <item x="554"/>
        <item x="684"/>
        <item x="34"/>
        <item x="596"/>
        <item x="381"/>
        <item x="68"/>
        <item x="731"/>
        <item x="549"/>
        <item x="504"/>
        <item x="170"/>
        <item x="406"/>
        <item x="110"/>
        <item x="433"/>
        <item x="16"/>
        <item x="407"/>
        <item x="60"/>
        <item x="747"/>
        <item x="517"/>
        <item x="553"/>
        <item x="630"/>
        <item x="229"/>
        <item x="626"/>
        <item x="137"/>
        <item x="426"/>
        <item x="557"/>
        <item x="119"/>
        <item x="391"/>
        <item x="590"/>
        <item x="498"/>
        <item x="17"/>
        <item x="766"/>
        <item x="403"/>
        <item x="197"/>
        <item x="324"/>
        <item x="84"/>
        <item x="698"/>
        <item x="739"/>
        <item x="676"/>
        <item x="225"/>
        <item x="559"/>
        <item x="605"/>
        <item x="670"/>
        <item x="546"/>
        <item x="198"/>
        <item x="356"/>
        <item x="746"/>
        <item x="400"/>
        <item x="259"/>
        <item x="680"/>
        <item x="531"/>
        <item x="385"/>
        <item x="211"/>
        <item x="488"/>
        <item x="566"/>
        <item x="666"/>
        <item x="508"/>
        <item x="644"/>
        <item x="325"/>
        <item x="661"/>
        <item x="507"/>
        <item x="521"/>
        <item x="483"/>
        <item x="281"/>
        <item x="469"/>
        <item x="47"/>
        <item x="431"/>
        <item x="201"/>
        <item x="353"/>
        <item x="292"/>
        <item x="334"/>
        <item x="414"/>
        <item x="156"/>
        <item x="94"/>
        <item x="762"/>
        <item x="172"/>
        <item x="9"/>
        <item x="253"/>
        <item x="577"/>
        <item x="148"/>
        <item x="284"/>
        <item x="511"/>
        <item x="322"/>
        <item x="199"/>
        <item x="251"/>
        <item x="550"/>
        <item x="516"/>
        <item x="563"/>
        <item x="161"/>
        <item x="44"/>
        <item x="200"/>
        <item x="436"/>
        <item x="27"/>
        <item x="11"/>
        <item x="122"/>
        <item x="91"/>
        <item x="617"/>
        <item x="163"/>
        <item x="441"/>
        <item x="181"/>
        <item x="18"/>
        <item x="337"/>
        <item x="495"/>
        <item x="618"/>
        <item x="375"/>
        <item x="515"/>
        <item x="351"/>
        <item x="453"/>
        <item x="221"/>
        <item x="461"/>
        <item x="534"/>
        <item x="247"/>
        <item x="312"/>
        <item x="445"/>
        <item x="192"/>
        <item x="529"/>
        <item x="662"/>
        <item x="26"/>
        <item x="195"/>
        <item x="548"/>
        <item x="360"/>
        <item x="564"/>
        <item x="741"/>
        <item x="301"/>
        <item x="634"/>
        <item x="522"/>
        <item x="768"/>
        <item x="178"/>
        <item x="45"/>
        <item x="177"/>
        <item x="452"/>
        <item x="358"/>
        <item x="189"/>
        <item x="235"/>
        <item x="652"/>
        <item x="736"/>
        <item x="751"/>
        <item x="527"/>
        <item x="591"/>
        <item x="440"/>
        <item x="186"/>
        <item x="204"/>
        <item x="283"/>
        <item x="717"/>
        <item x="73"/>
        <item x="75"/>
        <item x="675"/>
        <item x="40"/>
        <item x="678"/>
        <item x="146"/>
        <item x="33"/>
        <item x="609"/>
        <item x="81"/>
        <item x="141"/>
        <item x="92"/>
        <item x="262"/>
        <item x="616"/>
        <item x="238"/>
        <item x="82"/>
        <item x="361"/>
        <item x="623"/>
        <item x="271"/>
        <item x="668"/>
        <item x="39"/>
        <item x="606"/>
        <item x="29"/>
        <item x="474"/>
        <item x="598"/>
        <item x="535"/>
        <item x="21"/>
        <item x="399"/>
        <item x="719"/>
        <item x="674"/>
        <item x="7"/>
        <item x="79"/>
        <item x="402"/>
        <item x="174"/>
        <item x="653"/>
        <item x="96"/>
        <item x="196"/>
        <item x="484"/>
        <item x="130"/>
        <item x="55"/>
        <item x="236"/>
        <item x="69"/>
        <item x="744"/>
        <item x="109"/>
        <item x="380"/>
        <item x="572"/>
        <item x="370"/>
        <item x="408"/>
        <item x="437"/>
        <item x="255"/>
        <item x="233"/>
        <item x="86"/>
        <item x="142"/>
        <item x="138"/>
        <item x="742"/>
        <item x="659"/>
        <item x="343"/>
        <item x="332"/>
        <item x="179"/>
        <item x="490"/>
        <item x="304"/>
        <item x="558"/>
        <item x="266"/>
        <item x="510"/>
        <item x="316"/>
        <item x="327"/>
        <item x="631"/>
        <item x="120"/>
        <item x="162"/>
        <item x="149"/>
        <item x="571"/>
        <item x="336"/>
        <item x="341"/>
        <item x="270"/>
        <item x="398"/>
        <item x="699"/>
        <item x="721"/>
        <item x="386"/>
        <item x="603"/>
        <item x="331"/>
        <item x="231"/>
        <item x="595"/>
        <item x="429"/>
        <item x="208"/>
        <item x="722"/>
        <item x="379"/>
        <item x="415"/>
        <item x="613"/>
        <item x="373"/>
        <item x="350"/>
        <item x="607"/>
        <item x="374"/>
        <item x="583"/>
        <item x="695"/>
        <item x="333"/>
        <item x="330"/>
        <item x="523"/>
        <item x="239"/>
        <item x="6"/>
        <item x="544"/>
        <item x="53"/>
        <item x="264"/>
        <item x="688"/>
        <item x="339"/>
        <item x="455"/>
        <item x="425"/>
        <item x="593"/>
        <item x="100"/>
        <item x="65"/>
        <item x="105"/>
        <item x="770"/>
        <item x="720"/>
        <item x="278"/>
        <item x="673"/>
        <item x="520"/>
        <item x="392"/>
        <item x="700"/>
        <item x="30"/>
        <item x="128"/>
        <item x="300"/>
        <item x="180"/>
        <item x="491"/>
        <item x="640"/>
        <item x="524"/>
        <item x="144"/>
        <item x="124"/>
        <item x="599"/>
        <item x="63"/>
        <item x="417"/>
        <item x="311"/>
        <item x="657"/>
        <item x="237"/>
        <item x="288"/>
        <item x="158"/>
        <item x="168"/>
        <item x="475"/>
        <item x="87"/>
        <item x="383"/>
        <item x="592"/>
        <item x="85"/>
        <item x="19"/>
        <item x="428"/>
        <item x="220"/>
        <item x="532"/>
        <item x="355"/>
        <item x="740"/>
        <item x="712"/>
        <item x="492"/>
        <item x="649"/>
        <item x="693"/>
        <item x="368"/>
        <item x="556"/>
        <item x="506"/>
        <item x="597"/>
        <item x="107"/>
        <item x="404"/>
        <item x="547"/>
        <item x="628"/>
        <item x="54"/>
        <item x="261"/>
        <item x="275"/>
        <item x="171"/>
        <item x="115"/>
        <item x="500"/>
        <item x="718"/>
        <item x="757"/>
        <item x="289"/>
        <item x="397"/>
        <item x="241"/>
        <item x="145"/>
        <item x="213"/>
        <item x="108"/>
        <item x="173"/>
        <item x="307"/>
        <item x="228"/>
        <item x="420"/>
        <item x="359"/>
        <item x="319"/>
        <item x="272"/>
        <item x="51"/>
        <item x="734"/>
        <item x="277"/>
        <item x="97"/>
        <item x="480"/>
        <item x="707"/>
        <item x="282"/>
        <item x="252"/>
        <item x="218"/>
        <item x="465"/>
        <item x="276"/>
        <item x="62"/>
        <item x="665"/>
        <item x="401"/>
        <item x="701"/>
        <item x="589"/>
        <item x="451"/>
        <item x="632"/>
        <item x="575"/>
        <item x="134"/>
        <item x="274"/>
        <item x="372"/>
        <item x="477"/>
        <item x="752"/>
        <item x="499"/>
        <item x="329"/>
        <item x="447"/>
        <item x="190"/>
        <item x="314"/>
        <item x="416"/>
        <item x="761"/>
        <item x="90"/>
        <item x="268"/>
        <item x="164"/>
        <item x="244"/>
        <item x="494"/>
        <item x="390"/>
        <item x="214"/>
        <item x="340"/>
        <item x="758"/>
        <item x="738"/>
        <item x="648"/>
        <item x="696"/>
        <item x="449"/>
        <item x="23"/>
        <item x="338"/>
        <item x="298"/>
        <item x="681"/>
        <item x="52"/>
        <item x="20"/>
        <item x="306"/>
        <item x="28"/>
        <item x="74"/>
        <item x="463"/>
        <item x="573"/>
        <item x="579"/>
        <item x="59"/>
        <item x="459"/>
        <item x="727"/>
        <item x="715"/>
        <item x="203"/>
        <item x="42"/>
        <item x="660"/>
        <item x="8"/>
        <item x="625"/>
        <item x="88"/>
        <item x="538"/>
        <item x="267"/>
        <item x="769"/>
        <item x="93"/>
        <item x="647"/>
        <item x="716"/>
        <item x="555"/>
        <item x="24"/>
        <item x="285"/>
        <item x="207"/>
        <item x="600"/>
        <item x="580"/>
        <item x="637"/>
        <item x="31"/>
        <item x="419"/>
        <item x="46"/>
        <item x="533"/>
        <item x="694"/>
        <item x="139"/>
        <item x="711"/>
        <item x="153"/>
        <item x="382"/>
        <item x="112"/>
        <item x="121"/>
        <item x="185"/>
        <item x="155"/>
        <item x="273"/>
        <item x="502"/>
        <item x="291"/>
        <item x="753"/>
        <item x="117"/>
        <item x="116"/>
        <item x="633"/>
        <item x="485"/>
        <item x="131"/>
        <item x="584"/>
        <item x="671"/>
        <item x="651"/>
        <item x="328"/>
        <item x="604"/>
        <item x="56"/>
        <item x="232"/>
        <item x="713"/>
        <item x="135"/>
        <item x="104"/>
        <item x="165"/>
        <item x="308"/>
        <item x="585"/>
        <item x="655"/>
        <item x="481"/>
        <item x="61"/>
        <item x="98"/>
        <item x="396"/>
        <item x="114"/>
        <item x="730"/>
        <item x="376"/>
        <item x="249"/>
        <item x="410"/>
        <item x="25"/>
        <item x="154"/>
        <item x="581"/>
        <item x="369"/>
        <item x="427"/>
        <item x="0"/>
        <item x="411"/>
        <item x="457"/>
        <item x="505"/>
        <item x="132"/>
        <item x="735"/>
        <item x="430"/>
        <item x="5"/>
        <item x="166"/>
        <item x="725"/>
        <item x="654"/>
        <item x="77"/>
        <item x="111"/>
        <item x="323"/>
        <item x="127"/>
        <item x="35"/>
        <item x="205"/>
        <item x="243"/>
        <item x="95"/>
        <item x="224"/>
        <item x="509"/>
        <item t="default"/>
      </items>
    </pivotField>
    <pivotField showAll="0"/>
    <pivotField showAll="0"/>
    <pivotField showAll="0"/>
    <pivotField showAll="0"/>
    <pivotField showAll="0"/>
    <pivotField showAll="0">
      <items count="900">
        <item x="328"/>
        <item x="350"/>
        <item x="9"/>
        <item x="762"/>
        <item x="656"/>
        <item x="499"/>
        <item x="270"/>
        <item x="554"/>
        <item x="249"/>
        <item x="347"/>
        <item x="493"/>
        <item x="489"/>
        <item x="367"/>
        <item x="18"/>
        <item x="697"/>
        <item x="600"/>
        <item x="438"/>
        <item x="883"/>
        <item x="608"/>
        <item x="62"/>
        <item x="843"/>
        <item x="181"/>
        <item x="251"/>
        <item x="315"/>
        <item x="417"/>
        <item x="124"/>
        <item x="541"/>
        <item x="440"/>
        <item x="603"/>
        <item x="629"/>
        <item x="615"/>
        <item x="55"/>
        <item x="711"/>
        <item x="464"/>
        <item x="575"/>
        <item x="719"/>
        <item x="68"/>
        <item x="280"/>
        <item x="583"/>
        <item x="729"/>
        <item x="649"/>
        <item x="115"/>
        <item x="876"/>
        <item x="700"/>
        <item x="855"/>
        <item x="38"/>
        <item x="22"/>
        <item x="239"/>
        <item x="252"/>
        <item x="570"/>
        <item x="740"/>
        <item x="326"/>
        <item x="305"/>
        <item x="317"/>
        <item x="898"/>
        <item x="137"/>
        <item x="344"/>
        <item x="796"/>
        <item x="320"/>
        <item x="491"/>
        <item x="375"/>
        <item x="387"/>
        <item x="805"/>
        <item x="870"/>
        <item x="3"/>
        <item x="534"/>
        <item x="295"/>
        <item x="819"/>
        <item x="207"/>
        <item x="845"/>
        <item x="253"/>
        <item x="851"/>
        <item x="867"/>
        <item x="361"/>
        <item x="277"/>
        <item x="591"/>
        <item x="34"/>
        <item x="405"/>
        <item x="652"/>
        <item x="118"/>
        <item x="760"/>
        <item x="13"/>
        <item x="861"/>
        <item x="764"/>
        <item x="228"/>
        <item x="683"/>
        <item x="769"/>
        <item x="674"/>
        <item x="246"/>
        <item x="717"/>
        <item x="804"/>
        <item x="170"/>
        <item x="671"/>
        <item x="162"/>
        <item x="513"/>
        <item x="466"/>
        <item x="516"/>
        <item x="364"/>
        <item x="127"/>
        <item x="242"/>
        <item x="396"/>
        <item x="146"/>
        <item x="605"/>
        <item x="45"/>
        <item x="626"/>
        <item x="191"/>
        <item x="220"/>
        <item x="233"/>
        <item x="829"/>
        <item x="515"/>
        <item x="165"/>
        <item x="399"/>
        <item x="453"/>
        <item x="436"/>
        <item x="337"/>
        <item x="141"/>
        <item x="160"/>
        <item x="415"/>
        <item x="384"/>
        <item x="180"/>
        <item x="71"/>
        <item x="520"/>
        <item x="271"/>
        <item x="157"/>
        <item x="588"/>
        <item x="602"/>
        <item x="276"/>
        <item x="616"/>
        <item x="691"/>
        <item x="214"/>
        <item x="63"/>
        <item x="459"/>
        <item x="0"/>
        <item x="886"/>
        <item x="553"/>
        <item x="556"/>
        <item x="820"/>
        <item x="348"/>
        <item x="644"/>
        <item x="710"/>
        <item x="636"/>
        <item x="581"/>
        <item x="653"/>
        <item x="222"/>
        <item x="880"/>
        <item x="723"/>
        <item x="327"/>
        <item x="435"/>
        <item x="658"/>
        <item x="446"/>
        <item x="103"/>
        <item x="673"/>
        <item x="31"/>
        <item x="623"/>
        <item x="590"/>
        <item x="185"/>
        <item x="177"/>
        <item x="667"/>
        <item x="409"/>
        <item x="422"/>
        <item x="145"/>
        <item x="59"/>
        <item x="143"/>
        <item x="122"/>
        <item x="799"/>
        <item x="126"/>
        <item x="857"/>
        <item x="108"/>
        <item x="78"/>
        <item x="156"/>
        <item x="432"/>
        <item x="803"/>
        <item x="618"/>
        <item x="620"/>
        <item x="120"/>
        <item x="692"/>
        <item x="573"/>
        <item x="229"/>
        <item x="234"/>
        <item x="624"/>
        <item x="334"/>
        <item x="198"/>
        <item x="150"/>
        <item x="721"/>
        <item x="168"/>
        <item x="735"/>
        <item x="869"/>
        <item x="739"/>
        <item x="192"/>
        <item x="186"/>
        <item x="744"/>
        <item x="23"/>
        <item x="241"/>
        <item x="578"/>
        <item x="299"/>
        <item x="314"/>
        <item x="6"/>
        <item x="359"/>
        <item x="418"/>
        <item x="116"/>
        <item x="16"/>
        <item x="836"/>
        <item x="188"/>
        <item x="297"/>
        <item x="448"/>
        <item x="604"/>
        <item x="104"/>
        <item x="202"/>
        <item x="635"/>
        <item x="601"/>
        <item x="818"/>
        <item x="486"/>
        <item x="822"/>
        <item x="538"/>
        <item x="128"/>
        <item x="825"/>
        <item x="261"/>
        <item x="218"/>
        <item x="784"/>
        <item x="702"/>
        <item x="831"/>
        <item x="210"/>
        <item x="893"/>
        <item x="550"/>
        <item x="613"/>
        <item x="862"/>
        <item x="839"/>
        <item x="648"/>
        <item x="264"/>
        <item x="318"/>
        <item x="679"/>
        <item x="666"/>
        <item x="842"/>
        <item x="204"/>
        <item x="406"/>
        <item x="339"/>
        <item x="338"/>
        <item x="201"/>
        <item x="569"/>
        <item x="780"/>
        <item x="379"/>
        <item x="750"/>
        <item x="15"/>
        <item x="669"/>
        <item x="285"/>
        <item x="123"/>
        <item x="766"/>
        <item x="33"/>
        <item x="154"/>
        <item x="281"/>
        <item x="48"/>
        <item x="138"/>
        <item x="688"/>
        <item x="431"/>
        <item x="483"/>
        <item x="212"/>
        <item x="835"/>
        <item x="841"/>
        <item x="892"/>
        <item x="452"/>
        <item x="69"/>
        <item x="650"/>
        <item x="101"/>
        <item x="612"/>
        <item x="182"/>
        <item x="449"/>
        <item x="709"/>
        <item x="814"/>
        <item x="888"/>
        <item x="684"/>
        <item x="495"/>
        <item x="175"/>
        <item x="21"/>
        <item x="410"/>
        <item x="366"/>
        <item x="525"/>
        <item x="179"/>
        <item x="777"/>
        <item x="267"/>
        <item x="706"/>
        <item x="531"/>
        <item x="872"/>
        <item x="231"/>
        <item x="824"/>
        <item x="236"/>
        <item x="790"/>
        <item x="167"/>
        <item x="833"/>
        <item x="97"/>
        <item x="296"/>
        <item x="196"/>
        <item x="424"/>
        <item x="377"/>
        <item x="745"/>
        <item x="788"/>
        <item x="77"/>
        <item x="331"/>
        <item x="802"/>
        <item x="42"/>
        <item x="783"/>
        <item x="875"/>
        <item x="194"/>
        <item x="119"/>
        <item x="509"/>
        <item x="258"/>
        <item x="275"/>
        <item x="10"/>
        <item x="727"/>
        <item x="741"/>
        <item x="757"/>
        <item x="859"/>
        <item x="546"/>
        <item x="363"/>
        <item x="20"/>
        <item x="707"/>
        <item x="155"/>
        <item x="208"/>
        <item x="475"/>
        <item x="105"/>
        <item x="887"/>
        <item x="722"/>
        <item x="392"/>
        <item x="98"/>
        <item x="646"/>
        <item x="639"/>
        <item x="638"/>
        <item x="8"/>
        <item x="878"/>
        <item x="849"/>
        <item x="365"/>
        <item x="703"/>
        <item x="641"/>
        <item x="660"/>
        <item x="85"/>
        <item x="662"/>
        <item x="426"/>
        <item x="427"/>
        <item x="357"/>
        <item x="631"/>
        <item x="171"/>
        <item x="897"/>
        <item x="421"/>
        <item x="672"/>
        <item x="245"/>
        <item x="262"/>
        <item x="472"/>
        <item x="322"/>
        <item x="102"/>
        <item x="240"/>
        <item x="501"/>
        <item x="40"/>
        <item x="352"/>
        <item x="412"/>
        <item x="259"/>
        <item x="846"/>
        <item x="420"/>
        <item x="283"/>
        <item x="704"/>
        <item x="247"/>
        <item x="682"/>
        <item x="86"/>
        <item x="74"/>
        <item x="96"/>
        <item x="481"/>
        <item x="325"/>
        <item x="536"/>
        <item x="323"/>
        <item x="696"/>
        <item x="552"/>
        <item x="572"/>
        <item x="634"/>
        <item x="457"/>
        <item x="169"/>
        <item x="468"/>
        <item x="827"/>
        <item x="865"/>
        <item x="66"/>
        <item x="394"/>
        <item x="184"/>
        <item x="693"/>
        <item x="461"/>
        <item x="542"/>
        <item x="248"/>
        <item x="308"/>
        <item x="732"/>
        <item x="787"/>
        <item x="496"/>
        <item x="506"/>
        <item x="482"/>
        <item x="163"/>
        <item x="807"/>
        <item x="759"/>
        <item x="324"/>
        <item x="61"/>
        <item x="382"/>
        <item x="801"/>
        <item x="87"/>
        <item x="699"/>
        <item x="312"/>
        <item x="256"/>
        <item x="540"/>
        <item x="471"/>
        <item x="166"/>
        <item x="112"/>
        <item x="391"/>
        <item x="786"/>
        <item x="64"/>
        <item x="311"/>
        <item x="430"/>
        <item x="407"/>
        <item x="26"/>
        <item x="301"/>
        <item x="778"/>
        <item x="503"/>
        <item x="226"/>
        <item x="654"/>
        <item x="625"/>
        <item x="507"/>
        <item x="716"/>
        <item x="630"/>
        <item x="724"/>
        <item x="860"/>
        <item x="462"/>
        <item x="93"/>
        <item x="637"/>
        <item x="761"/>
        <item x="681"/>
        <item x="657"/>
        <item x="817"/>
        <item x="173"/>
        <item x="215"/>
        <item x="763"/>
        <item x="720"/>
        <item x="768"/>
        <item x="300"/>
        <item x="130"/>
        <item x="823"/>
        <item x="395"/>
        <item x="463"/>
        <item x="287"/>
        <item x="492"/>
        <item x="830"/>
        <item x="378"/>
        <item x="645"/>
        <item x="319"/>
        <item x="111"/>
        <item x="355"/>
        <item x="164"/>
        <item x="478"/>
        <item x="598"/>
        <item x="304"/>
        <item x="140"/>
        <item x="289"/>
        <item x="812"/>
        <item x="307"/>
        <item x="798"/>
        <item x="100"/>
        <item x="663"/>
        <item x="528"/>
        <item x="753"/>
        <item x="782"/>
        <item x="437"/>
        <item x="661"/>
        <item x="125"/>
        <item x="689"/>
        <item x="211"/>
        <item x="485"/>
        <item x="535"/>
        <item x="708"/>
        <item x="216"/>
        <item x="523"/>
        <item x="135"/>
        <item x="664"/>
        <item x="894"/>
        <item x="690"/>
        <item x="811"/>
        <item x="537"/>
        <item x="443"/>
        <item x="694"/>
        <item x="597"/>
        <item x="46"/>
        <item x="785"/>
        <item x="358"/>
        <item x="106"/>
        <item x="425"/>
        <item x="585"/>
        <item x="41"/>
        <item x="856"/>
        <item x="217"/>
        <item x="340"/>
        <item x="549"/>
        <item x="73"/>
        <item x="678"/>
        <item x="416"/>
        <item x="235"/>
        <item x="873"/>
        <item x="292"/>
        <item x="76"/>
        <item x="567"/>
        <item x="701"/>
        <item x="633"/>
        <item x="284"/>
        <item x="354"/>
        <item x="589"/>
        <item x="451"/>
        <item x="627"/>
        <item x="237"/>
        <item x="813"/>
        <item x="117"/>
        <item x="362"/>
        <item x="896"/>
        <item x="725"/>
        <item x="517"/>
        <item x="345"/>
        <item x="755"/>
        <item x="30"/>
        <item x="190"/>
        <item x="302"/>
        <item x="864"/>
        <item x="617"/>
        <item x="389"/>
        <item x="148"/>
        <item x="686"/>
        <item x="844"/>
        <item x="11"/>
        <item x="675"/>
        <item x="172"/>
        <item x="480"/>
        <item x="579"/>
        <item x="303"/>
        <item x="714"/>
        <item x="408"/>
        <item x="53"/>
        <item x="840"/>
        <item x="28"/>
        <item x="770"/>
        <item x="551"/>
        <item x="514"/>
        <item x="402"/>
        <item x="756"/>
        <item x="748"/>
        <item x="27"/>
        <item x="837"/>
        <item x="713"/>
        <item x="441"/>
        <item x="219"/>
        <item x="529"/>
        <item x="80"/>
        <item x="776"/>
        <item x="200"/>
        <item x="109"/>
        <item x="527"/>
        <item x="580"/>
        <item x="595"/>
        <item x="797"/>
        <item x="533"/>
        <item x="17"/>
        <item x="209"/>
        <item x="343"/>
        <item x="752"/>
        <item x="868"/>
        <item x="454"/>
        <item x="890"/>
        <item x="614"/>
        <item x="494"/>
        <item x="114"/>
        <item x="450"/>
        <item x="698"/>
        <item x="203"/>
        <item x="321"/>
        <item x="374"/>
        <item x="442"/>
        <item x="90"/>
        <item x="611"/>
        <item x="863"/>
        <item x="193"/>
        <item x="265"/>
        <item x="142"/>
        <item x="250"/>
        <item x="360"/>
        <item x="488"/>
        <item x="456"/>
        <item x="414"/>
        <item x="487"/>
        <item x="606"/>
        <item x="628"/>
        <item x="81"/>
        <item x="176"/>
        <item x="607"/>
        <item x="349"/>
        <item x="767"/>
        <item x="854"/>
        <item x="134"/>
        <item x="643"/>
        <item x="574"/>
        <item x="400"/>
        <item x="329"/>
        <item x="269"/>
        <item x="794"/>
        <item x="238"/>
        <item x="51"/>
        <item x="737"/>
        <item x="543"/>
        <item x="133"/>
        <item x="423"/>
        <item x="800"/>
        <item x="504"/>
        <item x="746"/>
        <item x="558"/>
        <item x="668"/>
        <item x="497"/>
        <item x="816"/>
        <item x="594"/>
        <item x="376"/>
        <item x="834"/>
        <item x="353"/>
        <item x="781"/>
        <item x="19"/>
        <item x="582"/>
        <item x="49"/>
        <item x="224"/>
        <item x="838"/>
        <item x="397"/>
        <item x="113"/>
        <item x="879"/>
        <item x="268"/>
        <item x="560"/>
        <item x="95"/>
        <item x="479"/>
        <item x="848"/>
        <item x="749"/>
        <item x="539"/>
        <item x="227"/>
        <item x="50"/>
        <item x="91"/>
        <item x="555"/>
        <item x="502"/>
        <item x="390"/>
        <item x="789"/>
        <item x="291"/>
        <item x="640"/>
        <item x="547"/>
        <item x="44"/>
        <item x="733"/>
        <item x="792"/>
        <item x="779"/>
        <item x="313"/>
        <item x="243"/>
        <item x="758"/>
        <item x="577"/>
        <item x="398"/>
        <item x="559"/>
        <item x="254"/>
        <item x="221"/>
        <item x="39"/>
        <item x="266"/>
        <item x="70"/>
        <item x="369"/>
        <item x="272"/>
        <item x="129"/>
        <item x="139"/>
        <item x="419"/>
        <item x="205"/>
        <item x="373"/>
        <item x="136"/>
        <item x="83"/>
        <item x="521"/>
        <item x="286"/>
        <item x="197"/>
        <item x="852"/>
        <item x="151"/>
        <item x="36"/>
        <item x="670"/>
        <item x="751"/>
        <item x="490"/>
        <item x="548"/>
        <item x="884"/>
        <item x="263"/>
        <item x="351"/>
        <item x="568"/>
        <item x="742"/>
        <item x="609"/>
        <item x="596"/>
        <item x="498"/>
        <item x="576"/>
        <item x="346"/>
        <item x="828"/>
        <item x="316"/>
        <item x="754"/>
        <item x="665"/>
        <item x="428"/>
        <item x="584"/>
        <item x="370"/>
        <item x="477"/>
        <item x="891"/>
        <item x="273"/>
        <item x="213"/>
        <item x="522"/>
        <item x="821"/>
        <item x="35"/>
        <item x="72"/>
        <item x="371"/>
        <item x="183"/>
        <item x="159"/>
        <item x="565"/>
        <item x="676"/>
        <item x="29"/>
        <item x="131"/>
        <item x="25"/>
        <item x="149"/>
        <item x="775"/>
        <item x="619"/>
        <item x="444"/>
        <item x="232"/>
        <item x="99"/>
        <item x="680"/>
        <item x="571"/>
        <item x="561"/>
        <item x="877"/>
        <item x="458"/>
        <item x="306"/>
        <item x="107"/>
        <item x="298"/>
        <item x="58"/>
        <item x="187"/>
        <item x="563"/>
        <item x="810"/>
        <item x="147"/>
        <item x="380"/>
        <item x="524"/>
        <item x="65"/>
        <item x="310"/>
        <item x="257"/>
        <item x="260"/>
        <item x="512"/>
        <item x="586"/>
        <item x="413"/>
        <item x="356"/>
        <item x="795"/>
        <item x="189"/>
        <item x="526"/>
        <item x="476"/>
        <item x="225"/>
        <item x="56"/>
        <item x="771"/>
        <item x="5"/>
        <item x="199"/>
        <item x="282"/>
        <item x="89"/>
        <item x="385"/>
        <item x="393"/>
        <item x="429"/>
        <item x="206"/>
        <item x="895"/>
        <item x="511"/>
        <item x="447"/>
        <item x="386"/>
        <item x="500"/>
        <item x="341"/>
        <item x="562"/>
        <item x="223"/>
        <item x="60"/>
        <item x="52"/>
        <item x="734"/>
        <item x="599"/>
        <item x="687"/>
        <item x="465"/>
        <item x="655"/>
        <item x="610"/>
        <item x="726"/>
        <item x="853"/>
        <item x="587"/>
        <item x="332"/>
        <item x="772"/>
        <item x="621"/>
        <item x="847"/>
        <item x="2"/>
        <item x="881"/>
        <item x="850"/>
        <item x="110"/>
        <item x="333"/>
        <item x="695"/>
        <item x="736"/>
        <item x="161"/>
        <item x="730"/>
        <item x="32"/>
        <item x="874"/>
        <item x="309"/>
        <item x="564"/>
        <item x="765"/>
        <item x="330"/>
        <item x="279"/>
        <item x="519"/>
        <item x="885"/>
        <item x="642"/>
        <item x="75"/>
        <item x="738"/>
        <item x="518"/>
        <item x="88"/>
        <item x="14"/>
        <item x="484"/>
        <item x="152"/>
        <item x="174"/>
        <item x="84"/>
        <item x="57"/>
        <item x="7"/>
        <item x="43"/>
        <item x="144"/>
        <item x="467"/>
        <item x="94"/>
        <item x="545"/>
        <item x="747"/>
        <item x="342"/>
        <item x="67"/>
        <item x="743"/>
        <item x="469"/>
        <item x="593"/>
        <item x="871"/>
        <item x="889"/>
        <item x="715"/>
        <item x="470"/>
        <item x="178"/>
        <item x="793"/>
        <item x="882"/>
        <item x="79"/>
        <item x="274"/>
        <item x="92"/>
        <item x="12"/>
        <item x="728"/>
        <item x="651"/>
        <item x="401"/>
        <item x="832"/>
        <item x="677"/>
        <item x="858"/>
        <item x="866"/>
        <item x="434"/>
        <item x="566"/>
        <item x="718"/>
        <item x="288"/>
        <item x="121"/>
        <item x="388"/>
        <item x="403"/>
        <item x="659"/>
        <item x="445"/>
        <item x="473"/>
        <item x="82"/>
        <item x="381"/>
        <item x="460"/>
        <item x="530"/>
        <item x="294"/>
        <item x="774"/>
        <item x="791"/>
        <item x="37"/>
        <item x="647"/>
        <item x="54"/>
        <item x="532"/>
        <item x="622"/>
        <item x="712"/>
        <item x="336"/>
        <item x="632"/>
        <item x="544"/>
        <item x="411"/>
        <item x="815"/>
        <item x="808"/>
        <item x="474"/>
        <item x="826"/>
        <item x="335"/>
        <item x="592"/>
        <item x="195"/>
        <item x="153"/>
        <item x="255"/>
        <item x="809"/>
        <item x="368"/>
        <item x="505"/>
        <item x="4"/>
        <item x="510"/>
        <item x="433"/>
        <item x="806"/>
        <item x="404"/>
        <item x="244"/>
        <item x="372"/>
        <item x="383"/>
        <item x="508"/>
        <item x="455"/>
        <item x="290"/>
        <item x="557"/>
        <item x="439"/>
        <item x="773"/>
        <item x="132"/>
        <item x="705"/>
        <item x="278"/>
        <item x="731"/>
        <item x="685"/>
        <item x="230"/>
        <item x="158"/>
        <item x="293"/>
        <item x="24"/>
        <item x="1"/>
        <item x="47"/>
        <item t="default"/>
      </items>
    </pivotField>
    <pivotField showAll="0"/>
    <pivotField showAll="0"/>
    <pivotField numFmtId="14" showAll="0">
      <items count="539">
        <item x="208"/>
        <item x="481"/>
        <item x="408"/>
        <item x="444"/>
        <item x="372"/>
        <item x="312"/>
        <item x="345"/>
        <item x="414"/>
        <item x="10"/>
        <item x="354"/>
        <item x="393"/>
        <item x="169"/>
        <item x="15"/>
        <item x="424"/>
        <item x="185"/>
        <item x="246"/>
        <item x="515"/>
        <item x="324"/>
        <item x="48"/>
        <item x="41"/>
        <item x="74"/>
        <item x="303"/>
        <item x="142"/>
        <item x="40"/>
        <item x="370"/>
        <item x="138"/>
        <item x="406"/>
        <item x="33"/>
        <item x="75"/>
        <item x="80"/>
        <item x="134"/>
        <item x="91"/>
        <item x="177"/>
        <item x="462"/>
        <item x="211"/>
        <item x="535"/>
        <item x="81"/>
        <item x="467"/>
        <item x="301"/>
        <item x="334"/>
        <item x="273"/>
        <item x="150"/>
        <item x="236"/>
        <item x="488"/>
        <item x="39"/>
        <item x="357"/>
        <item x="276"/>
        <item x="29"/>
        <item x="326"/>
        <item x="229"/>
        <item x="361"/>
        <item x="421"/>
        <item x="296"/>
        <item x="197"/>
        <item x="21"/>
        <item x="329"/>
        <item x="459"/>
        <item x="517"/>
        <item x="493"/>
        <item x="146"/>
        <item x="7"/>
        <item x="78"/>
        <item x="182"/>
        <item x="44"/>
        <item x="234"/>
        <item x="162"/>
        <item x="482"/>
        <item x="94"/>
        <item x="448"/>
        <item x="179"/>
        <item x="386"/>
        <item x="101"/>
        <item x="307"/>
        <item x="124"/>
        <item x="55"/>
        <item x="209"/>
        <item x="213"/>
        <item x="69"/>
        <item x="260"/>
        <item x="522"/>
        <item x="222"/>
        <item x="447"/>
        <item x="106"/>
        <item x="315"/>
        <item x="437"/>
        <item x="306"/>
        <item x="13"/>
        <item x="272"/>
        <item x="247"/>
        <item x="223"/>
        <item x="379"/>
        <item x="18"/>
        <item x="225"/>
        <item x="207"/>
        <item x="85"/>
        <item x="135"/>
        <item x="131"/>
        <item x="79"/>
        <item x="528"/>
        <item x="325"/>
        <item x="58"/>
        <item x="476"/>
        <item x="520"/>
        <item x="281"/>
        <item x="71"/>
        <item x="255"/>
        <item x="165"/>
        <item x="353"/>
        <item x="90"/>
        <item x="261"/>
        <item x="422"/>
        <item x="232"/>
        <item x="72"/>
        <item x="298"/>
        <item x="70"/>
        <item x="491"/>
        <item x="277"/>
        <item x="469"/>
        <item x="45"/>
        <item x="151"/>
        <item x="262"/>
        <item x="140"/>
        <item x="356"/>
        <item x="322"/>
        <item x="268"/>
        <item x="4"/>
        <item x="288"/>
        <item x="235"/>
        <item x="475"/>
        <item x="292"/>
        <item x="499"/>
        <item x="110"/>
        <item x="505"/>
        <item x="519"/>
        <item x="375"/>
        <item x="320"/>
        <item x="456"/>
        <item x="280"/>
        <item x="12"/>
        <item x="32"/>
        <item x="26"/>
        <item x="205"/>
        <item x="460"/>
        <item x="290"/>
        <item x="453"/>
        <item x="397"/>
        <item x="1"/>
        <item x="143"/>
        <item x="188"/>
        <item x="494"/>
        <item x="231"/>
        <item x="314"/>
        <item x="339"/>
        <item x="526"/>
        <item x="378"/>
        <item x="160"/>
        <item x="293"/>
        <item x="458"/>
        <item x="309"/>
        <item x="284"/>
        <item x="504"/>
        <item x="219"/>
        <item x="175"/>
        <item x="282"/>
        <item x="279"/>
        <item x="411"/>
        <item x="212"/>
        <item x="6"/>
        <item x="366"/>
        <item x="364"/>
        <item x="53"/>
        <item x="115"/>
        <item x="230"/>
        <item x="500"/>
        <item x="286"/>
        <item x="365"/>
        <item x="176"/>
        <item x="451"/>
        <item x="495"/>
        <item x="98"/>
        <item x="65"/>
        <item x="341"/>
        <item x="204"/>
        <item x="103"/>
        <item x="155"/>
        <item x="537"/>
        <item x="518"/>
        <item x="242"/>
        <item x="492"/>
        <item x="291"/>
        <item x="409"/>
        <item x="170"/>
        <item x="506"/>
        <item x="30"/>
        <item x="123"/>
        <item x="508"/>
        <item x="258"/>
        <item x="510"/>
        <item x="166"/>
        <item x="226"/>
        <item x="141"/>
        <item x="474"/>
        <item x="289"/>
        <item x="163"/>
        <item x="136"/>
        <item x="319"/>
        <item x="367"/>
        <item x="119"/>
        <item x="455"/>
        <item x="63"/>
        <item x="171"/>
        <item x="266"/>
        <item x="523"/>
        <item x="425"/>
        <item x="452"/>
        <item x="120"/>
        <item x="210"/>
        <item x="250"/>
        <item x="147"/>
        <item x="436"/>
        <item x="156"/>
        <item x="202"/>
        <item x="77"/>
        <item x="86"/>
        <item x="355"/>
        <item x="294"/>
        <item x="318"/>
        <item x="267"/>
        <item x="465"/>
        <item x="157"/>
        <item x="84"/>
        <item x="36"/>
        <item x="502"/>
        <item x="19"/>
        <item x="358"/>
        <item x="348"/>
        <item x="412"/>
        <item x="190"/>
        <item x="265"/>
        <item x="418"/>
        <item x="189"/>
        <item x="297"/>
        <item x="371"/>
        <item x="14"/>
        <item x="527"/>
        <item x="512"/>
        <item x="390"/>
        <item x="479"/>
        <item x="64"/>
        <item x="304"/>
        <item x="149"/>
        <item x="218"/>
        <item x="400"/>
        <item x="338"/>
        <item x="82"/>
        <item x="333"/>
        <item x="426"/>
        <item x="198"/>
        <item x="164"/>
        <item x="54"/>
        <item x="88"/>
        <item x="239"/>
        <item x="388"/>
        <item x="159"/>
        <item x="404"/>
        <item x="497"/>
        <item x="112"/>
        <item x="381"/>
        <item x="516"/>
        <item x="532"/>
        <item x="34"/>
        <item x="454"/>
        <item x="316"/>
        <item x="68"/>
        <item x="251"/>
        <item x="377"/>
        <item x="435"/>
        <item x="344"/>
        <item x="328"/>
        <item x="433"/>
        <item x="415"/>
        <item x="214"/>
        <item x="259"/>
        <item x="137"/>
        <item x="191"/>
        <item x="105"/>
        <item x="161"/>
        <item x="67"/>
        <item x="118"/>
        <item x="343"/>
        <item x="299"/>
        <item x="271"/>
        <item x="427"/>
        <item x="43"/>
        <item x="51"/>
        <item x="441"/>
        <item x="241"/>
        <item x="95"/>
        <item x="383"/>
        <item x="117"/>
        <item x="509"/>
        <item x="310"/>
        <item x="363"/>
        <item x="245"/>
        <item x="224"/>
        <item x="321"/>
        <item x="195"/>
        <item x="398"/>
        <item x="373"/>
        <item x="186"/>
        <item x="243"/>
        <item x="240"/>
        <item x="62"/>
        <item x="485"/>
        <item x="331"/>
        <item x="507"/>
        <item x="449"/>
        <item x="158"/>
        <item x="220"/>
        <item x="470"/>
        <item x="107"/>
        <item x="439"/>
        <item x="127"/>
        <item x="238"/>
        <item x="369"/>
        <item x="99"/>
        <item x="16"/>
        <item x="308"/>
        <item x="380"/>
        <item x="295"/>
        <item x="432"/>
        <item x="395"/>
        <item x="278"/>
        <item x="359"/>
        <item x="531"/>
        <item x="405"/>
        <item x="173"/>
        <item x="269"/>
        <item x="340"/>
        <item x="335"/>
        <item x="60"/>
        <item x="529"/>
        <item x="129"/>
        <item x="89"/>
        <item x="429"/>
        <item x="233"/>
        <item x="385"/>
        <item x="152"/>
        <item x="217"/>
        <item x="468"/>
        <item x="203"/>
        <item x="249"/>
        <item x="323"/>
        <item x="192"/>
        <item x="287"/>
        <item x="533"/>
        <item x="130"/>
        <item x="346"/>
        <item x="478"/>
        <item x="97"/>
        <item x="483"/>
        <item x="360"/>
        <item x="23"/>
        <item x="285"/>
        <item x="256"/>
        <item x="254"/>
        <item x="196"/>
        <item x="52"/>
        <item x="116"/>
        <item x="20"/>
        <item x="263"/>
        <item x="28"/>
        <item x="174"/>
        <item x="178"/>
        <item x="450"/>
        <item x="133"/>
        <item x="73"/>
        <item x="300"/>
        <item x="2"/>
        <item x="438"/>
        <item x="442"/>
        <item x="302"/>
        <item x="59"/>
        <item x="413"/>
        <item x="394"/>
        <item x="368"/>
        <item x="17"/>
        <item x="534"/>
        <item x="49"/>
        <item x="50"/>
        <item x="391"/>
        <item x="332"/>
        <item x="184"/>
        <item x="180"/>
        <item x="42"/>
        <item x="22"/>
        <item x="8"/>
        <item x="503"/>
        <item x="466"/>
        <item x="87"/>
        <item x="215"/>
        <item x="275"/>
        <item x="83"/>
        <item x="403"/>
        <item x="536"/>
        <item x="92"/>
        <item x="477"/>
        <item x="514"/>
        <item x="430"/>
        <item x="420"/>
        <item x="253"/>
        <item x="38"/>
        <item x="24"/>
        <item x="200"/>
        <item x="104"/>
        <item x="248"/>
        <item x="187"/>
        <item x="121"/>
        <item x="167"/>
        <item x="416"/>
        <item x="201"/>
        <item x="374"/>
        <item x="472"/>
        <item x="31"/>
        <item x="498"/>
        <item x="431"/>
        <item x="342"/>
        <item x="9"/>
        <item x="46"/>
        <item x="419"/>
        <item x="392"/>
        <item x="407"/>
        <item x="489"/>
        <item x="132"/>
        <item x="313"/>
        <item x="511"/>
        <item x="139"/>
        <item x="66"/>
        <item x="317"/>
        <item x="382"/>
        <item x="193"/>
        <item x="109"/>
        <item x="37"/>
        <item x="487"/>
        <item x="168"/>
        <item x="423"/>
        <item x="145"/>
        <item x="181"/>
        <item x="440"/>
        <item x="237"/>
        <item x="352"/>
        <item x="396"/>
        <item x="252"/>
        <item x="330"/>
        <item x="530"/>
        <item x="114"/>
        <item x="113"/>
        <item x="227"/>
        <item x="471"/>
        <item x="387"/>
        <item x="496"/>
        <item x="417"/>
        <item x="172"/>
        <item x="125"/>
        <item x="389"/>
        <item x="445"/>
        <item x="490"/>
        <item x="362"/>
        <item x="434"/>
        <item x="486"/>
        <item x="480"/>
        <item x="401"/>
        <item x="57"/>
        <item x="457"/>
        <item x="56"/>
        <item x="206"/>
        <item x="3"/>
        <item x="513"/>
        <item x="128"/>
        <item x="102"/>
        <item x="464"/>
        <item x="194"/>
        <item x="153"/>
        <item x="264"/>
        <item x="257"/>
        <item x="446"/>
        <item x="461"/>
        <item x="463"/>
        <item x="384"/>
        <item x="61"/>
        <item x="100"/>
        <item x="410"/>
        <item x="228"/>
        <item x="96"/>
        <item x="327"/>
        <item x="111"/>
        <item x="524"/>
        <item x="311"/>
        <item x="221"/>
        <item x="244"/>
        <item x="25"/>
        <item x="144"/>
        <item x="443"/>
        <item x="351"/>
        <item x="376"/>
        <item x="305"/>
        <item x="347"/>
        <item x="0"/>
        <item x="336"/>
        <item x="428"/>
        <item x="27"/>
        <item x="337"/>
        <item x="399"/>
        <item x="126"/>
        <item x="525"/>
        <item x="501"/>
        <item x="349"/>
        <item x="5"/>
        <item x="154"/>
        <item x="484"/>
        <item x="47"/>
        <item x="270"/>
        <item x="521"/>
        <item x="183"/>
        <item x="76"/>
        <item x="350"/>
        <item x="108"/>
        <item x="473"/>
        <item x="274"/>
        <item x="122"/>
        <item x="35"/>
        <item x="148"/>
        <item x="216"/>
        <item x="11"/>
        <item x="93"/>
        <item x="283"/>
        <item x="199"/>
        <item x="402"/>
        <item t="default"/>
      </items>
    </pivotField>
    <pivotField showAll="0"/>
    <pivotField showAll="0"/>
    <pivotField showAll="0"/>
    <pivotField showAll="0"/>
    <pivotField showAll="0">
      <items count="11">
        <item x="0"/>
        <item x="4"/>
        <item x="5"/>
        <item x="8"/>
        <item x="7"/>
        <item x="6"/>
        <item x="1"/>
        <item x="9"/>
        <item x="2"/>
        <item x="3"/>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9"/>
  </rowFields>
  <rowItems count="13">
    <i>
      <x v="1"/>
    </i>
    <i>
      <x v="2"/>
    </i>
    <i>
      <x v="3"/>
    </i>
    <i>
      <x v="4"/>
    </i>
    <i>
      <x v="5"/>
    </i>
    <i>
      <x v="6"/>
    </i>
    <i>
      <x v="7"/>
    </i>
    <i>
      <x v="8"/>
    </i>
    <i>
      <x v="9"/>
    </i>
    <i>
      <x v="10"/>
    </i>
    <i>
      <x v="11"/>
    </i>
    <i>
      <x v="12"/>
    </i>
    <i t="grand">
      <x/>
    </i>
  </rowItems>
  <colFields count="1">
    <field x="21"/>
  </colFields>
  <colItems count="3">
    <i>
      <x v="1"/>
    </i>
    <i>
      <x v="2"/>
    </i>
    <i t="grand">
      <x/>
    </i>
  </colItems>
  <dataFields count="1">
    <dataField name="Sum of Sales_CLEAN" fld="17" baseField="0" baseItem="0"/>
  </dataFields>
  <formats count="1">
    <format dxfId="30">
      <pivotArea dataOnly="0" grandRow="1" fieldPosition="0"/>
    </format>
  </formats>
  <chartFormats count="2">
    <chartFormat chart="1" format="0" series="1">
      <pivotArea type="data" outline="0" fieldPosition="0">
        <references count="2">
          <reference field="4294967294" count="1" selected="0">
            <x v="0"/>
          </reference>
          <reference field="21" count="1" selected="0">
            <x v="1"/>
          </reference>
        </references>
      </pivotArea>
    </chartFormat>
    <chartFormat chart="1" format="1" series="1">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5FBB4B-C969-4ACE-9E31-0EA042039E22}"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3" firstHeaderRow="0" firstDataRow="1" firstDataCol="0"/>
  <pivotFields count="22">
    <pivotField showAll="0"/>
    <pivotField showAll="0"/>
    <pivotField showAll="0">
      <items count="773">
        <item x="43"/>
        <item x="357"/>
        <item x="286"/>
        <item x="315"/>
        <item x="2"/>
        <item x="234"/>
        <item x="254"/>
        <item x="732"/>
        <item x="318"/>
        <item x="614"/>
        <item x="519"/>
        <item x="471"/>
        <item x="658"/>
        <item x="347"/>
        <item x="113"/>
        <item x="151"/>
        <item x="167"/>
        <item x="37"/>
        <item x="635"/>
        <item x="242"/>
        <item x="216"/>
        <item x="470"/>
        <item x="384"/>
        <item x="588"/>
        <item x="49"/>
        <item x="476"/>
        <item x="349"/>
        <item x="405"/>
        <item x="467"/>
        <item x="638"/>
        <item x="525"/>
        <item x="462"/>
        <item x="708"/>
        <item x="421"/>
        <item x="387"/>
        <item x="294"/>
        <item x="50"/>
        <item x="367"/>
        <item x="586"/>
        <item x="230"/>
        <item x="539"/>
        <item x="496"/>
        <item x="67"/>
        <item x="15"/>
        <item x="682"/>
        <item x="760"/>
        <item x="393"/>
        <item x="41"/>
        <item x="258"/>
        <item x="514"/>
        <item x="326"/>
        <item x="219"/>
        <item x="493"/>
        <item x="12"/>
        <item x="38"/>
        <item x="302"/>
        <item x="621"/>
        <item x="690"/>
        <item x="767"/>
        <item x="565"/>
        <item x="460"/>
        <item x="136"/>
        <item x="672"/>
        <item x="32"/>
        <item x="378"/>
        <item x="169"/>
        <item x="143"/>
        <item x="487"/>
        <item x="561"/>
        <item x="629"/>
        <item x="567"/>
        <item x="686"/>
        <item x="754"/>
        <item x="223"/>
        <item x="513"/>
        <item x="771"/>
        <item x="101"/>
        <item x="748"/>
        <item x="615"/>
        <item x="129"/>
        <item x="602"/>
        <item x="3"/>
        <item x="434"/>
        <item x="726"/>
        <item x="250"/>
        <item x="683"/>
        <item x="320"/>
        <item x="723"/>
        <item x="99"/>
        <item x="536"/>
        <item x="745"/>
        <item x="76"/>
        <item x="578"/>
        <item x="103"/>
        <item x="106"/>
        <item x="256"/>
        <item x="147"/>
        <item x="36"/>
        <item x="297"/>
        <item x="191"/>
        <item x="704"/>
        <item x="646"/>
        <item x="724"/>
        <item x="140"/>
        <item x="364"/>
        <item x="439"/>
        <item x="526"/>
        <item x="763"/>
        <item x="317"/>
        <item x="72"/>
        <item x="582"/>
        <item x="656"/>
        <item x="472"/>
        <item x="541"/>
        <item x="610"/>
        <item x="66"/>
        <item x="601"/>
        <item x="710"/>
        <item x="222"/>
        <item x="133"/>
        <item x="366"/>
        <item x="642"/>
        <item x="348"/>
        <item x="687"/>
        <item x="464"/>
        <item x="450"/>
        <item x="729"/>
        <item x="321"/>
        <item x="344"/>
        <item x="545"/>
        <item x="473"/>
        <item x="377"/>
        <item x="206"/>
        <item x="184"/>
        <item x="733"/>
        <item x="126"/>
        <item x="479"/>
        <item x="446"/>
        <item x="663"/>
        <item x="540"/>
        <item x="576"/>
        <item x="611"/>
        <item x="418"/>
        <item x="424"/>
        <item x="279"/>
        <item x="182"/>
        <item x="482"/>
        <item x="574"/>
        <item x="528"/>
        <item x="305"/>
        <item x="22"/>
        <item x="183"/>
        <item x="497"/>
        <item x="728"/>
        <item x="280"/>
        <item x="624"/>
        <item x="89"/>
        <item x="246"/>
        <item x="702"/>
        <item x="257"/>
        <item x="150"/>
        <item x="57"/>
        <item x="342"/>
        <item x="501"/>
        <item x="365"/>
        <item x="293"/>
        <item x="750"/>
        <item x="80"/>
        <item x="290"/>
        <item x="1"/>
        <item x="530"/>
        <item x="157"/>
        <item x="543"/>
        <item x="636"/>
        <item x="612"/>
        <item x="227"/>
        <item x="619"/>
        <item x="102"/>
        <item x="260"/>
        <item x="562"/>
        <item x="423"/>
        <item x="240"/>
        <item x="692"/>
        <item x="226"/>
        <item x="756"/>
        <item x="570"/>
        <item x="309"/>
        <item x="14"/>
        <item x="551"/>
        <item x="64"/>
        <item x="412"/>
        <item x="245"/>
        <item x="354"/>
        <item x="310"/>
        <item x="749"/>
        <item x="389"/>
        <item x="152"/>
        <item x="755"/>
        <item x="594"/>
        <item x="620"/>
        <item x="641"/>
        <item x="486"/>
        <item x="202"/>
        <item x="639"/>
        <item x="743"/>
        <item x="159"/>
        <item x="444"/>
        <item x="215"/>
        <item x="764"/>
        <item x="645"/>
        <item x="388"/>
        <item x="568"/>
        <item x="705"/>
        <item x="303"/>
        <item x="394"/>
        <item x="313"/>
        <item x="466"/>
        <item x="667"/>
        <item x="217"/>
        <item x="422"/>
        <item x="123"/>
        <item x="352"/>
        <item x="287"/>
        <item x="4"/>
        <item x="677"/>
        <item x="265"/>
        <item x="209"/>
        <item x="435"/>
        <item x="552"/>
        <item x="587"/>
        <item x="518"/>
        <item x="299"/>
        <item x="512"/>
        <item x="608"/>
        <item x="685"/>
        <item x="468"/>
        <item x="193"/>
        <item x="569"/>
        <item x="643"/>
        <item x="669"/>
        <item x="737"/>
        <item x="248"/>
        <item x="478"/>
        <item x="650"/>
        <item x="10"/>
        <item x="714"/>
        <item x="542"/>
        <item x="697"/>
        <item x="48"/>
        <item x="432"/>
        <item x="362"/>
        <item x="194"/>
        <item x="409"/>
        <item x="627"/>
        <item x="363"/>
        <item x="443"/>
        <item x="395"/>
        <item x="263"/>
        <item x="489"/>
        <item x="345"/>
        <item x="269"/>
        <item x="371"/>
        <item x="13"/>
        <item x="560"/>
        <item x="58"/>
        <item x="71"/>
        <item x="296"/>
        <item x="537"/>
        <item x="70"/>
        <item x="448"/>
        <item x="442"/>
        <item x="622"/>
        <item x="759"/>
        <item x="503"/>
        <item x="765"/>
        <item x="295"/>
        <item x="456"/>
        <item x="454"/>
        <item x="118"/>
        <item x="679"/>
        <item x="438"/>
        <item x="689"/>
        <item x="346"/>
        <item x="187"/>
        <item x="212"/>
        <item x="176"/>
        <item x="175"/>
        <item x="458"/>
        <item x="335"/>
        <item x="188"/>
        <item x="125"/>
        <item x="78"/>
        <item x="706"/>
        <item x="703"/>
        <item x="709"/>
        <item x="691"/>
        <item x="210"/>
        <item x="160"/>
        <item x="413"/>
        <item x="83"/>
        <item x="664"/>
        <item x="554"/>
        <item x="684"/>
        <item x="34"/>
        <item x="596"/>
        <item x="381"/>
        <item x="68"/>
        <item x="731"/>
        <item x="549"/>
        <item x="504"/>
        <item x="170"/>
        <item x="406"/>
        <item x="110"/>
        <item x="433"/>
        <item x="16"/>
        <item x="407"/>
        <item x="60"/>
        <item x="747"/>
        <item x="517"/>
        <item x="553"/>
        <item x="630"/>
        <item x="229"/>
        <item x="626"/>
        <item x="137"/>
        <item x="426"/>
        <item x="557"/>
        <item x="119"/>
        <item x="391"/>
        <item x="590"/>
        <item x="498"/>
        <item x="17"/>
        <item x="766"/>
        <item x="403"/>
        <item x="197"/>
        <item x="324"/>
        <item x="84"/>
        <item x="698"/>
        <item x="739"/>
        <item x="676"/>
        <item x="225"/>
        <item x="559"/>
        <item x="605"/>
        <item x="670"/>
        <item x="546"/>
        <item x="198"/>
        <item x="356"/>
        <item x="746"/>
        <item x="400"/>
        <item x="259"/>
        <item x="680"/>
        <item x="531"/>
        <item x="385"/>
        <item x="211"/>
        <item x="488"/>
        <item x="566"/>
        <item x="666"/>
        <item x="508"/>
        <item x="644"/>
        <item x="325"/>
        <item x="661"/>
        <item x="507"/>
        <item x="521"/>
        <item x="483"/>
        <item x="281"/>
        <item x="469"/>
        <item x="47"/>
        <item x="431"/>
        <item x="201"/>
        <item x="353"/>
        <item x="292"/>
        <item x="334"/>
        <item x="414"/>
        <item x="156"/>
        <item x="94"/>
        <item x="762"/>
        <item x="172"/>
        <item x="9"/>
        <item x="253"/>
        <item x="577"/>
        <item x="148"/>
        <item x="284"/>
        <item x="511"/>
        <item x="322"/>
        <item x="199"/>
        <item x="251"/>
        <item x="550"/>
        <item x="516"/>
        <item x="563"/>
        <item x="161"/>
        <item x="44"/>
        <item x="200"/>
        <item x="436"/>
        <item x="27"/>
        <item x="11"/>
        <item x="122"/>
        <item x="91"/>
        <item x="617"/>
        <item x="163"/>
        <item x="441"/>
        <item x="181"/>
        <item x="18"/>
        <item x="337"/>
        <item x="495"/>
        <item x="618"/>
        <item x="375"/>
        <item x="515"/>
        <item x="351"/>
        <item x="453"/>
        <item x="221"/>
        <item x="461"/>
        <item x="534"/>
        <item x="247"/>
        <item x="312"/>
        <item x="445"/>
        <item x="192"/>
        <item x="529"/>
        <item x="662"/>
        <item x="26"/>
        <item x="195"/>
        <item x="548"/>
        <item x="360"/>
        <item x="564"/>
        <item x="741"/>
        <item x="301"/>
        <item x="634"/>
        <item x="522"/>
        <item x="768"/>
        <item x="178"/>
        <item x="45"/>
        <item x="177"/>
        <item x="452"/>
        <item x="358"/>
        <item x="189"/>
        <item x="235"/>
        <item x="652"/>
        <item x="736"/>
        <item x="751"/>
        <item x="527"/>
        <item x="591"/>
        <item x="440"/>
        <item x="186"/>
        <item x="204"/>
        <item x="283"/>
        <item x="717"/>
        <item x="73"/>
        <item x="75"/>
        <item x="675"/>
        <item x="40"/>
        <item x="678"/>
        <item x="146"/>
        <item x="33"/>
        <item x="609"/>
        <item x="81"/>
        <item x="141"/>
        <item x="92"/>
        <item x="262"/>
        <item x="616"/>
        <item x="238"/>
        <item x="82"/>
        <item x="361"/>
        <item x="623"/>
        <item x="271"/>
        <item x="668"/>
        <item x="39"/>
        <item x="606"/>
        <item x="29"/>
        <item x="474"/>
        <item x="598"/>
        <item x="535"/>
        <item x="21"/>
        <item x="399"/>
        <item x="719"/>
        <item x="674"/>
        <item x="7"/>
        <item x="79"/>
        <item x="402"/>
        <item x="174"/>
        <item x="653"/>
        <item x="96"/>
        <item x="196"/>
        <item x="484"/>
        <item x="130"/>
        <item x="55"/>
        <item x="236"/>
        <item x="69"/>
        <item x="744"/>
        <item x="109"/>
        <item x="380"/>
        <item x="572"/>
        <item x="370"/>
        <item x="408"/>
        <item x="437"/>
        <item x="255"/>
        <item x="233"/>
        <item x="86"/>
        <item x="142"/>
        <item x="138"/>
        <item x="742"/>
        <item x="659"/>
        <item x="343"/>
        <item x="332"/>
        <item x="179"/>
        <item x="490"/>
        <item x="304"/>
        <item x="558"/>
        <item x="266"/>
        <item x="510"/>
        <item x="316"/>
        <item x="327"/>
        <item x="631"/>
        <item x="120"/>
        <item x="162"/>
        <item x="149"/>
        <item x="571"/>
        <item x="336"/>
        <item x="341"/>
        <item x="270"/>
        <item x="398"/>
        <item x="699"/>
        <item x="721"/>
        <item x="386"/>
        <item x="603"/>
        <item x="331"/>
        <item x="231"/>
        <item x="595"/>
        <item x="429"/>
        <item x="208"/>
        <item x="722"/>
        <item x="379"/>
        <item x="415"/>
        <item x="613"/>
        <item x="373"/>
        <item x="350"/>
        <item x="607"/>
        <item x="374"/>
        <item x="583"/>
        <item x="695"/>
        <item x="333"/>
        <item x="330"/>
        <item x="523"/>
        <item x="239"/>
        <item x="6"/>
        <item x="544"/>
        <item x="53"/>
        <item x="264"/>
        <item x="688"/>
        <item x="339"/>
        <item x="455"/>
        <item x="425"/>
        <item x="593"/>
        <item x="100"/>
        <item x="65"/>
        <item x="105"/>
        <item x="770"/>
        <item x="720"/>
        <item x="278"/>
        <item x="673"/>
        <item x="520"/>
        <item x="392"/>
        <item x="700"/>
        <item x="30"/>
        <item x="128"/>
        <item x="300"/>
        <item x="180"/>
        <item x="491"/>
        <item x="640"/>
        <item x="524"/>
        <item x="144"/>
        <item x="124"/>
        <item x="599"/>
        <item x="63"/>
        <item x="417"/>
        <item x="311"/>
        <item x="657"/>
        <item x="237"/>
        <item x="288"/>
        <item x="158"/>
        <item x="168"/>
        <item x="475"/>
        <item x="87"/>
        <item x="383"/>
        <item x="592"/>
        <item x="85"/>
        <item x="19"/>
        <item x="428"/>
        <item x="220"/>
        <item x="532"/>
        <item x="355"/>
        <item x="740"/>
        <item x="712"/>
        <item x="492"/>
        <item x="649"/>
        <item x="693"/>
        <item x="368"/>
        <item x="556"/>
        <item x="506"/>
        <item x="597"/>
        <item x="107"/>
        <item x="404"/>
        <item x="547"/>
        <item x="628"/>
        <item x="54"/>
        <item x="261"/>
        <item x="275"/>
        <item x="171"/>
        <item x="115"/>
        <item x="500"/>
        <item x="718"/>
        <item x="757"/>
        <item x="289"/>
        <item x="397"/>
        <item x="241"/>
        <item x="145"/>
        <item x="213"/>
        <item x="108"/>
        <item x="173"/>
        <item x="307"/>
        <item x="228"/>
        <item x="420"/>
        <item x="359"/>
        <item x="319"/>
        <item x="272"/>
        <item x="51"/>
        <item x="734"/>
        <item x="277"/>
        <item x="97"/>
        <item x="480"/>
        <item x="707"/>
        <item x="282"/>
        <item x="252"/>
        <item x="218"/>
        <item x="465"/>
        <item x="276"/>
        <item x="62"/>
        <item x="665"/>
        <item x="401"/>
        <item x="701"/>
        <item x="589"/>
        <item x="451"/>
        <item x="632"/>
        <item x="575"/>
        <item x="134"/>
        <item x="274"/>
        <item x="372"/>
        <item x="477"/>
        <item x="752"/>
        <item x="499"/>
        <item x="329"/>
        <item x="447"/>
        <item x="190"/>
        <item x="314"/>
        <item x="416"/>
        <item x="761"/>
        <item x="90"/>
        <item x="268"/>
        <item x="164"/>
        <item x="244"/>
        <item x="494"/>
        <item x="390"/>
        <item x="214"/>
        <item x="340"/>
        <item x="758"/>
        <item x="738"/>
        <item x="648"/>
        <item x="696"/>
        <item x="449"/>
        <item x="23"/>
        <item x="338"/>
        <item x="298"/>
        <item x="681"/>
        <item x="52"/>
        <item x="20"/>
        <item x="306"/>
        <item x="28"/>
        <item x="74"/>
        <item x="463"/>
        <item x="573"/>
        <item x="579"/>
        <item x="59"/>
        <item x="459"/>
        <item x="727"/>
        <item x="715"/>
        <item x="203"/>
        <item x="42"/>
        <item x="660"/>
        <item x="8"/>
        <item x="625"/>
        <item x="88"/>
        <item x="538"/>
        <item x="267"/>
        <item x="769"/>
        <item x="93"/>
        <item x="647"/>
        <item x="716"/>
        <item x="555"/>
        <item x="24"/>
        <item x="285"/>
        <item x="207"/>
        <item x="600"/>
        <item x="580"/>
        <item x="637"/>
        <item x="31"/>
        <item x="419"/>
        <item x="46"/>
        <item x="533"/>
        <item x="694"/>
        <item x="139"/>
        <item x="711"/>
        <item x="153"/>
        <item x="382"/>
        <item x="112"/>
        <item x="121"/>
        <item x="185"/>
        <item x="155"/>
        <item x="273"/>
        <item x="502"/>
        <item x="291"/>
        <item x="753"/>
        <item x="117"/>
        <item x="116"/>
        <item x="633"/>
        <item x="485"/>
        <item x="131"/>
        <item x="584"/>
        <item x="671"/>
        <item x="651"/>
        <item x="328"/>
        <item x="604"/>
        <item x="56"/>
        <item x="232"/>
        <item x="713"/>
        <item x="135"/>
        <item x="104"/>
        <item x="165"/>
        <item x="308"/>
        <item x="585"/>
        <item x="655"/>
        <item x="481"/>
        <item x="61"/>
        <item x="98"/>
        <item x="396"/>
        <item x="114"/>
        <item x="730"/>
        <item x="376"/>
        <item x="249"/>
        <item x="410"/>
        <item x="25"/>
        <item x="154"/>
        <item x="581"/>
        <item x="369"/>
        <item x="427"/>
        <item x="0"/>
        <item x="411"/>
        <item x="457"/>
        <item x="505"/>
        <item x="132"/>
        <item x="735"/>
        <item x="430"/>
        <item x="5"/>
        <item x="166"/>
        <item x="725"/>
        <item x="654"/>
        <item x="77"/>
        <item x="111"/>
        <item x="323"/>
        <item x="127"/>
        <item x="35"/>
        <item x="205"/>
        <item x="243"/>
        <item x="95"/>
        <item x="224"/>
        <item x="509"/>
        <item t="default"/>
      </items>
    </pivotField>
    <pivotField showAll="0"/>
    <pivotField showAll="0"/>
    <pivotField showAll="0"/>
    <pivotField showAll="0"/>
    <pivotField showAll="0"/>
    <pivotField showAll="0">
      <items count="900">
        <item x="328"/>
        <item x="350"/>
        <item x="9"/>
        <item x="762"/>
        <item x="656"/>
        <item x="499"/>
        <item x="270"/>
        <item x="554"/>
        <item x="249"/>
        <item x="347"/>
        <item x="493"/>
        <item x="489"/>
        <item x="367"/>
        <item x="18"/>
        <item x="697"/>
        <item x="600"/>
        <item x="438"/>
        <item x="883"/>
        <item x="608"/>
        <item x="62"/>
        <item x="843"/>
        <item x="181"/>
        <item x="251"/>
        <item x="315"/>
        <item x="417"/>
        <item x="124"/>
        <item x="541"/>
        <item x="440"/>
        <item x="603"/>
        <item x="629"/>
        <item x="615"/>
        <item x="55"/>
        <item x="711"/>
        <item x="464"/>
        <item x="575"/>
        <item x="719"/>
        <item x="68"/>
        <item x="280"/>
        <item x="583"/>
        <item x="729"/>
        <item x="649"/>
        <item x="115"/>
        <item x="876"/>
        <item x="700"/>
        <item x="855"/>
        <item x="38"/>
        <item x="22"/>
        <item x="239"/>
        <item x="252"/>
        <item x="570"/>
        <item x="740"/>
        <item x="326"/>
        <item x="305"/>
        <item x="317"/>
        <item x="898"/>
        <item x="137"/>
        <item x="344"/>
        <item x="796"/>
        <item x="320"/>
        <item x="491"/>
        <item x="375"/>
        <item x="387"/>
        <item x="805"/>
        <item x="870"/>
        <item x="3"/>
        <item x="534"/>
        <item x="295"/>
        <item x="819"/>
        <item x="207"/>
        <item x="845"/>
        <item x="253"/>
        <item x="851"/>
        <item x="867"/>
        <item x="361"/>
        <item x="277"/>
        <item x="591"/>
        <item x="34"/>
        <item x="405"/>
        <item x="652"/>
        <item x="118"/>
        <item x="760"/>
        <item x="13"/>
        <item x="861"/>
        <item x="764"/>
        <item x="228"/>
        <item x="683"/>
        <item x="769"/>
        <item x="674"/>
        <item x="246"/>
        <item x="717"/>
        <item x="804"/>
        <item x="170"/>
        <item x="671"/>
        <item x="162"/>
        <item x="513"/>
        <item x="466"/>
        <item x="516"/>
        <item x="364"/>
        <item x="127"/>
        <item x="242"/>
        <item x="396"/>
        <item x="146"/>
        <item x="605"/>
        <item x="45"/>
        <item x="626"/>
        <item x="191"/>
        <item x="220"/>
        <item x="233"/>
        <item x="829"/>
        <item x="515"/>
        <item x="165"/>
        <item x="399"/>
        <item x="453"/>
        <item x="436"/>
        <item x="337"/>
        <item x="141"/>
        <item x="160"/>
        <item x="415"/>
        <item x="384"/>
        <item x="180"/>
        <item x="71"/>
        <item x="520"/>
        <item x="271"/>
        <item x="157"/>
        <item x="588"/>
        <item x="602"/>
        <item x="276"/>
        <item x="616"/>
        <item x="691"/>
        <item x="214"/>
        <item x="63"/>
        <item x="459"/>
        <item x="0"/>
        <item x="886"/>
        <item x="553"/>
        <item x="556"/>
        <item x="820"/>
        <item x="348"/>
        <item x="644"/>
        <item x="710"/>
        <item x="636"/>
        <item x="581"/>
        <item x="653"/>
        <item x="222"/>
        <item x="880"/>
        <item x="723"/>
        <item x="327"/>
        <item x="435"/>
        <item x="658"/>
        <item x="446"/>
        <item x="103"/>
        <item x="673"/>
        <item x="31"/>
        <item x="623"/>
        <item x="590"/>
        <item x="185"/>
        <item x="177"/>
        <item x="667"/>
        <item x="409"/>
        <item x="422"/>
        <item x="145"/>
        <item x="59"/>
        <item x="143"/>
        <item x="122"/>
        <item x="799"/>
        <item x="126"/>
        <item x="857"/>
        <item x="108"/>
        <item x="78"/>
        <item x="156"/>
        <item x="432"/>
        <item x="803"/>
        <item x="618"/>
        <item x="620"/>
        <item x="120"/>
        <item x="692"/>
        <item x="573"/>
        <item x="229"/>
        <item x="234"/>
        <item x="624"/>
        <item x="334"/>
        <item x="198"/>
        <item x="150"/>
        <item x="721"/>
        <item x="168"/>
        <item x="735"/>
        <item x="869"/>
        <item x="739"/>
        <item x="192"/>
        <item x="186"/>
        <item x="744"/>
        <item x="23"/>
        <item x="241"/>
        <item x="578"/>
        <item x="299"/>
        <item x="314"/>
        <item x="6"/>
        <item x="359"/>
        <item x="418"/>
        <item x="116"/>
        <item x="16"/>
        <item x="836"/>
        <item x="188"/>
        <item x="297"/>
        <item x="448"/>
        <item x="604"/>
        <item x="104"/>
        <item x="202"/>
        <item x="635"/>
        <item x="601"/>
        <item x="818"/>
        <item x="486"/>
        <item x="822"/>
        <item x="538"/>
        <item x="128"/>
        <item x="825"/>
        <item x="261"/>
        <item x="218"/>
        <item x="784"/>
        <item x="702"/>
        <item x="831"/>
        <item x="210"/>
        <item x="893"/>
        <item x="550"/>
        <item x="613"/>
        <item x="862"/>
        <item x="839"/>
        <item x="648"/>
        <item x="264"/>
        <item x="318"/>
        <item x="679"/>
        <item x="666"/>
        <item x="842"/>
        <item x="204"/>
        <item x="406"/>
        <item x="339"/>
        <item x="338"/>
        <item x="201"/>
        <item x="569"/>
        <item x="780"/>
        <item x="379"/>
        <item x="750"/>
        <item x="15"/>
        <item x="669"/>
        <item x="285"/>
        <item x="123"/>
        <item x="766"/>
        <item x="33"/>
        <item x="154"/>
        <item x="281"/>
        <item x="48"/>
        <item x="138"/>
        <item x="688"/>
        <item x="431"/>
        <item x="483"/>
        <item x="212"/>
        <item x="835"/>
        <item x="841"/>
        <item x="892"/>
        <item x="452"/>
        <item x="69"/>
        <item x="650"/>
        <item x="101"/>
        <item x="612"/>
        <item x="182"/>
        <item x="449"/>
        <item x="709"/>
        <item x="814"/>
        <item x="888"/>
        <item x="684"/>
        <item x="495"/>
        <item x="175"/>
        <item x="21"/>
        <item x="410"/>
        <item x="366"/>
        <item x="525"/>
        <item x="179"/>
        <item x="777"/>
        <item x="267"/>
        <item x="706"/>
        <item x="531"/>
        <item x="872"/>
        <item x="231"/>
        <item x="824"/>
        <item x="236"/>
        <item x="790"/>
        <item x="167"/>
        <item x="833"/>
        <item x="97"/>
        <item x="296"/>
        <item x="196"/>
        <item x="424"/>
        <item x="377"/>
        <item x="745"/>
        <item x="788"/>
        <item x="77"/>
        <item x="331"/>
        <item x="802"/>
        <item x="42"/>
        <item x="783"/>
        <item x="875"/>
        <item x="194"/>
        <item x="119"/>
        <item x="509"/>
        <item x="258"/>
        <item x="275"/>
        <item x="10"/>
        <item x="727"/>
        <item x="741"/>
        <item x="757"/>
        <item x="859"/>
        <item x="546"/>
        <item x="363"/>
        <item x="20"/>
        <item x="707"/>
        <item x="155"/>
        <item x="208"/>
        <item x="475"/>
        <item x="105"/>
        <item x="887"/>
        <item x="722"/>
        <item x="392"/>
        <item x="98"/>
        <item x="646"/>
        <item x="639"/>
        <item x="638"/>
        <item x="8"/>
        <item x="878"/>
        <item x="849"/>
        <item x="365"/>
        <item x="703"/>
        <item x="641"/>
        <item x="660"/>
        <item x="85"/>
        <item x="662"/>
        <item x="426"/>
        <item x="427"/>
        <item x="357"/>
        <item x="631"/>
        <item x="171"/>
        <item x="897"/>
        <item x="421"/>
        <item x="672"/>
        <item x="245"/>
        <item x="262"/>
        <item x="472"/>
        <item x="322"/>
        <item x="102"/>
        <item x="240"/>
        <item x="501"/>
        <item x="40"/>
        <item x="352"/>
        <item x="412"/>
        <item x="259"/>
        <item x="846"/>
        <item x="420"/>
        <item x="283"/>
        <item x="704"/>
        <item x="247"/>
        <item x="682"/>
        <item x="86"/>
        <item x="74"/>
        <item x="96"/>
        <item x="481"/>
        <item x="325"/>
        <item x="536"/>
        <item x="323"/>
        <item x="696"/>
        <item x="552"/>
        <item x="572"/>
        <item x="634"/>
        <item x="457"/>
        <item x="169"/>
        <item x="468"/>
        <item x="827"/>
        <item x="865"/>
        <item x="66"/>
        <item x="394"/>
        <item x="184"/>
        <item x="693"/>
        <item x="461"/>
        <item x="542"/>
        <item x="248"/>
        <item x="308"/>
        <item x="732"/>
        <item x="787"/>
        <item x="496"/>
        <item x="506"/>
        <item x="482"/>
        <item x="163"/>
        <item x="807"/>
        <item x="759"/>
        <item x="324"/>
        <item x="61"/>
        <item x="382"/>
        <item x="801"/>
        <item x="87"/>
        <item x="699"/>
        <item x="312"/>
        <item x="256"/>
        <item x="540"/>
        <item x="471"/>
        <item x="166"/>
        <item x="112"/>
        <item x="391"/>
        <item x="786"/>
        <item x="64"/>
        <item x="311"/>
        <item x="430"/>
        <item x="407"/>
        <item x="26"/>
        <item x="301"/>
        <item x="778"/>
        <item x="503"/>
        <item x="226"/>
        <item x="654"/>
        <item x="625"/>
        <item x="507"/>
        <item x="716"/>
        <item x="630"/>
        <item x="724"/>
        <item x="860"/>
        <item x="462"/>
        <item x="93"/>
        <item x="637"/>
        <item x="761"/>
        <item x="681"/>
        <item x="657"/>
        <item x="817"/>
        <item x="173"/>
        <item x="215"/>
        <item x="763"/>
        <item x="720"/>
        <item x="768"/>
        <item x="300"/>
        <item x="130"/>
        <item x="823"/>
        <item x="395"/>
        <item x="463"/>
        <item x="287"/>
        <item x="492"/>
        <item x="830"/>
        <item x="378"/>
        <item x="645"/>
        <item x="319"/>
        <item x="111"/>
        <item x="355"/>
        <item x="164"/>
        <item x="478"/>
        <item x="598"/>
        <item x="304"/>
        <item x="140"/>
        <item x="289"/>
        <item x="812"/>
        <item x="307"/>
        <item x="798"/>
        <item x="100"/>
        <item x="663"/>
        <item x="528"/>
        <item x="753"/>
        <item x="782"/>
        <item x="437"/>
        <item x="661"/>
        <item x="125"/>
        <item x="689"/>
        <item x="211"/>
        <item x="485"/>
        <item x="535"/>
        <item x="708"/>
        <item x="216"/>
        <item x="523"/>
        <item x="135"/>
        <item x="664"/>
        <item x="894"/>
        <item x="690"/>
        <item x="811"/>
        <item x="537"/>
        <item x="443"/>
        <item x="694"/>
        <item x="597"/>
        <item x="46"/>
        <item x="785"/>
        <item x="358"/>
        <item x="106"/>
        <item x="425"/>
        <item x="585"/>
        <item x="41"/>
        <item x="856"/>
        <item x="217"/>
        <item x="340"/>
        <item x="549"/>
        <item x="73"/>
        <item x="678"/>
        <item x="416"/>
        <item x="235"/>
        <item x="873"/>
        <item x="292"/>
        <item x="76"/>
        <item x="567"/>
        <item x="701"/>
        <item x="633"/>
        <item x="284"/>
        <item x="354"/>
        <item x="589"/>
        <item x="451"/>
        <item x="627"/>
        <item x="237"/>
        <item x="813"/>
        <item x="117"/>
        <item x="362"/>
        <item x="896"/>
        <item x="725"/>
        <item x="517"/>
        <item x="345"/>
        <item x="755"/>
        <item x="30"/>
        <item x="190"/>
        <item x="302"/>
        <item x="864"/>
        <item x="617"/>
        <item x="389"/>
        <item x="148"/>
        <item x="686"/>
        <item x="844"/>
        <item x="11"/>
        <item x="675"/>
        <item x="172"/>
        <item x="480"/>
        <item x="579"/>
        <item x="303"/>
        <item x="714"/>
        <item x="408"/>
        <item x="53"/>
        <item x="840"/>
        <item x="28"/>
        <item x="770"/>
        <item x="551"/>
        <item x="514"/>
        <item x="402"/>
        <item x="756"/>
        <item x="748"/>
        <item x="27"/>
        <item x="837"/>
        <item x="713"/>
        <item x="441"/>
        <item x="219"/>
        <item x="529"/>
        <item x="80"/>
        <item x="776"/>
        <item x="200"/>
        <item x="109"/>
        <item x="527"/>
        <item x="580"/>
        <item x="595"/>
        <item x="797"/>
        <item x="533"/>
        <item x="17"/>
        <item x="209"/>
        <item x="343"/>
        <item x="752"/>
        <item x="868"/>
        <item x="454"/>
        <item x="890"/>
        <item x="614"/>
        <item x="494"/>
        <item x="114"/>
        <item x="450"/>
        <item x="698"/>
        <item x="203"/>
        <item x="321"/>
        <item x="374"/>
        <item x="442"/>
        <item x="90"/>
        <item x="611"/>
        <item x="863"/>
        <item x="193"/>
        <item x="265"/>
        <item x="142"/>
        <item x="250"/>
        <item x="360"/>
        <item x="488"/>
        <item x="456"/>
        <item x="414"/>
        <item x="487"/>
        <item x="606"/>
        <item x="628"/>
        <item x="81"/>
        <item x="176"/>
        <item x="607"/>
        <item x="349"/>
        <item x="767"/>
        <item x="854"/>
        <item x="134"/>
        <item x="643"/>
        <item x="574"/>
        <item x="400"/>
        <item x="329"/>
        <item x="269"/>
        <item x="794"/>
        <item x="238"/>
        <item x="51"/>
        <item x="737"/>
        <item x="543"/>
        <item x="133"/>
        <item x="423"/>
        <item x="800"/>
        <item x="504"/>
        <item x="746"/>
        <item x="558"/>
        <item x="668"/>
        <item x="497"/>
        <item x="816"/>
        <item x="594"/>
        <item x="376"/>
        <item x="834"/>
        <item x="353"/>
        <item x="781"/>
        <item x="19"/>
        <item x="582"/>
        <item x="49"/>
        <item x="224"/>
        <item x="838"/>
        <item x="397"/>
        <item x="113"/>
        <item x="879"/>
        <item x="268"/>
        <item x="560"/>
        <item x="95"/>
        <item x="479"/>
        <item x="848"/>
        <item x="749"/>
        <item x="539"/>
        <item x="227"/>
        <item x="50"/>
        <item x="91"/>
        <item x="555"/>
        <item x="502"/>
        <item x="390"/>
        <item x="789"/>
        <item x="291"/>
        <item x="640"/>
        <item x="547"/>
        <item x="44"/>
        <item x="733"/>
        <item x="792"/>
        <item x="779"/>
        <item x="313"/>
        <item x="243"/>
        <item x="758"/>
        <item x="577"/>
        <item x="398"/>
        <item x="559"/>
        <item x="254"/>
        <item x="221"/>
        <item x="39"/>
        <item x="266"/>
        <item x="70"/>
        <item x="369"/>
        <item x="272"/>
        <item x="129"/>
        <item x="139"/>
        <item x="419"/>
        <item x="205"/>
        <item x="373"/>
        <item x="136"/>
        <item x="83"/>
        <item x="521"/>
        <item x="286"/>
        <item x="197"/>
        <item x="852"/>
        <item x="151"/>
        <item x="36"/>
        <item x="670"/>
        <item x="751"/>
        <item x="490"/>
        <item x="548"/>
        <item x="884"/>
        <item x="263"/>
        <item x="351"/>
        <item x="568"/>
        <item x="742"/>
        <item x="609"/>
        <item x="596"/>
        <item x="498"/>
        <item x="576"/>
        <item x="346"/>
        <item x="828"/>
        <item x="316"/>
        <item x="754"/>
        <item x="665"/>
        <item x="428"/>
        <item x="584"/>
        <item x="370"/>
        <item x="477"/>
        <item x="891"/>
        <item x="273"/>
        <item x="213"/>
        <item x="522"/>
        <item x="821"/>
        <item x="35"/>
        <item x="72"/>
        <item x="371"/>
        <item x="183"/>
        <item x="159"/>
        <item x="565"/>
        <item x="676"/>
        <item x="29"/>
        <item x="131"/>
        <item x="25"/>
        <item x="149"/>
        <item x="775"/>
        <item x="619"/>
        <item x="444"/>
        <item x="232"/>
        <item x="99"/>
        <item x="680"/>
        <item x="571"/>
        <item x="561"/>
        <item x="877"/>
        <item x="458"/>
        <item x="306"/>
        <item x="107"/>
        <item x="298"/>
        <item x="58"/>
        <item x="187"/>
        <item x="563"/>
        <item x="810"/>
        <item x="147"/>
        <item x="380"/>
        <item x="524"/>
        <item x="65"/>
        <item x="310"/>
        <item x="257"/>
        <item x="260"/>
        <item x="512"/>
        <item x="586"/>
        <item x="413"/>
        <item x="356"/>
        <item x="795"/>
        <item x="189"/>
        <item x="526"/>
        <item x="476"/>
        <item x="225"/>
        <item x="56"/>
        <item x="771"/>
        <item x="5"/>
        <item x="199"/>
        <item x="282"/>
        <item x="89"/>
        <item x="385"/>
        <item x="393"/>
        <item x="429"/>
        <item x="206"/>
        <item x="895"/>
        <item x="511"/>
        <item x="447"/>
        <item x="386"/>
        <item x="500"/>
        <item x="341"/>
        <item x="562"/>
        <item x="223"/>
        <item x="60"/>
        <item x="52"/>
        <item x="734"/>
        <item x="599"/>
        <item x="687"/>
        <item x="465"/>
        <item x="655"/>
        <item x="610"/>
        <item x="726"/>
        <item x="853"/>
        <item x="587"/>
        <item x="332"/>
        <item x="772"/>
        <item x="621"/>
        <item x="847"/>
        <item x="2"/>
        <item x="881"/>
        <item x="850"/>
        <item x="110"/>
        <item x="333"/>
        <item x="695"/>
        <item x="736"/>
        <item x="161"/>
        <item x="730"/>
        <item x="32"/>
        <item x="874"/>
        <item x="309"/>
        <item x="564"/>
        <item x="765"/>
        <item x="330"/>
        <item x="279"/>
        <item x="519"/>
        <item x="885"/>
        <item x="642"/>
        <item x="75"/>
        <item x="738"/>
        <item x="518"/>
        <item x="88"/>
        <item x="14"/>
        <item x="484"/>
        <item x="152"/>
        <item x="174"/>
        <item x="84"/>
        <item x="57"/>
        <item x="7"/>
        <item x="43"/>
        <item x="144"/>
        <item x="467"/>
        <item x="94"/>
        <item x="545"/>
        <item x="747"/>
        <item x="342"/>
        <item x="67"/>
        <item x="743"/>
        <item x="469"/>
        <item x="593"/>
        <item x="871"/>
        <item x="889"/>
        <item x="715"/>
        <item x="470"/>
        <item x="178"/>
        <item x="793"/>
        <item x="882"/>
        <item x="79"/>
        <item x="274"/>
        <item x="92"/>
        <item x="12"/>
        <item x="728"/>
        <item x="651"/>
        <item x="401"/>
        <item x="832"/>
        <item x="677"/>
        <item x="858"/>
        <item x="866"/>
        <item x="434"/>
        <item x="566"/>
        <item x="718"/>
        <item x="288"/>
        <item x="121"/>
        <item x="388"/>
        <item x="403"/>
        <item x="659"/>
        <item x="445"/>
        <item x="473"/>
        <item x="82"/>
        <item x="381"/>
        <item x="460"/>
        <item x="530"/>
        <item x="294"/>
        <item x="774"/>
        <item x="791"/>
        <item x="37"/>
        <item x="647"/>
        <item x="54"/>
        <item x="532"/>
        <item x="622"/>
        <item x="712"/>
        <item x="336"/>
        <item x="632"/>
        <item x="544"/>
        <item x="411"/>
        <item x="815"/>
        <item x="808"/>
        <item x="474"/>
        <item x="826"/>
        <item x="335"/>
        <item x="592"/>
        <item x="195"/>
        <item x="153"/>
        <item x="255"/>
        <item x="809"/>
        <item x="368"/>
        <item x="505"/>
        <item x="4"/>
        <item x="510"/>
        <item x="433"/>
        <item x="806"/>
        <item x="404"/>
        <item x="244"/>
        <item x="372"/>
        <item x="383"/>
        <item x="508"/>
        <item x="455"/>
        <item x="290"/>
        <item x="557"/>
        <item x="439"/>
        <item x="773"/>
        <item x="132"/>
        <item x="705"/>
        <item x="278"/>
        <item x="731"/>
        <item x="685"/>
        <item x="230"/>
        <item x="158"/>
        <item x="293"/>
        <item x="24"/>
        <item x="1"/>
        <item x="47"/>
        <item t="default"/>
      </items>
    </pivotField>
    <pivotField showAll="0"/>
    <pivotField showAll="0"/>
    <pivotField numFmtId="14" showAll="0">
      <items count="539">
        <item x="208"/>
        <item x="481"/>
        <item x="408"/>
        <item x="444"/>
        <item x="372"/>
        <item x="312"/>
        <item x="345"/>
        <item x="414"/>
        <item x="10"/>
        <item x="354"/>
        <item x="393"/>
        <item x="169"/>
        <item x="15"/>
        <item x="424"/>
        <item x="185"/>
        <item x="246"/>
        <item x="515"/>
        <item x="324"/>
        <item x="48"/>
        <item x="41"/>
        <item x="74"/>
        <item x="303"/>
        <item x="142"/>
        <item x="40"/>
        <item x="370"/>
        <item x="138"/>
        <item x="406"/>
        <item x="33"/>
        <item x="75"/>
        <item x="80"/>
        <item x="134"/>
        <item x="91"/>
        <item x="177"/>
        <item x="462"/>
        <item x="211"/>
        <item x="535"/>
        <item x="81"/>
        <item x="467"/>
        <item x="301"/>
        <item x="334"/>
        <item x="273"/>
        <item x="150"/>
        <item x="236"/>
        <item x="488"/>
        <item x="39"/>
        <item x="357"/>
        <item x="276"/>
        <item x="29"/>
        <item x="326"/>
        <item x="229"/>
        <item x="361"/>
        <item x="421"/>
        <item x="296"/>
        <item x="197"/>
        <item x="21"/>
        <item x="329"/>
        <item x="459"/>
        <item x="517"/>
        <item x="493"/>
        <item x="146"/>
        <item x="7"/>
        <item x="78"/>
        <item x="182"/>
        <item x="44"/>
        <item x="234"/>
        <item x="162"/>
        <item x="482"/>
        <item x="94"/>
        <item x="448"/>
        <item x="179"/>
        <item x="386"/>
        <item x="101"/>
        <item x="307"/>
        <item x="124"/>
        <item x="55"/>
        <item x="209"/>
        <item x="213"/>
        <item x="69"/>
        <item x="260"/>
        <item x="522"/>
        <item x="222"/>
        <item x="447"/>
        <item x="106"/>
        <item x="315"/>
        <item x="437"/>
        <item x="306"/>
        <item x="13"/>
        <item x="272"/>
        <item x="247"/>
        <item x="223"/>
        <item x="379"/>
        <item x="18"/>
        <item x="225"/>
        <item x="207"/>
        <item x="85"/>
        <item x="135"/>
        <item x="131"/>
        <item x="79"/>
        <item x="528"/>
        <item x="325"/>
        <item x="58"/>
        <item x="476"/>
        <item x="520"/>
        <item x="281"/>
        <item x="71"/>
        <item x="255"/>
        <item x="165"/>
        <item x="353"/>
        <item x="90"/>
        <item x="261"/>
        <item x="422"/>
        <item x="232"/>
        <item x="72"/>
        <item x="298"/>
        <item x="70"/>
        <item x="491"/>
        <item x="277"/>
        <item x="469"/>
        <item x="45"/>
        <item x="151"/>
        <item x="262"/>
        <item x="140"/>
        <item x="356"/>
        <item x="322"/>
        <item x="268"/>
        <item x="4"/>
        <item x="288"/>
        <item x="235"/>
        <item x="475"/>
        <item x="292"/>
        <item x="499"/>
        <item x="110"/>
        <item x="505"/>
        <item x="519"/>
        <item x="375"/>
        <item x="320"/>
        <item x="456"/>
        <item x="280"/>
        <item x="12"/>
        <item x="32"/>
        <item x="26"/>
        <item x="205"/>
        <item x="460"/>
        <item x="290"/>
        <item x="453"/>
        <item x="397"/>
        <item x="1"/>
        <item x="143"/>
        <item x="188"/>
        <item x="494"/>
        <item x="231"/>
        <item x="314"/>
        <item x="339"/>
        <item x="526"/>
        <item x="378"/>
        <item x="160"/>
        <item x="293"/>
        <item x="458"/>
        <item x="309"/>
        <item x="284"/>
        <item x="504"/>
        <item x="219"/>
        <item x="175"/>
        <item x="282"/>
        <item x="279"/>
        <item x="411"/>
        <item x="212"/>
        <item x="6"/>
        <item x="366"/>
        <item x="364"/>
        <item x="53"/>
        <item x="115"/>
        <item x="230"/>
        <item x="500"/>
        <item x="286"/>
        <item x="365"/>
        <item x="176"/>
        <item x="451"/>
        <item x="495"/>
        <item x="98"/>
        <item x="65"/>
        <item x="341"/>
        <item x="204"/>
        <item x="103"/>
        <item x="155"/>
        <item x="537"/>
        <item x="518"/>
        <item x="242"/>
        <item x="492"/>
        <item x="291"/>
        <item x="409"/>
        <item x="170"/>
        <item x="506"/>
        <item x="30"/>
        <item x="123"/>
        <item x="508"/>
        <item x="258"/>
        <item x="510"/>
        <item x="166"/>
        <item x="226"/>
        <item x="141"/>
        <item x="474"/>
        <item x="289"/>
        <item x="163"/>
        <item x="136"/>
        <item x="319"/>
        <item x="367"/>
        <item x="119"/>
        <item x="455"/>
        <item x="63"/>
        <item x="171"/>
        <item x="266"/>
        <item x="523"/>
        <item x="425"/>
        <item x="452"/>
        <item x="120"/>
        <item x="210"/>
        <item x="250"/>
        <item x="147"/>
        <item x="436"/>
        <item x="156"/>
        <item x="202"/>
        <item x="77"/>
        <item x="86"/>
        <item x="355"/>
        <item x="294"/>
        <item x="318"/>
        <item x="267"/>
        <item x="465"/>
        <item x="157"/>
        <item x="84"/>
        <item x="36"/>
        <item x="502"/>
        <item x="19"/>
        <item x="358"/>
        <item x="348"/>
        <item x="412"/>
        <item x="190"/>
        <item x="265"/>
        <item x="418"/>
        <item x="189"/>
        <item x="297"/>
        <item x="371"/>
        <item x="14"/>
        <item x="527"/>
        <item x="512"/>
        <item x="390"/>
        <item x="479"/>
        <item x="64"/>
        <item x="304"/>
        <item x="149"/>
        <item x="218"/>
        <item x="400"/>
        <item x="338"/>
        <item x="82"/>
        <item x="333"/>
        <item x="426"/>
        <item x="198"/>
        <item x="164"/>
        <item x="54"/>
        <item x="88"/>
        <item x="239"/>
        <item x="388"/>
        <item x="159"/>
        <item x="404"/>
        <item x="497"/>
        <item x="112"/>
        <item x="381"/>
        <item x="516"/>
        <item x="532"/>
        <item x="34"/>
        <item x="454"/>
        <item x="316"/>
        <item x="68"/>
        <item x="251"/>
        <item x="377"/>
        <item x="435"/>
        <item x="344"/>
        <item x="328"/>
        <item x="433"/>
        <item x="415"/>
        <item x="214"/>
        <item x="259"/>
        <item x="137"/>
        <item x="191"/>
        <item x="105"/>
        <item x="161"/>
        <item x="67"/>
        <item x="118"/>
        <item x="343"/>
        <item x="299"/>
        <item x="271"/>
        <item x="427"/>
        <item x="43"/>
        <item x="51"/>
        <item x="441"/>
        <item x="241"/>
        <item x="95"/>
        <item x="383"/>
        <item x="117"/>
        <item x="509"/>
        <item x="310"/>
        <item x="363"/>
        <item x="245"/>
        <item x="224"/>
        <item x="321"/>
        <item x="195"/>
        <item x="398"/>
        <item x="373"/>
        <item x="186"/>
        <item x="243"/>
        <item x="240"/>
        <item x="62"/>
        <item x="485"/>
        <item x="331"/>
        <item x="507"/>
        <item x="449"/>
        <item x="158"/>
        <item x="220"/>
        <item x="470"/>
        <item x="107"/>
        <item x="439"/>
        <item x="127"/>
        <item x="238"/>
        <item x="369"/>
        <item x="99"/>
        <item x="16"/>
        <item x="308"/>
        <item x="380"/>
        <item x="295"/>
        <item x="432"/>
        <item x="395"/>
        <item x="278"/>
        <item x="359"/>
        <item x="531"/>
        <item x="405"/>
        <item x="173"/>
        <item x="269"/>
        <item x="340"/>
        <item x="335"/>
        <item x="60"/>
        <item x="529"/>
        <item x="129"/>
        <item x="89"/>
        <item x="429"/>
        <item x="233"/>
        <item x="385"/>
        <item x="152"/>
        <item x="217"/>
        <item x="468"/>
        <item x="203"/>
        <item x="249"/>
        <item x="323"/>
        <item x="192"/>
        <item x="287"/>
        <item x="533"/>
        <item x="130"/>
        <item x="346"/>
        <item x="478"/>
        <item x="97"/>
        <item x="483"/>
        <item x="360"/>
        <item x="23"/>
        <item x="285"/>
        <item x="256"/>
        <item x="254"/>
        <item x="196"/>
        <item x="52"/>
        <item x="116"/>
        <item x="20"/>
        <item x="263"/>
        <item x="28"/>
        <item x="174"/>
        <item x="178"/>
        <item x="450"/>
        <item x="133"/>
        <item x="73"/>
        <item x="300"/>
        <item x="2"/>
        <item x="438"/>
        <item x="442"/>
        <item x="302"/>
        <item x="59"/>
        <item x="413"/>
        <item x="394"/>
        <item x="368"/>
        <item x="17"/>
        <item x="534"/>
        <item x="49"/>
        <item x="50"/>
        <item x="391"/>
        <item x="332"/>
        <item x="184"/>
        <item x="180"/>
        <item x="42"/>
        <item x="22"/>
        <item x="8"/>
        <item x="503"/>
        <item x="466"/>
        <item x="87"/>
        <item x="215"/>
        <item x="275"/>
        <item x="83"/>
        <item x="403"/>
        <item x="536"/>
        <item x="92"/>
        <item x="477"/>
        <item x="514"/>
        <item x="430"/>
        <item x="420"/>
        <item x="253"/>
        <item x="38"/>
        <item x="24"/>
        <item x="200"/>
        <item x="104"/>
        <item x="248"/>
        <item x="187"/>
        <item x="121"/>
        <item x="167"/>
        <item x="416"/>
        <item x="201"/>
        <item x="374"/>
        <item x="472"/>
        <item x="31"/>
        <item x="498"/>
        <item x="431"/>
        <item x="342"/>
        <item x="9"/>
        <item x="46"/>
        <item x="419"/>
        <item x="392"/>
        <item x="407"/>
        <item x="489"/>
        <item x="132"/>
        <item x="313"/>
        <item x="511"/>
        <item x="139"/>
        <item x="66"/>
        <item x="317"/>
        <item x="382"/>
        <item x="193"/>
        <item x="109"/>
        <item x="37"/>
        <item x="487"/>
        <item x="168"/>
        <item x="423"/>
        <item x="145"/>
        <item x="181"/>
        <item x="440"/>
        <item x="237"/>
        <item x="352"/>
        <item x="396"/>
        <item x="252"/>
        <item x="330"/>
        <item x="530"/>
        <item x="114"/>
        <item x="113"/>
        <item x="227"/>
        <item x="471"/>
        <item x="387"/>
        <item x="496"/>
        <item x="417"/>
        <item x="172"/>
        <item x="125"/>
        <item x="389"/>
        <item x="445"/>
        <item x="490"/>
        <item x="362"/>
        <item x="434"/>
        <item x="486"/>
        <item x="480"/>
        <item x="401"/>
        <item x="57"/>
        <item x="457"/>
        <item x="56"/>
        <item x="206"/>
        <item x="3"/>
        <item x="513"/>
        <item x="128"/>
        <item x="102"/>
        <item x="464"/>
        <item x="194"/>
        <item x="153"/>
        <item x="264"/>
        <item x="257"/>
        <item x="446"/>
        <item x="461"/>
        <item x="463"/>
        <item x="384"/>
        <item x="61"/>
        <item x="100"/>
        <item x="410"/>
        <item x="228"/>
        <item x="96"/>
        <item x="327"/>
        <item x="111"/>
        <item x="524"/>
        <item x="311"/>
        <item x="221"/>
        <item x="244"/>
        <item x="25"/>
        <item x="144"/>
        <item x="443"/>
        <item x="351"/>
        <item x="376"/>
        <item x="305"/>
        <item x="347"/>
        <item x="0"/>
        <item x="336"/>
        <item x="428"/>
        <item x="27"/>
        <item x="337"/>
        <item x="399"/>
        <item x="126"/>
        <item x="525"/>
        <item x="501"/>
        <item x="349"/>
        <item x="5"/>
        <item x="154"/>
        <item x="484"/>
        <item x="47"/>
        <item x="270"/>
        <item x="521"/>
        <item x="183"/>
        <item x="76"/>
        <item x="350"/>
        <item x="108"/>
        <item x="473"/>
        <item x="274"/>
        <item x="122"/>
        <item x="35"/>
        <item x="148"/>
        <item x="216"/>
        <item x="11"/>
        <item x="93"/>
        <item x="283"/>
        <item x="199"/>
        <item x="402"/>
        <item t="default"/>
      </items>
    </pivotField>
    <pivotField showAll="0"/>
    <pivotField showAll="0"/>
    <pivotField showAll="0"/>
    <pivotField showAll="0"/>
    <pivotField showAll="0">
      <items count="11">
        <item x="0"/>
        <item x="4"/>
        <item x="5"/>
        <item x="8"/>
        <item x="7"/>
        <item x="6"/>
        <item x="1"/>
        <item x="9"/>
        <item x="2"/>
        <item x="3"/>
        <item t="default"/>
      </items>
    </pivotField>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Fields count="1">
    <field x="-2"/>
  </colFields>
  <colItems count="2">
    <i>
      <x/>
    </i>
    <i i="1">
      <x v="1"/>
    </i>
  </colItems>
  <dataFields count="2">
    <dataField name="Sum of Sales_CLEAN" fld="17" baseField="0" baseItem="0"/>
    <dataField name="Sum of Profit_CLEAN" fld="18" baseField="0" baseItem="0"/>
  </dataFields>
  <formats count="4">
    <format dxfId="34">
      <pivotArea dataOnly="0" grandRow="1" fieldPosition="0"/>
    </format>
    <format dxfId="33">
      <pivotArea dataOnly="0" labelOnly="1" grandRow="1" outline="0" fieldPosition="0"/>
    </format>
    <format dxfId="32">
      <pivotArea outline="0" collapsedLevelsAreSubtotals="1" fieldPosition="0">
        <references count="1">
          <reference field="4294967294" count="1" selected="0">
            <x v="1"/>
          </reference>
        </references>
      </pivotArea>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21A26B-DF71-4E63-BCAA-2C0270133720}" autoFormatId="16" applyNumberFormats="0" applyBorderFormats="0" applyFontFormats="0" applyPatternFormats="0" applyAlignmentFormats="0" applyWidthHeightFormats="0">
  <queryTableRefresh nextId="3">
    <queryTableFields count="2">
      <queryTableField id="1" name="Location" tableColumnId="1"/>
      <queryTableField id="2" name="Province_CLEAN"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16746DA-00AA-4540-9DDF-5FC218DA9B05}" autoFormatId="16" applyNumberFormats="0" applyBorderFormats="0" applyFontFormats="0" applyPatternFormats="0" applyAlignmentFormats="0" applyWidthHeightFormats="0">
  <queryTableRefresh nextId="3">
    <queryTableFields count="2">
      <queryTableField id="1" name="Sales" tableColumnId="1"/>
      <queryTableField id="2" name="Prof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_CLEAN" xr10:uid="{054AFA8B-80DE-4E7E-98E8-B27C958BE38F}" sourceName="Province_CLEAN">
  <pivotTables>
    <pivotTable tabId="3" name="PivotTable1"/>
    <pivotTable tabId="3" name="PivotTable5"/>
    <pivotTable tabId="3" name="PivotTable15"/>
    <pivotTable tabId="3" name="PivotTable13"/>
    <pivotTable tabId="3" name="PivotTable22"/>
    <pivotTable tabId="3" name="PivotTable14"/>
    <pivotTable tabId="3" name="PivotTable7"/>
    <pivotTable tabId="3" name="PivotTable9"/>
    <pivotTable tabId="3" name="PivotTable10"/>
  </pivotTables>
  <data>
    <tabular pivotCacheId="1346695663">
      <items count="10">
        <i x="0" s="1"/>
        <i x="4" s="1"/>
        <i x="5" s="1"/>
        <i x="8" s="1"/>
        <i x="7" s="1"/>
        <i x="6" s="1"/>
        <i x="1" s="1"/>
        <i x="9"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_CLEAN" xr10:uid="{DD905873-336E-444E-BCA9-0E8286C554D6}" cache="Slicer_Province_CLEAN" caption="Province_CLEAN" rowHeight="257175"/>
  <slicer name="Province_CLEAN 2" xr10:uid="{A6F33757-4659-4F1C-B4CA-12A963CEB4E2}" cache="Slicer_Province_CLEAN" caption="Province_CLEA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_CLEAN 1" xr10:uid="{9CFC1335-BD64-43C4-8991-F212BD1E0837}" cache="Slicer_Province_CLEAN" caption="Province_CLEAN" startItem="5"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A918D7-14BB-4F09-B356-4FB13B21AEAB}" name="Table1" displayName="Table1" ref="A1:O1001" totalsRowShown="0">
  <autoFilter ref="A1:O1001" xr:uid="{C6A918D7-14BB-4F09-B356-4FB13B21AEAB}"/>
  <tableColumns count="15">
    <tableColumn id="1" xr3:uid="{88306D5B-2021-4413-B4C0-30A6A5D51EDC}" name="TransactionID"/>
    <tableColumn id="2" xr3:uid="{7A88C830-116F-4CE4-8CB5-EDE6A112004A}" name="CustomerID"/>
    <tableColumn id="3" xr3:uid="{5EECDF61-FC3F-401D-8609-3F681059AB7B}" name="Date"/>
    <tableColumn id="4" xr3:uid="{3315F85C-804C-489C-BC96-595C7C911305}" name="Category"/>
    <tableColumn id="5" xr3:uid="{A6A564AE-DBB5-4C3B-8A64-093933E809F1}" name="Gender"/>
    <tableColumn id="6" xr3:uid="{62F09B19-9B68-423C-B460-1889AF782540}" name="Age"/>
    <tableColumn id="7" xr3:uid="{8F184480-2D84-4457-9C15-2319DBC8CAC7}" name="Location"/>
    <tableColumn id="8" xr3:uid="{4B3BF30A-7B20-4DF2-AE99-A42952F224DE}" name="Quantity"/>
    <tableColumn id="9" xr3:uid="{55AF4CA1-18AC-4B5B-A602-D776CE03E6BC}" name="Sales"/>
    <tableColumn id="10" xr3:uid="{ACE123C0-729B-41B5-B1B0-710D271D076C}" name="Profit"/>
    <tableColumn id="11" xr3:uid="{373F7BF6-41D2-462A-A8C0-6F7B79DBC40E}" name="Channel"/>
    <tableColumn id="12" xr3:uid="{309FA980-1C48-4621-9226-1270A0E7EF6C}" name="Date_CLEAN" dataDxfId="40"/>
    <tableColumn id="13" xr3:uid="{C4EA234D-94EF-49FD-91C5-CD577D44D4F2}" name="Gender_CLEAN"/>
    <tableColumn id="14" xr3:uid="{C60BDD8F-AD8C-401D-A584-6A9522CB8DC1}" name="Age_CLEAN" dataDxfId="39"/>
    <tableColumn id="16" xr3:uid="{29A46918-183E-4C0F-A734-7D5A64288410}" name="Age_GROUP" dataDxfId="38">
      <calculatedColumnFormula array="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EE266D-45DB-4FDF-9A6B-BD44B24EB8F7}" name="Table1_1" displayName="Table1_1" ref="P1:Q1001" tableType="queryTable" totalsRowShown="0">
  <autoFilter ref="P1:Q1001" xr:uid="{63EE266D-45DB-4FDF-9A6B-BD44B24EB8F7}"/>
  <tableColumns count="2">
    <tableColumn id="1" xr3:uid="{E3FF5EC4-363E-4F0A-81D7-12FBCBED8D0E}" uniqueName="1" name="Location" queryTableFieldId="1" dataDxfId="37"/>
    <tableColumn id="2" xr3:uid="{0E749AE7-5F54-47AF-93BA-7D048FBCB718}" uniqueName="2" name="Province_CLEAN"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E9FBED-F529-42F4-B822-71EF90A6179E}" name="Table1__2" displayName="Table1__2" ref="R1:S1001" tableType="queryTable" totalsRowShown="0">
  <autoFilter ref="R1:S1001" xr:uid="{82E9FBED-F529-42F4-B822-71EF90A6179E}"/>
  <tableColumns count="2">
    <tableColumn id="1" xr3:uid="{6E67DDB9-E981-46B3-B3EC-4C89DA5EF3AD}" uniqueName="1" name="Sales_CLEAN" queryTableFieldId="1" dataDxfId="36"/>
    <tableColumn id="2" xr3:uid="{0F633734-F412-48C5-984D-9B9BF239B362}" uniqueName="2" name="Profit_CLEAN" queryTableFieldId="2" dataDxf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555F6-8849-4C49-80D4-B5E894EBBC46}">
  <dimension ref="A1:N1001"/>
  <sheetViews>
    <sheetView workbookViewId="0"/>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s="1">
        <v>45618</v>
      </c>
      <c r="D2" t="s">
        <v>16</v>
      </c>
      <c r="F2">
        <v>61</v>
      </c>
      <c r="G2" t="s">
        <v>17</v>
      </c>
      <c r="H2">
        <v>1</v>
      </c>
      <c r="I2" s="2">
        <v>12.11</v>
      </c>
      <c r="J2" t="s">
        <v>18</v>
      </c>
      <c r="K2" t="s">
        <v>19</v>
      </c>
      <c r="L2" s="3">
        <v>45618</v>
      </c>
      <c r="M2" t="s">
        <v>20</v>
      </c>
      <c r="N2">
        <v>61</v>
      </c>
    </row>
    <row r="3" spans="1:14" x14ac:dyDescent="0.25">
      <c r="A3" t="s">
        <v>21</v>
      </c>
      <c r="B3" t="s">
        <v>22</v>
      </c>
      <c r="C3" t="s">
        <v>23</v>
      </c>
      <c r="D3" t="s">
        <v>24</v>
      </c>
      <c r="E3" t="s">
        <v>25</v>
      </c>
      <c r="G3" t="s">
        <v>26</v>
      </c>
      <c r="H3">
        <v>2</v>
      </c>
      <c r="I3" t="s">
        <v>25</v>
      </c>
      <c r="J3">
        <v>17.39</v>
      </c>
      <c r="K3" t="s">
        <v>19</v>
      </c>
      <c r="L3" s="3">
        <v>45117</v>
      </c>
      <c r="M3" t="s">
        <v>20</v>
      </c>
    </row>
    <row r="4" spans="1:14" x14ac:dyDescent="0.25">
      <c r="A4" t="s">
        <v>27</v>
      </c>
      <c r="B4" t="s">
        <v>28</v>
      </c>
      <c r="C4" t="s">
        <v>29</v>
      </c>
      <c r="D4" t="s">
        <v>30</v>
      </c>
      <c r="E4" t="s">
        <v>31</v>
      </c>
      <c r="F4">
        <v>29</v>
      </c>
      <c r="G4" t="s">
        <v>32</v>
      </c>
      <c r="H4">
        <v>1</v>
      </c>
      <c r="I4" t="s">
        <v>33</v>
      </c>
      <c r="J4">
        <v>13.19</v>
      </c>
      <c r="K4" t="s">
        <v>19</v>
      </c>
      <c r="L4" s="3">
        <v>45432</v>
      </c>
      <c r="M4" t="s">
        <v>34</v>
      </c>
      <c r="N4">
        <v>29</v>
      </c>
    </row>
    <row r="5" spans="1:14" x14ac:dyDescent="0.25">
      <c r="A5" t="s">
        <v>35</v>
      </c>
      <c r="B5" t="s">
        <v>36</v>
      </c>
      <c r="C5" t="s">
        <v>37</v>
      </c>
      <c r="D5" t="s">
        <v>16</v>
      </c>
      <c r="E5" t="s">
        <v>38</v>
      </c>
      <c r="F5">
        <v>38</v>
      </c>
      <c r="G5" t="s">
        <v>39</v>
      </c>
      <c r="H5">
        <v>1</v>
      </c>
      <c r="I5">
        <v>7.33</v>
      </c>
      <c r="J5" t="s">
        <v>40</v>
      </c>
      <c r="K5" t="s">
        <v>41</v>
      </c>
      <c r="L5" s="3">
        <v>45569</v>
      </c>
      <c r="M5" t="s">
        <v>34</v>
      </c>
      <c r="N5">
        <v>38</v>
      </c>
    </row>
    <row r="6" spans="1:14" x14ac:dyDescent="0.25">
      <c r="A6" t="s">
        <v>42</v>
      </c>
      <c r="B6" t="s">
        <v>43</v>
      </c>
      <c r="C6" t="s">
        <v>44</v>
      </c>
      <c r="D6" t="s">
        <v>16</v>
      </c>
      <c r="E6" t="s">
        <v>45</v>
      </c>
      <c r="F6">
        <v>59</v>
      </c>
      <c r="G6" t="s">
        <v>46</v>
      </c>
      <c r="H6">
        <v>2</v>
      </c>
      <c r="I6" t="s">
        <v>47</v>
      </c>
      <c r="J6">
        <v>20.71</v>
      </c>
      <c r="K6" t="s">
        <v>19</v>
      </c>
      <c r="L6" s="3">
        <v>45091</v>
      </c>
      <c r="M6" t="s">
        <v>48</v>
      </c>
      <c r="N6">
        <v>59</v>
      </c>
    </row>
    <row r="7" spans="1:14" x14ac:dyDescent="0.25">
      <c r="A7" t="s">
        <v>49</v>
      </c>
      <c r="B7" t="s">
        <v>50</v>
      </c>
      <c r="C7" s="1">
        <v>45631</v>
      </c>
      <c r="D7" t="s">
        <v>51</v>
      </c>
      <c r="F7">
        <v>55</v>
      </c>
      <c r="G7" t="s">
        <v>52</v>
      </c>
      <c r="H7">
        <v>2</v>
      </c>
      <c r="I7" t="s">
        <v>53</v>
      </c>
      <c r="J7" t="s">
        <v>54</v>
      </c>
      <c r="K7" t="s">
        <v>41</v>
      </c>
      <c r="L7" s="3">
        <v>45631</v>
      </c>
      <c r="M7" t="s">
        <v>20</v>
      </c>
      <c r="N7">
        <v>55</v>
      </c>
    </row>
    <row r="8" spans="1:14" x14ac:dyDescent="0.25">
      <c r="A8" t="s">
        <v>55</v>
      </c>
      <c r="B8" t="s">
        <v>56</v>
      </c>
      <c r="C8" s="1">
        <v>45144</v>
      </c>
      <c r="D8" t="s">
        <v>51</v>
      </c>
      <c r="E8" t="s">
        <v>38</v>
      </c>
      <c r="F8">
        <v>65</v>
      </c>
      <c r="G8" t="s">
        <v>57</v>
      </c>
      <c r="H8">
        <v>2</v>
      </c>
      <c r="I8">
        <v>15.74</v>
      </c>
      <c r="J8" s="2">
        <v>7.12</v>
      </c>
      <c r="K8" t="s">
        <v>41</v>
      </c>
      <c r="L8" s="3">
        <v>45144</v>
      </c>
      <c r="M8" t="s">
        <v>34</v>
      </c>
      <c r="N8">
        <v>65</v>
      </c>
    </row>
    <row r="9" spans="1:14" x14ac:dyDescent="0.25">
      <c r="A9" t="s">
        <v>58</v>
      </c>
      <c r="B9" t="s">
        <v>59</v>
      </c>
      <c r="C9" s="3">
        <v>45007</v>
      </c>
      <c r="D9" t="s">
        <v>30</v>
      </c>
      <c r="E9" t="s">
        <v>60</v>
      </c>
      <c r="F9">
        <v>56</v>
      </c>
      <c r="G9" t="s">
        <v>61</v>
      </c>
      <c r="H9">
        <v>4</v>
      </c>
      <c r="I9" t="s">
        <v>62</v>
      </c>
      <c r="J9" s="2">
        <v>24.26</v>
      </c>
      <c r="K9" t="s">
        <v>41</v>
      </c>
      <c r="L9" s="3">
        <v>45007</v>
      </c>
      <c r="M9" t="s">
        <v>48</v>
      </c>
      <c r="N9">
        <v>56</v>
      </c>
    </row>
    <row r="10" spans="1:14" x14ac:dyDescent="0.25">
      <c r="A10" t="s">
        <v>63</v>
      </c>
      <c r="B10" t="s">
        <v>64</v>
      </c>
      <c r="C10" s="1">
        <v>45453</v>
      </c>
      <c r="D10" t="s">
        <v>16</v>
      </c>
      <c r="E10" t="s">
        <v>65</v>
      </c>
      <c r="F10">
        <v>39</v>
      </c>
      <c r="G10" t="s">
        <v>66</v>
      </c>
      <c r="H10">
        <v>1</v>
      </c>
      <c r="I10">
        <v>24.32</v>
      </c>
      <c r="J10">
        <v>8.65</v>
      </c>
      <c r="K10" t="s">
        <v>19</v>
      </c>
      <c r="L10" s="3">
        <v>45453</v>
      </c>
      <c r="M10" t="s">
        <v>48</v>
      </c>
      <c r="N10">
        <v>39</v>
      </c>
    </row>
    <row r="11" spans="1:14" x14ac:dyDescent="0.25">
      <c r="A11" t="s">
        <v>67</v>
      </c>
      <c r="B11" t="s">
        <v>68</v>
      </c>
      <c r="C11" t="s">
        <v>69</v>
      </c>
      <c r="D11" t="s">
        <v>16</v>
      </c>
      <c r="E11" t="s">
        <v>70</v>
      </c>
      <c r="F11">
        <v>50</v>
      </c>
      <c r="G11" t="s">
        <v>71</v>
      </c>
      <c r="H11">
        <v>-4</v>
      </c>
      <c r="I11">
        <v>-50.65</v>
      </c>
      <c r="J11">
        <v>-16.77</v>
      </c>
      <c r="K11" t="s">
        <v>41</v>
      </c>
      <c r="L11" s="3">
        <v>45494</v>
      </c>
      <c r="M11" t="s">
        <v>20</v>
      </c>
      <c r="N11">
        <v>50</v>
      </c>
    </row>
    <row r="12" spans="1:14" x14ac:dyDescent="0.25">
      <c r="A12" t="s">
        <v>72</v>
      </c>
      <c r="B12" t="s">
        <v>73</v>
      </c>
      <c r="C12" t="s">
        <v>74</v>
      </c>
      <c r="D12" t="s">
        <v>24</v>
      </c>
      <c r="E12" t="s">
        <v>60</v>
      </c>
      <c r="F12" t="s">
        <v>75</v>
      </c>
      <c r="G12" t="s">
        <v>76</v>
      </c>
      <c r="H12">
        <v>1</v>
      </c>
      <c r="I12">
        <v>23.1</v>
      </c>
      <c r="J12" t="s">
        <v>77</v>
      </c>
      <c r="K12" t="s">
        <v>41</v>
      </c>
      <c r="L12" s="3">
        <v>44937</v>
      </c>
      <c r="M12" t="s">
        <v>48</v>
      </c>
      <c r="N12">
        <v>20</v>
      </c>
    </row>
    <row r="13" spans="1:14" x14ac:dyDescent="0.25">
      <c r="A13" t="s">
        <v>78</v>
      </c>
      <c r="B13" t="s">
        <v>79</v>
      </c>
      <c r="C13" t="s">
        <v>80</v>
      </c>
      <c r="D13" t="s">
        <v>16</v>
      </c>
      <c r="E13" t="s">
        <v>60</v>
      </c>
      <c r="F13">
        <v>14</v>
      </c>
      <c r="G13" t="s">
        <v>81</v>
      </c>
      <c r="H13">
        <v>2</v>
      </c>
      <c r="I13" s="2">
        <v>46.39</v>
      </c>
      <c r="J13" t="s">
        <v>25</v>
      </c>
      <c r="K13" t="s">
        <v>19</v>
      </c>
      <c r="L13" s="3">
        <v>45651</v>
      </c>
      <c r="M13" t="s">
        <v>48</v>
      </c>
      <c r="N13">
        <v>14</v>
      </c>
    </row>
    <row r="14" spans="1:14" x14ac:dyDescent="0.25">
      <c r="A14" t="s">
        <v>82</v>
      </c>
      <c r="B14" t="s">
        <v>83</v>
      </c>
      <c r="C14" t="s">
        <v>84</v>
      </c>
      <c r="D14" t="s">
        <v>30</v>
      </c>
      <c r="E14" t="s">
        <v>85</v>
      </c>
      <c r="F14">
        <v>69</v>
      </c>
      <c r="G14" t="s">
        <v>86</v>
      </c>
      <c r="H14">
        <v>1</v>
      </c>
      <c r="I14" t="s">
        <v>87</v>
      </c>
      <c r="J14">
        <v>8.67</v>
      </c>
      <c r="K14" t="s">
        <v>41</v>
      </c>
      <c r="L14" s="3">
        <v>45109</v>
      </c>
      <c r="M14" t="s">
        <v>34</v>
      </c>
      <c r="N14">
        <v>69</v>
      </c>
    </row>
    <row r="15" spans="1:14" x14ac:dyDescent="0.25">
      <c r="A15" t="s">
        <v>88</v>
      </c>
      <c r="B15" t="s">
        <v>89</v>
      </c>
      <c r="C15" t="s">
        <v>90</v>
      </c>
      <c r="D15" t="s">
        <v>51</v>
      </c>
      <c r="E15" t="s">
        <v>34</v>
      </c>
      <c r="F15">
        <v>60</v>
      </c>
      <c r="G15" t="s">
        <v>91</v>
      </c>
      <c r="H15">
        <v>1</v>
      </c>
      <c r="I15" s="2">
        <v>8.39</v>
      </c>
      <c r="J15" s="2">
        <v>2.65</v>
      </c>
      <c r="K15" t="s">
        <v>41</v>
      </c>
      <c r="L15" s="3">
        <v>45037</v>
      </c>
      <c r="M15" t="s">
        <v>34</v>
      </c>
      <c r="N15">
        <v>60</v>
      </c>
    </row>
    <row r="16" spans="1:14" x14ac:dyDescent="0.25">
      <c r="A16" t="s">
        <v>92</v>
      </c>
      <c r="B16" t="s">
        <v>93</v>
      </c>
      <c r="C16" t="s">
        <v>94</v>
      </c>
      <c r="D16" t="s">
        <v>16</v>
      </c>
      <c r="E16" t="s">
        <v>31</v>
      </c>
      <c r="F16">
        <v>54</v>
      </c>
      <c r="G16" t="s">
        <v>95</v>
      </c>
      <c r="H16">
        <v>1</v>
      </c>
      <c r="I16" t="s">
        <v>96</v>
      </c>
      <c r="J16">
        <v>1.43</v>
      </c>
      <c r="K16" t="s">
        <v>19</v>
      </c>
      <c r="L16" s="3">
        <v>45248</v>
      </c>
      <c r="M16" t="s">
        <v>34</v>
      </c>
      <c r="N16">
        <v>54</v>
      </c>
    </row>
    <row r="17" spans="1:14" x14ac:dyDescent="0.25">
      <c r="A17" t="s">
        <v>97</v>
      </c>
      <c r="B17" t="s">
        <v>98</v>
      </c>
      <c r="C17" t="s">
        <v>99</v>
      </c>
      <c r="D17" t="s">
        <v>30</v>
      </c>
      <c r="E17" t="s">
        <v>85</v>
      </c>
      <c r="F17">
        <v>40</v>
      </c>
      <c r="G17" t="s">
        <v>100</v>
      </c>
      <c r="H17">
        <v>1</v>
      </c>
      <c r="I17" s="2">
        <v>18.440000000000001</v>
      </c>
      <c r="J17">
        <v>7.13</v>
      </c>
      <c r="K17" t="s">
        <v>19</v>
      </c>
      <c r="L17" s="3">
        <v>44942</v>
      </c>
      <c r="M17" t="s">
        <v>34</v>
      </c>
      <c r="N17">
        <v>40</v>
      </c>
    </row>
    <row r="18" spans="1:14" x14ac:dyDescent="0.25">
      <c r="A18" t="s">
        <v>101</v>
      </c>
      <c r="B18" t="s">
        <v>102</v>
      </c>
      <c r="C18" t="s">
        <v>103</v>
      </c>
      <c r="D18" t="s">
        <v>30</v>
      </c>
      <c r="E18" t="s">
        <v>38</v>
      </c>
      <c r="F18">
        <v>65</v>
      </c>
      <c r="G18" t="s">
        <v>104</v>
      </c>
      <c r="H18">
        <v>1</v>
      </c>
      <c r="I18">
        <v>16.02</v>
      </c>
      <c r="J18">
        <v>8.09</v>
      </c>
      <c r="K18" t="s">
        <v>41</v>
      </c>
      <c r="L18" s="3">
        <v>45359</v>
      </c>
      <c r="M18" t="s">
        <v>34</v>
      </c>
      <c r="N18">
        <v>65</v>
      </c>
    </row>
    <row r="19" spans="1:14" x14ac:dyDescent="0.25">
      <c r="A19" t="s">
        <v>105</v>
      </c>
      <c r="B19" t="s">
        <v>106</v>
      </c>
      <c r="C19" t="s">
        <v>107</v>
      </c>
      <c r="D19" t="s">
        <v>51</v>
      </c>
      <c r="E19" t="s">
        <v>38</v>
      </c>
      <c r="F19">
        <v>21</v>
      </c>
      <c r="G19" t="s">
        <v>108</v>
      </c>
      <c r="H19">
        <v>2</v>
      </c>
      <c r="I19">
        <v>54.5</v>
      </c>
      <c r="J19">
        <v>28.76</v>
      </c>
      <c r="K19" t="s">
        <v>41</v>
      </c>
      <c r="L19" s="3">
        <v>45441</v>
      </c>
      <c r="M19" t="s">
        <v>34</v>
      </c>
      <c r="N19">
        <v>21</v>
      </c>
    </row>
    <row r="20" spans="1:14" x14ac:dyDescent="0.25">
      <c r="A20" t="s">
        <v>109</v>
      </c>
      <c r="B20" t="s">
        <v>110</v>
      </c>
      <c r="C20" t="s">
        <v>111</v>
      </c>
      <c r="D20" t="s">
        <v>51</v>
      </c>
      <c r="E20" t="s">
        <v>31</v>
      </c>
      <c r="F20">
        <v>19</v>
      </c>
      <c r="G20" t="s">
        <v>112</v>
      </c>
      <c r="H20">
        <v>-2</v>
      </c>
      <c r="I20" s="2">
        <v>-13.81</v>
      </c>
      <c r="J20" t="s">
        <v>113</v>
      </c>
      <c r="K20" t="s">
        <v>41</v>
      </c>
      <c r="L20" s="3">
        <v>45043</v>
      </c>
      <c r="M20" t="s">
        <v>34</v>
      </c>
      <c r="N20">
        <v>19</v>
      </c>
    </row>
    <row r="21" spans="1:14" x14ac:dyDescent="0.25">
      <c r="A21" t="s">
        <v>114</v>
      </c>
      <c r="B21" t="s">
        <v>89</v>
      </c>
      <c r="C21" s="3">
        <v>45237</v>
      </c>
      <c r="D21" t="s">
        <v>30</v>
      </c>
      <c r="E21" t="s">
        <v>85</v>
      </c>
      <c r="F21">
        <v>66</v>
      </c>
      <c r="G21" t="s">
        <v>115</v>
      </c>
      <c r="H21">
        <v>3</v>
      </c>
      <c r="I21">
        <v>69.53</v>
      </c>
      <c r="J21" t="s">
        <v>116</v>
      </c>
      <c r="K21" t="s">
        <v>41</v>
      </c>
      <c r="L21" s="3">
        <v>45237</v>
      </c>
      <c r="M21" t="s">
        <v>34</v>
      </c>
      <c r="N21">
        <v>66</v>
      </c>
    </row>
    <row r="22" spans="1:14" x14ac:dyDescent="0.25">
      <c r="A22" t="s">
        <v>117</v>
      </c>
      <c r="B22" t="s">
        <v>118</v>
      </c>
      <c r="C22" s="1">
        <v>45421</v>
      </c>
      <c r="D22" t="s">
        <v>24</v>
      </c>
      <c r="E22" t="s">
        <v>34</v>
      </c>
      <c r="F22">
        <v>50</v>
      </c>
      <c r="G22" t="s">
        <v>119</v>
      </c>
      <c r="H22">
        <v>1</v>
      </c>
      <c r="I22">
        <v>23.52</v>
      </c>
      <c r="J22">
        <v>12.51</v>
      </c>
      <c r="K22" t="s">
        <v>19</v>
      </c>
      <c r="L22" s="3">
        <v>45421</v>
      </c>
      <c r="M22" t="s">
        <v>34</v>
      </c>
      <c r="N22">
        <v>50</v>
      </c>
    </row>
    <row r="23" spans="1:14" x14ac:dyDescent="0.25">
      <c r="A23" t="s">
        <v>120</v>
      </c>
      <c r="B23" t="s">
        <v>121</v>
      </c>
      <c r="C23" s="1">
        <v>44999</v>
      </c>
      <c r="D23" t="s">
        <v>24</v>
      </c>
      <c r="E23" t="s">
        <v>65</v>
      </c>
      <c r="F23">
        <v>71</v>
      </c>
      <c r="G23" t="s">
        <v>122</v>
      </c>
      <c r="H23">
        <v>2</v>
      </c>
      <c r="I23">
        <v>20.260000000000002</v>
      </c>
      <c r="J23">
        <v>5.4</v>
      </c>
      <c r="K23" t="s">
        <v>19</v>
      </c>
      <c r="L23" s="3">
        <v>44999</v>
      </c>
      <c r="M23" t="s">
        <v>48</v>
      </c>
      <c r="N23">
        <v>71</v>
      </c>
    </row>
    <row r="24" spans="1:14" x14ac:dyDescent="0.25">
      <c r="A24" t="s">
        <v>123</v>
      </c>
      <c r="B24" t="s">
        <v>124</v>
      </c>
      <c r="C24" t="s">
        <v>125</v>
      </c>
      <c r="D24" t="s">
        <v>16</v>
      </c>
      <c r="E24" t="s">
        <v>60</v>
      </c>
      <c r="F24">
        <v>18</v>
      </c>
      <c r="G24" t="s">
        <v>126</v>
      </c>
      <c r="H24">
        <v>1</v>
      </c>
      <c r="I24">
        <v>4.92</v>
      </c>
      <c r="J24">
        <v>2.78</v>
      </c>
      <c r="K24" t="s">
        <v>41</v>
      </c>
      <c r="L24" s="3">
        <v>45452</v>
      </c>
      <c r="M24" t="s">
        <v>48</v>
      </c>
      <c r="N24">
        <v>18</v>
      </c>
    </row>
    <row r="25" spans="1:14" x14ac:dyDescent="0.25">
      <c r="A25" t="s">
        <v>127</v>
      </c>
      <c r="B25" t="s">
        <v>128</v>
      </c>
      <c r="C25" s="1">
        <v>45410</v>
      </c>
      <c r="D25" t="s">
        <v>129</v>
      </c>
      <c r="E25" t="s">
        <v>31</v>
      </c>
      <c r="F25">
        <v>44</v>
      </c>
      <c r="G25" t="s">
        <v>130</v>
      </c>
      <c r="H25">
        <v>2</v>
      </c>
      <c r="I25">
        <v>15.32</v>
      </c>
      <c r="J25">
        <v>6.15</v>
      </c>
      <c r="K25" t="s">
        <v>19</v>
      </c>
      <c r="L25" s="3">
        <v>45410</v>
      </c>
      <c r="M25" t="s">
        <v>34</v>
      </c>
      <c r="N25">
        <v>44</v>
      </c>
    </row>
    <row r="26" spans="1:14" x14ac:dyDescent="0.25">
      <c r="A26" t="s">
        <v>131</v>
      </c>
      <c r="B26" t="s">
        <v>22</v>
      </c>
      <c r="C26" s="3">
        <v>45476</v>
      </c>
      <c r="D26" t="s">
        <v>30</v>
      </c>
      <c r="E26" t="s">
        <v>132</v>
      </c>
      <c r="F26">
        <v>47</v>
      </c>
      <c r="G26" t="s">
        <v>133</v>
      </c>
      <c r="H26">
        <v>3</v>
      </c>
      <c r="I26" t="s">
        <v>134</v>
      </c>
      <c r="J26">
        <v>31.93</v>
      </c>
      <c r="K26" t="s">
        <v>19</v>
      </c>
      <c r="L26" s="3">
        <v>45476</v>
      </c>
      <c r="M26" t="s">
        <v>132</v>
      </c>
      <c r="N26">
        <v>47</v>
      </c>
    </row>
    <row r="27" spans="1:14" x14ac:dyDescent="0.25">
      <c r="A27" t="s">
        <v>135</v>
      </c>
      <c r="B27" t="s">
        <v>136</v>
      </c>
      <c r="C27" s="1">
        <v>45607</v>
      </c>
      <c r="D27" t="s">
        <v>24</v>
      </c>
      <c r="E27" t="s">
        <v>65</v>
      </c>
      <c r="F27">
        <v>74</v>
      </c>
      <c r="G27" t="s">
        <v>137</v>
      </c>
      <c r="H27">
        <v>1</v>
      </c>
      <c r="I27" t="s">
        <v>138</v>
      </c>
      <c r="J27">
        <v>7.69</v>
      </c>
      <c r="K27" t="s">
        <v>19</v>
      </c>
      <c r="L27" s="3">
        <v>45607</v>
      </c>
      <c r="M27" t="s">
        <v>48</v>
      </c>
      <c r="N27">
        <v>74</v>
      </c>
    </row>
    <row r="28" spans="1:14" x14ac:dyDescent="0.25">
      <c r="A28" t="s">
        <v>139</v>
      </c>
      <c r="B28" t="s">
        <v>128</v>
      </c>
      <c r="C28" t="s">
        <v>140</v>
      </c>
      <c r="D28" t="s">
        <v>51</v>
      </c>
      <c r="E28" t="s">
        <v>48</v>
      </c>
      <c r="F28">
        <v>44</v>
      </c>
      <c r="G28" t="s">
        <v>141</v>
      </c>
      <c r="H28">
        <v>1</v>
      </c>
      <c r="I28">
        <v>31.02</v>
      </c>
      <c r="J28">
        <v>11.15</v>
      </c>
      <c r="K28" t="s">
        <v>19</v>
      </c>
      <c r="L28" s="3">
        <v>45111</v>
      </c>
      <c r="M28" t="s">
        <v>48</v>
      </c>
      <c r="N28">
        <v>44</v>
      </c>
    </row>
    <row r="29" spans="1:14" x14ac:dyDescent="0.25">
      <c r="A29" t="s">
        <v>142</v>
      </c>
      <c r="B29" t="s">
        <v>143</v>
      </c>
      <c r="C29" t="s">
        <v>144</v>
      </c>
      <c r="D29" t="s">
        <v>16</v>
      </c>
      <c r="E29" t="s">
        <v>38</v>
      </c>
      <c r="F29">
        <v>46</v>
      </c>
      <c r="G29" t="s">
        <v>145</v>
      </c>
      <c r="H29">
        <v>3</v>
      </c>
      <c r="I29">
        <v>48.76</v>
      </c>
      <c r="J29">
        <v>27.2</v>
      </c>
      <c r="K29" t="s">
        <v>41</v>
      </c>
      <c r="L29" s="3">
        <v>45621</v>
      </c>
      <c r="M29" t="s">
        <v>34</v>
      </c>
      <c r="N29">
        <v>46</v>
      </c>
    </row>
    <row r="30" spans="1:14" x14ac:dyDescent="0.25">
      <c r="A30" t="s">
        <v>146</v>
      </c>
      <c r="B30" t="s">
        <v>147</v>
      </c>
      <c r="C30" s="1">
        <v>45424</v>
      </c>
      <c r="D30" t="s">
        <v>51</v>
      </c>
      <c r="E30" t="s">
        <v>65</v>
      </c>
      <c r="F30">
        <v>43</v>
      </c>
      <c r="G30" t="s">
        <v>148</v>
      </c>
      <c r="H30">
        <v>4</v>
      </c>
      <c r="I30">
        <v>47.77</v>
      </c>
      <c r="J30">
        <v>29.42</v>
      </c>
      <c r="K30" t="s">
        <v>41</v>
      </c>
      <c r="L30" s="3">
        <v>45424</v>
      </c>
      <c r="M30" t="s">
        <v>48</v>
      </c>
      <c r="N30">
        <v>43</v>
      </c>
    </row>
    <row r="31" spans="1:14" x14ac:dyDescent="0.25">
      <c r="A31" t="s">
        <v>149</v>
      </c>
      <c r="B31" t="s">
        <v>150</v>
      </c>
      <c r="C31" s="1">
        <v>44989</v>
      </c>
      <c r="D31" t="s">
        <v>16</v>
      </c>
      <c r="E31" t="s">
        <v>48</v>
      </c>
      <c r="F31">
        <v>48</v>
      </c>
      <c r="G31" t="s">
        <v>151</v>
      </c>
      <c r="H31">
        <v>1</v>
      </c>
      <c r="I31" t="s">
        <v>152</v>
      </c>
      <c r="J31">
        <v>4.71</v>
      </c>
      <c r="K31" t="s">
        <v>41</v>
      </c>
      <c r="L31" s="3">
        <v>44989</v>
      </c>
      <c r="M31" t="s">
        <v>48</v>
      </c>
      <c r="N31">
        <v>48</v>
      </c>
    </row>
    <row r="32" spans="1:14" x14ac:dyDescent="0.25">
      <c r="A32" t="s">
        <v>153</v>
      </c>
      <c r="B32" t="s">
        <v>154</v>
      </c>
      <c r="C32" s="1">
        <v>45185</v>
      </c>
      <c r="D32" t="s">
        <v>51</v>
      </c>
      <c r="E32" t="s">
        <v>31</v>
      </c>
      <c r="F32">
        <v>44</v>
      </c>
      <c r="G32" t="s">
        <v>155</v>
      </c>
      <c r="H32">
        <v>1</v>
      </c>
      <c r="I32">
        <v>44.26</v>
      </c>
      <c r="J32">
        <v>29.12</v>
      </c>
      <c r="K32" t="s">
        <v>19</v>
      </c>
      <c r="L32" s="3">
        <v>45185</v>
      </c>
      <c r="M32" t="s">
        <v>34</v>
      </c>
      <c r="N32">
        <v>44</v>
      </c>
    </row>
    <row r="33" spans="1:14" x14ac:dyDescent="0.25">
      <c r="A33" t="s">
        <v>156</v>
      </c>
      <c r="B33" t="s">
        <v>157</v>
      </c>
      <c r="C33" s="1">
        <v>45489</v>
      </c>
      <c r="D33" t="s">
        <v>129</v>
      </c>
      <c r="E33" t="s">
        <v>60</v>
      </c>
      <c r="F33">
        <v>73</v>
      </c>
      <c r="G33" t="s">
        <v>158</v>
      </c>
      <c r="H33">
        <v>1</v>
      </c>
      <c r="I33" s="2">
        <v>13.32</v>
      </c>
      <c r="J33">
        <v>4.92</v>
      </c>
      <c r="K33" t="s">
        <v>41</v>
      </c>
      <c r="L33" s="3">
        <v>45489</v>
      </c>
      <c r="M33" t="s">
        <v>48</v>
      </c>
      <c r="N33">
        <v>73</v>
      </c>
    </row>
    <row r="34" spans="1:14" x14ac:dyDescent="0.25">
      <c r="A34" t="s">
        <v>159</v>
      </c>
      <c r="B34" t="s">
        <v>160</v>
      </c>
      <c r="C34" t="s">
        <v>161</v>
      </c>
      <c r="D34" t="s">
        <v>51</v>
      </c>
      <c r="E34" t="s">
        <v>25</v>
      </c>
      <c r="F34">
        <v>31</v>
      </c>
      <c r="G34" t="s">
        <v>162</v>
      </c>
      <c r="H34">
        <v>1</v>
      </c>
      <c r="I34" t="s">
        <v>163</v>
      </c>
      <c r="J34">
        <v>20.079999999999998</v>
      </c>
      <c r="K34" t="s">
        <v>41</v>
      </c>
      <c r="L34" s="3">
        <v>45110</v>
      </c>
      <c r="M34" t="s">
        <v>20</v>
      </c>
      <c r="N34">
        <v>31</v>
      </c>
    </row>
    <row r="35" spans="1:14" x14ac:dyDescent="0.25">
      <c r="A35" t="s">
        <v>164</v>
      </c>
      <c r="B35" t="s">
        <v>165</v>
      </c>
      <c r="C35" s="1">
        <v>44960</v>
      </c>
      <c r="D35" t="s">
        <v>30</v>
      </c>
      <c r="E35" t="s">
        <v>38</v>
      </c>
      <c r="F35">
        <v>34</v>
      </c>
      <c r="G35" t="s">
        <v>166</v>
      </c>
      <c r="H35">
        <v>1</v>
      </c>
      <c r="I35" s="2">
        <v>18.940000000000001</v>
      </c>
      <c r="J35">
        <v>9.7799999999999994</v>
      </c>
      <c r="K35" t="s">
        <v>19</v>
      </c>
      <c r="L35" s="3">
        <v>44960</v>
      </c>
      <c r="M35" t="s">
        <v>34</v>
      </c>
      <c r="N35">
        <v>34</v>
      </c>
    </row>
    <row r="36" spans="1:14" x14ac:dyDescent="0.25">
      <c r="A36" t="s">
        <v>167</v>
      </c>
      <c r="B36" t="s">
        <v>168</v>
      </c>
      <c r="C36" t="s">
        <v>169</v>
      </c>
      <c r="D36" t="s">
        <v>129</v>
      </c>
      <c r="E36" t="s">
        <v>31</v>
      </c>
      <c r="F36">
        <v>14</v>
      </c>
      <c r="G36" t="s">
        <v>170</v>
      </c>
      <c r="H36">
        <v>1</v>
      </c>
      <c r="I36">
        <v>8</v>
      </c>
      <c r="J36">
        <v>2.86</v>
      </c>
      <c r="K36" t="s">
        <v>19</v>
      </c>
      <c r="L36" s="3">
        <v>45285</v>
      </c>
      <c r="M36" t="s">
        <v>34</v>
      </c>
      <c r="N36">
        <v>14</v>
      </c>
    </row>
    <row r="37" spans="1:14" x14ac:dyDescent="0.25">
      <c r="A37" t="s">
        <v>171</v>
      </c>
      <c r="B37" t="s">
        <v>172</v>
      </c>
      <c r="C37" s="1">
        <v>45647</v>
      </c>
      <c r="D37" t="s">
        <v>51</v>
      </c>
      <c r="E37" t="s">
        <v>48</v>
      </c>
      <c r="F37" t="s">
        <v>173</v>
      </c>
      <c r="G37" t="s">
        <v>174</v>
      </c>
      <c r="H37">
        <v>3</v>
      </c>
      <c r="I37" s="2">
        <v>210.48</v>
      </c>
      <c r="K37" t="s">
        <v>19</v>
      </c>
      <c r="L37" s="3">
        <v>45647</v>
      </c>
      <c r="M37" t="s">
        <v>48</v>
      </c>
      <c r="N37">
        <v>30</v>
      </c>
    </row>
    <row r="38" spans="1:14" x14ac:dyDescent="0.25">
      <c r="A38" t="s">
        <v>175</v>
      </c>
      <c r="B38" t="s">
        <v>176</v>
      </c>
      <c r="C38" t="s">
        <v>177</v>
      </c>
      <c r="D38" t="s">
        <v>51</v>
      </c>
      <c r="E38" t="s">
        <v>34</v>
      </c>
      <c r="F38">
        <v>38</v>
      </c>
      <c r="G38" t="s">
        <v>178</v>
      </c>
      <c r="H38">
        <v>3</v>
      </c>
      <c r="I38">
        <v>124.14</v>
      </c>
      <c r="J38">
        <v>47.04</v>
      </c>
      <c r="K38" t="s">
        <v>41</v>
      </c>
      <c r="L38" s="3">
        <v>45235</v>
      </c>
      <c r="M38" t="s">
        <v>34</v>
      </c>
      <c r="N38">
        <v>38</v>
      </c>
    </row>
    <row r="39" spans="1:14" x14ac:dyDescent="0.25">
      <c r="A39" t="s">
        <v>179</v>
      </c>
      <c r="B39" t="s">
        <v>180</v>
      </c>
      <c r="C39" t="s">
        <v>181</v>
      </c>
      <c r="D39" t="s">
        <v>129</v>
      </c>
      <c r="E39" t="s">
        <v>38</v>
      </c>
      <c r="F39">
        <v>26</v>
      </c>
      <c r="G39" t="s">
        <v>182</v>
      </c>
      <c r="H39">
        <v>2</v>
      </c>
      <c r="I39" t="s">
        <v>183</v>
      </c>
      <c r="J39">
        <v>8.86</v>
      </c>
      <c r="K39" t="s">
        <v>41</v>
      </c>
      <c r="L39" s="3">
        <v>45516</v>
      </c>
      <c r="M39" t="s">
        <v>34</v>
      </c>
      <c r="N39">
        <v>26</v>
      </c>
    </row>
    <row r="40" spans="1:14" x14ac:dyDescent="0.25">
      <c r="A40" t="s">
        <v>184</v>
      </c>
      <c r="B40" t="s">
        <v>89</v>
      </c>
      <c r="C40" t="s">
        <v>185</v>
      </c>
      <c r="D40" t="s">
        <v>16</v>
      </c>
      <c r="E40" t="s">
        <v>31</v>
      </c>
      <c r="F40">
        <v>33</v>
      </c>
      <c r="G40" t="s">
        <v>186</v>
      </c>
      <c r="H40">
        <v>1</v>
      </c>
      <c r="I40" s="2">
        <v>4.84</v>
      </c>
      <c r="J40">
        <v>2.2000000000000002</v>
      </c>
      <c r="K40" t="s">
        <v>19</v>
      </c>
      <c r="L40" s="3">
        <v>45475</v>
      </c>
      <c r="M40" t="s">
        <v>34</v>
      </c>
      <c r="N40">
        <v>33</v>
      </c>
    </row>
    <row r="41" spans="1:14" x14ac:dyDescent="0.25">
      <c r="A41" t="s">
        <v>187</v>
      </c>
      <c r="B41" t="s">
        <v>188</v>
      </c>
      <c r="C41" s="3">
        <v>44985</v>
      </c>
      <c r="D41" t="s">
        <v>51</v>
      </c>
      <c r="E41" t="s">
        <v>38</v>
      </c>
      <c r="F41">
        <v>44</v>
      </c>
      <c r="G41" t="s">
        <v>189</v>
      </c>
      <c r="H41">
        <v>2</v>
      </c>
      <c r="I41">
        <v>94.83</v>
      </c>
      <c r="J41" s="2">
        <v>46.75</v>
      </c>
      <c r="K41" t="s">
        <v>19</v>
      </c>
      <c r="L41" s="3">
        <v>44985</v>
      </c>
      <c r="M41" t="s">
        <v>34</v>
      </c>
      <c r="N41">
        <v>44</v>
      </c>
    </row>
    <row r="42" spans="1:14" x14ac:dyDescent="0.25">
      <c r="A42" t="s">
        <v>190</v>
      </c>
      <c r="B42" t="s">
        <v>191</v>
      </c>
      <c r="C42" s="1">
        <v>44955</v>
      </c>
      <c r="D42" t="s">
        <v>30</v>
      </c>
      <c r="E42" t="s">
        <v>45</v>
      </c>
      <c r="F42">
        <v>57</v>
      </c>
      <c r="G42" t="s">
        <v>192</v>
      </c>
      <c r="H42">
        <v>2</v>
      </c>
      <c r="I42">
        <v>26.02</v>
      </c>
      <c r="J42">
        <v>7.22</v>
      </c>
      <c r="K42" t="s">
        <v>19</v>
      </c>
      <c r="L42" s="3">
        <v>44955</v>
      </c>
      <c r="M42" t="s">
        <v>48</v>
      </c>
      <c r="N42">
        <v>57</v>
      </c>
    </row>
    <row r="43" spans="1:14" x14ac:dyDescent="0.25">
      <c r="A43" t="s">
        <v>193</v>
      </c>
      <c r="B43" t="s">
        <v>194</v>
      </c>
      <c r="C43" t="s">
        <v>195</v>
      </c>
      <c r="D43" t="s">
        <v>51</v>
      </c>
      <c r="E43" t="s">
        <v>25</v>
      </c>
      <c r="F43">
        <v>75</v>
      </c>
      <c r="G43" t="s">
        <v>196</v>
      </c>
      <c r="H43">
        <v>1</v>
      </c>
      <c r="I43" s="2">
        <v>40.200000000000003</v>
      </c>
      <c r="J43" s="2">
        <v>17.03</v>
      </c>
      <c r="K43" t="s">
        <v>41</v>
      </c>
      <c r="L43" s="3">
        <v>44951</v>
      </c>
      <c r="M43" t="s">
        <v>20</v>
      </c>
      <c r="N43">
        <v>75</v>
      </c>
    </row>
    <row r="44" spans="1:14" x14ac:dyDescent="0.25">
      <c r="A44" t="s">
        <v>197</v>
      </c>
      <c r="B44" t="s">
        <v>198</v>
      </c>
      <c r="C44" s="3">
        <v>45451</v>
      </c>
      <c r="D44" t="s">
        <v>129</v>
      </c>
      <c r="E44" t="s">
        <v>48</v>
      </c>
      <c r="F44">
        <v>20</v>
      </c>
      <c r="G44" t="s">
        <v>199</v>
      </c>
      <c r="H44">
        <v>1</v>
      </c>
      <c r="I44">
        <v>22.47</v>
      </c>
      <c r="J44" t="s">
        <v>200</v>
      </c>
      <c r="K44" t="s">
        <v>19</v>
      </c>
      <c r="L44" s="3">
        <v>45451</v>
      </c>
      <c r="M44" t="s">
        <v>48</v>
      </c>
      <c r="N44">
        <v>20</v>
      </c>
    </row>
    <row r="45" spans="1:14" x14ac:dyDescent="0.25">
      <c r="A45" t="s">
        <v>201</v>
      </c>
      <c r="B45" t="s">
        <v>202</v>
      </c>
      <c r="C45" t="s">
        <v>203</v>
      </c>
      <c r="D45" t="s">
        <v>30</v>
      </c>
      <c r="E45" t="s">
        <v>65</v>
      </c>
      <c r="F45">
        <v>42</v>
      </c>
      <c r="G45" t="s">
        <v>204</v>
      </c>
      <c r="H45">
        <v>1</v>
      </c>
      <c r="I45" t="s">
        <v>205</v>
      </c>
      <c r="J45" s="2">
        <v>6.7</v>
      </c>
      <c r="K45" t="s">
        <v>19</v>
      </c>
      <c r="L45" s="3">
        <v>45311</v>
      </c>
      <c r="M45" t="s">
        <v>48</v>
      </c>
      <c r="N45">
        <v>42</v>
      </c>
    </row>
    <row r="46" spans="1:14" x14ac:dyDescent="0.25">
      <c r="A46" t="s">
        <v>206</v>
      </c>
      <c r="B46" t="s">
        <v>207</v>
      </c>
      <c r="C46" t="s">
        <v>208</v>
      </c>
      <c r="D46" t="s">
        <v>24</v>
      </c>
      <c r="E46" t="s">
        <v>60</v>
      </c>
      <c r="F46">
        <v>19</v>
      </c>
      <c r="G46" t="s">
        <v>209</v>
      </c>
      <c r="H46">
        <v>5</v>
      </c>
      <c r="I46">
        <v>82.49</v>
      </c>
      <c r="J46" t="s">
        <v>210</v>
      </c>
      <c r="K46" t="s">
        <v>41</v>
      </c>
      <c r="L46" s="3">
        <v>45010</v>
      </c>
      <c r="M46" t="s">
        <v>48</v>
      </c>
      <c r="N46">
        <v>19</v>
      </c>
    </row>
    <row r="47" spans="1:14" x14ac:dyDescent="0.25">
      <c r="A47" t="s">
        <v>211</v>
      </c>
      <c r="B47" t="s">
        <v>28</v>
      </c>
      <c r="C47" t="s">
        <v>212</v>
      </c>
      <c r="D47" t="s">
        <v>30</v>
      </c>
      <c r="E47" t="s">
        <v>45</v>
      </c>
      <c r="F47">
        <v>50</v>
      </c>
      <c r="G47" t="s">
        <v>213</v>
      </c>
      <c r="H47">
        <v>1</v>
      </c>
      <c r="I47">
        <v>10.37</v>
      </c>
      <c r="J47">
        <v>5.19</v>
      </c>
      <c r="K47" t="s">
        <v>41</v>
      </c>
      <c r="L47" s="3">
        <v>45084</v>
      </c>
      <c r="M47" t="s">
        <v>48</v>
      </c>
      <c r="N47">
        <v>50</v>
      </c>
    </row>
    <row r="48" spans="1:14" x14ac:dyDescent="0.25">
      <c r="A48" t="s">
        <v>214</v>
      </c>
      <c r="B48" t="s">
        <v>215</v>
      </c>
      <c r="C48" s="1">
        <v>45497</v>
      </c>
      <c r="D48" t="s">
        <v>24</v>
      </c>
      <c r="E48" t="s">
        <v>31</v>
      </c>
      <c r="F48">
        <v>68</v>
      </c>
      <c r="G48" t="s">
        <v>216</v>
      </c>
      <c r="H48">
        <v>2</v>
      </c>
      <c r="I48">
        <v>39.19</v>
      </c>
      <c r="J48" t="s">
        <v>217</v>
      </c>
      <c r="K48" t="s">
        <v>41</v>
      </c>
      <c r="L48" s="3">
        <v>45497</v>
      </c>
      <c r="M48" t="s">
        <v>34</v>
      </c>
      <c r="N48">
        <v>68</v>
      </c>
    </row>
    <row r="49" spans="1:14" x14ac:dyDescent="0.25">
      <c r="A49" t="s">
        <v>218</v>
      </c>
      <c r="B49" t="s">
        <v>219</v>
      </c>
      <c r="C49" t="s">
        <v>220</v>
      </c>
      <c r="D49" t="s">
        <v>30</v>
      </c>
      <c r="E49" t="s">
        <v>45</v>
      </c>
      <c r="F49">
        <v>34</v>
      </c>
      <c r="G49" t="s">
        <v>221</v>
      </c>
      <c r="H49">
        <v>3</v>
      </c>
      <c r="J49" s="2">
        <v>49.38</v>
      </c>
      <c r="K49" t="s">
        <v>19</v>
      </c>
      <c r="L49" s="3">
        <v>45635</v>
      </c>
      <c r="M49" t="s">
        <v>48</v>
      </c>
      <c r="N49">
        <v>34</v>
      </c>
    </row>
    <row r="50" spans="1:14" x14ac:dyDescent="0.25">
      <c r="A50" t="s">
        <v>222</v>
      </c>
      <c r="B50" t="s">
        <v>223</v>
      </c>
      <c r="C50" t="s">
        <v>224</v>
      </c>
      <c r="D50" t="s">
        <v>129</v>
      </c>
      <c r="E50" t="s">
        <v>34</v>
      </c>
      <c r="F50">
        <v>53</v>
      </c>
      <c r="G50" t="s">
        <v>225</v>
      </c>
      <c r="H50">
        <v>1</v>
      </c>
      <c r="I50">
        <v>19.010000000000002</v>
      </c>
      <c r="J50" s="2">
        <v>4.43</v>
      </c>
      <c r="K50" t="s">
        <v>41</v>
      </c>
      <c r="L50" s="3">
        <v>44950</v>
      </c>
      <c r="M50" t="s">
        <v>34</v>
      </c>
      <c r="N50">
        <v>53</v>
      </c>
    </row>
    <row r="51" spans="1:14" x14ac:dyDescent="0.25">
      <c r="A51" t="s">
        <v>226</v>
      </c>
      <c r="B51" t="s">
        <v>227</v>
      </c>
      <c r="C51" t="s">
        <v>228</v>
      </c>
      <c r="D51" t="s">
        <v>51</v>
      </c>
      <c r="E51" t="s">
        <v>45</v>
      </c>
      <c r="F51">
        <v>31</v>
      </c>
      <c r="G51" t="s">
        <v>229</v>
      </c>
      <c r="H51">
        <v>2</v>
      </c>
      <c r="I51">
        <v>70.7</v>
      </c>
      <c r="J51">
        <v>35.200000000000003</v>
      </c>
      <c r="K51" t="s">
        <v>41</v>
      </c>
      <c r="L51" s="3">
        <v>45443</v>
      </c>
      <c r="M51" t="s">
        <v>48</v>
      </c>
      <c r="N51">
        <v>31</v>
      </c>
    </row>
    <row r="52" spans="1:14" x14ac:dyDescent="0.25">
      <c r="A52" t="s">
        <v>230</v>
      </c>
      <c r="B52" t="s">
        <v>118</v>
      </c>
      <c r="C52" t="s">
        <v>231</v>
      </c>
      <c r="D52" t="s">
        <v>16</v>
      </c>
      <c r="E52" t="s">
        <v>48</v>
      </c>
      <c r="F52">
        <v>26</v>
      </c>
      <c r="G52" t="s">
        <v>232</v>
      </c>
      <c r="H52">
        <v>6</v>
      </c>
      <c r="I52">
        <v>77.78</v>
      </c>
      <c r="J52">
        <v>21.86</v>
      </c>
      <c r="K52" t="s">
        <v>19</v>
      </c>
      <c r="L52" s="3">
        <v>45444</v>
      </c>
      <c r="M52" t="s">
        <v>48</v>
      </c>
      <c r="N52">
        <v>26</v>
      </c>
    </row>
    <row r="53" spans="1:14" x14ac:dyDescent="0.25">
      <c r="A53" t="s">
        <v>233</v>
      </c>
      <c r="B53" t="s">
        <v>234</v>
      </c>
      <c r="C53" s="1">
        <v>45312</v>
      </c>
      <c r="D53" t="s">
        <v>30</v>
      </c>
      <c r="E53" t="s">
        <v>132</v>
      </c>
      <c r="F53">
        <v>25</v>
      </c>
      <c r="G53" t="s">
        <v>235</v>
      </c>
      <c r="H53">
        <v>2</v>
      </c>
      <c r="I53" s="2">
        <v>64.260000000000005</v>
      </c>
      <c r="J53">
        <v>22.9</v>
      </c>
      <c r="K53" t="s">
        <v>19</v>
      </c>
      <c r="L53" s="3">
        <v>45312</v>
      </c>
      <c r="M53" t="s">
        <v>132</v>
      </c>
      <c r="N53">
        <v>25</v>
      </c>
    </row>
    <row r="54" spans="1:14" x14ac:dyDescent="0.25">
      <c r="A54" t="s">
        <v>236</v>
      </c>
      <c r="B54" t="s">
        <v>237</v>
      </c>
      <c r="C54" s="1">
        <v>45418</v>
      </c>
      <c r="D54" t="s">
        <v>129</v>
      </c>
      <c r="E54" t="s">
        <v>31</v>
      </c>
      <c r="F54">
        <v>54</v>
      </c>
      <c r="G54" t="s">
        <v>238</v>
      </c>
      <c r="H54">
        <v>3</v>
      </c>
      <c r="I54" t="s">
        <v>239</v>
      </c>
      <c r="J54" t="s">
        <v>240</v>
      </c>
      <c r="K54" t="s">
        <v>41</v>
      </c>
      <c r="L54" s="3">
        <v>45418</v>
      </c>
      <c r="M54" t="s">
        <v>34</v>
      </c>
      <c r="N54">
        <v>54</v>
      </c>
    </row>
    <row r="55" spans="1:14" x14ac:dyDescent="0.25">
      <c r="A55" t="s">
        <v>241</v>
      </c>
      <c r="B55" t="s">
        <v>242</v>
      </c>
      <c r="C55" s="1">
        <v>45148</v>
      </c>
      <c r="D55" t="s">
        <v>30</v>
      </c>
      <c r="E55" t="s">
        <v>31</v>
      </c>
      <c r="F55">
        <v>53</v>
      </c>
      <c r="G55" t="s">
        <v>243</v>
      </c>
      <c r="H55">
        <v>2</v>
      </c>
      <c r="I55">
        <v>47.65</v>
      </c>
      <c r="J55">
        <v>10.86</v>
      </c>
      <c r="K55" t="s">
        <v>41</v>
      </c>
      <c r="L55" s="3">
        <v>45148</v>
      </c>
      <c r="M55" t="s">
        <v>34</v>
      </c>
      <c r="N55">
        <v>53</v>
      </c>
    </row>
    <row r="56" spans="1:14" x14ac:dyDescent="0.25">
      <c r="A56" t="s">
        <v>244</v>
      </c>
      <c r="B56" t="s">
        <v>245</v>
      </c>
      <c r="C56" s="3">
        <v>45268</v>
      </c>
      <c r="D56" t="s">
        <v>129</v>
      </c>
      <c r="E56" t="s">
        <v>48</v>
      </c>
      <c r="F56">
        <v>33</v>
      </c>
      <c r="G56" t="s">
        <v>246</v>
      </c>
      <c r="H56">
        <v>1</v>
      </c>
      <c r="I56" t="s">
        <v>247</v>
      </c>
      <c r="J56">
        <v>1.78</v>
      </c>
      <c r="K56" t="s">
        <v>19</v>
      </c>
      <c r="L56" s="3">
        <v>45268</v>
      </c>
      <c r="M56" t="s">
        <v>48</v>
      </c>
      <c r="N56">
        <v>33</v>
      </c>
    </row>
    <row r="57" spans="1:14" x14ac:dyDescent="0.25">
      <c r="A57" t="s">
        <v>248</v>
      </c>
      <c r="B57" t="s">
        <v>249</v>
      </c>
      <c r="C57" s="3">
        <v>45025</v>
      </c>
      <c r="D57" t="s">
        <v>129</v>
      </c>
      <c r="E57" t="s">
        <v>38</v>
      </c>
      <c r="F57">
        <v>21</v>
      </c>
      <c r="G57" t="s">
        <v>250</v>
      </c>
      <c r="H57">
        <v>1</v>
      </c>
      <c r="I57" s="2">
        <v>3.63</v>
      </c>
      <c r="J57">
        <v>2.2200000000000002</v>
      </c>
      <c r="K57" t="s">
        <v>41</v>
      </c>
      <c r="L57" s="3">
        <v>45025</v>
      </c>
      <c r="M57" t="s">
        <v>34</v>
      </c>
      <c r="N57">
        <v>21</v>
      </c>
    </row>
    <row r="58" spans="1:14" x14ac:dyDescent="0.25">
      <c r="A58" t="s">
        <v>251</v>
      </c>
      <c r="B58" t="s">
        <v>252</v>
      </c>
      <c r="C58" t="s">
        <v>37</v>
      </c>
      <c r="D58" t="s">
        <v>24</v>
      </c>
      <c r="E58" t="s">
        <v>31</v>
      </c>
      <c r="F58">
        <v>35</v>
      </c>
      <c r="G58" t="s">
        <v>253</v>
      </c>
      <c r="H58">
        <v>2</v>
      </c>
      <c r="I58" t="s">
        <v>254</v>
      </c>
      <c r="J58" t="s">
        <v>255</v>
      </c>
      <c r="K58" t="s">
        <v>41</v>
      </c>
      <c r="L58" s="3">
        <v>45569</v>
      </c>
      <c r="M58" t="s">
        <v>34</v>
      </c>
      <c r="N58">
        <v>35</v>
      </c>
    </row>
    <row r="59" spans="1:14" x14ac:dyDescent="0.25">
      <c r="A59" t="s">
        <v>256</v>
      </c>
      <c r="B59" t="s">
        <v>257</v>
      </c>
      <c r="C59" s="3">
        <v>45566</v>
      </c>
      <c r="D59" t="s">
        <v>30</v>
      </c>
      <c r="E59" t="s">
        <v>48</v>
      </c>
      <c r="F59">
        <v>13</v>
      </c>
      <c r="G59" t="s">
        <v>258</v>
      </c>
      <c r="H59">
        <v>3</v>
      </c>
      <c r="I59" t="s">
        <v>259</v>
      </c>
      <c r="J59" s="2">
        <v>44.45</v>
      </c>
      <c r="K59" t="s">
        <v>19</v>
      </c>
      <c r="L59" s="3">
        <v>45566</v>
      </c>
      <c r="M59" t="s">
        <v>48</v>
      </c>
      <c r="N59">
        <v>13</v>
      </c>
    </row>
    <row r="60" spans="1:14" x14ac:dyDescent="0.25">
      <c r="A60" t="s">
        <v>260</v>
      </c>
      <c r="B60" t="s">
        <v>261</v>
      </c>
      <c r="C60" t="s">
        <v>262</v>
      </c>
      <c r="D60" t="s">
        <v>16</v>
      </c>
      <c r="E60" t="s">
        <v>25</v>
      </c>
      <c r="F60">
        <v>54</v>
      </c>
      <c r="G60" t="s">
        <v>263</v>
      </c>
      <c r="H60">
        <v>1</v>
      </c>
      <c r="I60" t="s">
        <v>264</v>
      </c>
      <c r="J60">
        <v>11.84</v>
      </c>
      <c r="K60" t="s">
        <v>19</v>
      </c>
      <c r="L60" s="3">
        <v>45560</v>
      </c>
      <c r="M60" t="s">
        <v>20</v>
      </c>
      <c r="N60">
        <v>54</v>
      </c>
    </row>
    <row r="61" spans="1:14" x14ac:dyDescent="0.25">
      <c r="A61" t="s">
        <v>265</v>
      </c>
      <c r="B61" t="s">
        <v>266</v>
      </c>
      <c r="C61" t="s">
        <v>267</v>
      </c>
      <c r="D61" t="s">
        <v>16</v>
      </c>
      <c r="E61" t="s">
        <v>48</v>
      </c>
      <c r="F61">
        <v>22</v>
      </c>
      <c r="G61" t="s">
        <v>130</v>
      </c>
      <c r="H61">
        <v>1</v>
      </c>
      <c r="I61">
        <v>13.57</v>
      </c>
      <c r="J61">
        <v>2.75</v>
      </c>
      <c r="K61" t="s">
        <v>41</v>
      </c>
      <c r="L61" s="3">
        <v>45061</v>
      </c>
      <c r="M61" t="s">
        <v>48</v>
      </c>
      <c r="N61">
        <v>22</v>
      </c>
    </row>
    <row r="62" spans="1:14" x14ac:dyDescent="0.25">
      <c r="A62" t="s">
        <v>268</v>
      </c>
      <c r="B62" t="s">
        <v>269</v>
      </c>
      <c r="C62" s="1">
        <v>45436</v>
      </c>
      <c r="D62" t="s">
        <v>24</v>
      </c>
      <c r="E62" t="s">
        <v>65</v>
      </c>
      <c r="F62">
        <v>38</v>
      </c>
      <c r="G62" t="s">
        <v>270</v>
      </c>
      <c r="H62">
        <v>1</v>
      </c>
      <c r="I62" t="s">
        <v>271</v>
      </c>
      <c r="J62">
        <v>4.68</v>
      </c>
      <c r="K62" t="s">
        <v>19</v>
      </c>
      <c r="L62" s="3">
        <v>45436</v>
      </c>
      <c r="M62" t="s">
        <v>48</v>
      </c>
      <c r="N62">
        <v>38</v>
      </c>
    </row>
    <row r="63" spans="1:14" x14ac:dyDescent="0.25">
      <c r="A63" t="s">
        <v>272</v>
      </c>
      <c r="B63" t="s">
        <v>273</v>
      </c>
      <c r="C63" t="s">
        <v>274</v>
      </c>
      <c r="D63" t="s">
        <v>129</v>
      </c>
      <c r="E63" t="s">
        <v>38</v>
      </c>
      <c r="F63">
        <v>23</v>
      </c>
      <c r="G63" t="s">
        <v>182</v>
      </c>
      <c r="H63">
        <v>3</v>
      </c>
      <c r="I63">
        <v>29.51</v>
      </c>
      <c r="J63">
        <v>16.690000000000001</v>
      </c>
      <c r="K63" t="s">
        <v>41</v>
      </c>
      <c r="L63" s="3">
        <v>45381</v>
      </c>
      <c r="M63" t="s">
        <v>34</v>
      </c>
      <c r="N63">
        <v>23</v>
      </c>
    </row>
    <row r="64" spans="1:14" x14ac:dyDescent="0.25">
      <c r="A64" t="s">
        <v>275</v>
      </c>
      <c r="B64" t="s">
        <v>276</v>
      </c>
      <c r="C64" s="1">
        <v>45588</v>
      </c>
      <c r="D64" t="s">
        <v>129</v>
      </c>
      <c r="E64" t="s">
        <v>45</v>
      </c>
      <c r="F64">
        <v>18</v>
      </c>
      <c r="G64" t="s">
        <v>277</v>
      </c>
      <c r="H64">
        <v>-1</v>
      </c>
      <c r="I64">
        <v>-4.59</v>
      </c>
      <c r="J64">
        <v>-1.1599999999999999</v>
      </c>
      <c r="K64" t="s">
        <v>19</v>
      </c>
      <c r="L64" s="3">
        <v>45588</v>
      </c>
      <c r="M64" t="s">
        <v>48</v>
      </c>
      <c r="N64">
        <v>18</v>
      </c>
    </row>
    <row r="65" spans="1:14" x14ac:dyDescent="0.25">
      <c r="A65" t="s">
        <v>278</v>
      </c>
      <c r="B65" t="s">
        <v>279</v>
      </c>
      <c r="C65" s="3">
        <v>45333</v>
      </c>
      <c r="D65" t="s">
        <v>16</v>
      </c>
      <c r="E65" t="s">
        <v>31</v>
      </c>
      <c r="F65">
        <v>51</v>
      </c>
      <c r="G65" t="s">
        <v>280</v>
      </c>
      <c r="H65">
        <v>1</v>
      </c>
      <c r="I65" s="2">
        <v>12.04</v>
      </c>
      <c r="J65">
        <v>6.94</v>
      </c>
      <c r="K65" t="s">
        <v>41</v>
      </c>
      <c r="L65" s="3">
        <v>45333</v>
      </c>
      <c r="M65" t="s">
        <v>34</v>
      </c>
      <c r="N65">
        <v>51</v>
      </c>
    </row>
    <row r="66" spans="1:14" x14ac:dyDescent="0.25">
      <c r="A66" t="s">
        <v>281</v>
      </c>
      <c r="B66" t="s">
        <v>282</v>
      </c>
      <c r="C66" s="1">
        <v>45268</v>
      </c>
      <c r="D66" t="s">
        <v>24</v>
      </c>
      <c r="E66" t="s">
        <v>34</v>
      </c>
      <c r="F66">
        <v>15</v>
      </c>
      <c r="G66" t="s">
        <v>283</v>
      </c>
      <c r="H66">
        <v>1</v>
      </c>
      <c r="I66">
        <v>30.48</v>
      </c>
      <c r="J66">
        <v>11.06</v>
      </c>
      <c r="K66" t="s">
        <v>19</v>
      </c>
      <c r="L66" s="3">
        <v>45268</v>
      </c>
      <c r="M66" t="s">
        <v>34</v>
      </c>
      <c r="N66">
        <v>15</v>
      </c>
    </row>
    <row r="67" spans="1:14" x14ac:dyDescent="0.25">
      <c r="A67" t="s">
        <v>284</v>
      </c>
      <c r="B67" t="s">
        <v>285</v>
      </c>
      <c r="C67" s="3">
        <v>45204</v>
      </c>
      <c r="D67" t="s">
        <v>30</v>
      </c>
      <c r="E67" t="s">
        <v>45</v>
      </c>
      <c r="F67">
        <v>34</v>
      </c>
      <c r="G67" t="s">
        <v>270</v>
      </c>
      <c r="H67">
        <v>2</v>
      </c>
      <c r="I67" t="s">
        <v>286</v>
      </c>
      <c r="J67">
        <v>13.29</v>
      </c>
      <c r="K67" t="s">
        <v>41</v>
      </c>
      <c r="L67" s="3">
        <v>45204</v>
      </c>
      <c r="M67" t="s">
        <v>48</v>
      </c>
      <c r="N67">
        <v>34</v>
      </c>
    </row>
    <row r="68" spans="1:14" x14ac:dyDescent="0.25">
      <c r="A68" t="s">
        <v>287</v>
      </c>
      <c r="B68" t="s">
        <v>288</v>
      </c>
      <c r="C68" t="s">
        <v>289</v>
      </c>
      <c r="D68" t="s">
        <v>30</v>
      </c>
      <c r="E68" t="s">
        <v>38</v>
      </c>
      <c r="F68">
        <v>46</v>
      </c>
      <c r="G68" t="s">
        <v>290</v>
      </c>
      <c r="H68">
        <v>1</v>
      </c>
      <c r="I68">
        <v>28.11</v>
      </c>
      <c r="J68" s="2">
        <v>7.1</v>
      </c>
      <c r="K68" t="s">
        <v>41</v>
      </c>
      <c r="L68" s="3">
        <v>45256</v>
      </c>
      <c r="M68" t="s">
        <v>34</v>
      </c>
      <c r="N68">
        <v>46</v>
      </c>
    </row>
    <row r="69" spans="1:14" x14ac:dyDescent="0.25">
      <c r="A69" t="s">
        <v>291</v>
      </c>
      <c r="B69" t="s">
        <v>292</v>
      </c>
      <c r="C69" s="1">
        <v>45164</v>
      </c>
      <c r="D69" t="s">
        <v>129</v>
      </c>
      <c r="E69" t="s">
        <v>31</v>
      </c>
      <c r="F69">
        <v>45</v>
      </c>
      <c r="G69" t="s">
        <v>293</v>
      </c>
      <c r="H69">
        <v>1</v>
      </c>
      <c r="I69" t="s">
        <v>294</v>
      </c>
      <c r="J69" t="s">
        <v>295</v>
      </c>
      <c r="K69" t="s">
        <v>19</v>
      </c>
      <c r="L69" s="3">
        <v>45164</v>
      </c>
      <c r="M69" t="s">
        <v>34</v>
      </c>
      <c r="N69">
        <v>45</v>
      </c>
    </row>
    <row r="70" spans="1:14" x14ac:dyDescent="0.25">
      <c r="A70" t="s">
        <v>296</v>
      </c>
      <c r="B70" t="s">
        <v>297</v>
      </c>
      <c r="C70" t="s">
        <v>298</v>
      </c>
      <c r="D70" t="s">
        <v>129</v>
      </c>
      <c r="E70" t="s">
        <v>25</v>
      </c>
      <c r="F70">
        <v>27</v>
      </c>
      <c r="G70" t="s">
        <v>299</v>
      </c>
      <c r="H70">
        <v>1</v>
      </c>
      <c r="I70">
        <v>4.2</v>
      </c>
      <c r="J70" s="2">
        <v>1.27</v>
      </c>
      <c r="K70" t="s">
        <v>41</v>
      </c>
      <c r="L70" s="3">
        <v>45510</v>
      </c>
      <c r="M70" t="s">
        <v>20</v>
      </c>
      <c r="N70">
        <v>27</v>
      </c>
    </row>
    <row r="71" spans="1:14" x14ac:dyDescent="0.25">
      <c r="A71" t="s">
        <v>300</v>
      </c>
      <c r="B71" t="s">
        <v>301</v>
      </c>
      <c r="C71" t="s">
        <v>302</v>
      </c>
      <c r="D71" t="s">
        <v>51</v>
      </c>
      <c r="E71" t="s">
        <v>38</v>
      </c>
      <c r="F71">
        <v>51</v>
      </c>
      <c r="G71" t="s">
        <v>303</v>
      </c>
      <c r="H71">
        <v>1</v>
      </c>
      <c r="I71">
        <v>19.670000000000002</v>
      </c>
      <c r="J71" t="s">
        <v>304</v>
      </c>
      <c r="K71" t="s">
        <v>41</v>
      </c>
      <c r="L71" s="3">
        <v>45304</v>
      </c>
      <c r="M71" t="s">
        <v>34</v>
      </c>
      <c r="N71">
        <v>51</v>
      </c>
    </row>
    <row r="72" spans="1:14" x14ac:dyDescent="0.25">
      <c r="A72" t="s">
        <v>305</v>
      </c>
      <c r="B72" t="s">
        <v>306</v>
      </c>
      <c r="C72" t="s">
        <v>307</v>
      </c>
      <c r="D72" t="s">
        <v>24</v>
      </c>
      <c r="E72" t="s">
        <v>45</v>
      </c>
      <c r="F72">
        <v>14</v>
      </c>
      <c r="G72" t="s">
        <v>308</v>
      </c>
      <c r="H72">
        <v>3</v>
      </c>
      <c r="I72">
        <v>95.21</v>
      </c>
      <c r="J72">
        <v>45.8</v>
      </c>
      <c r="K72" t="s">
        <v>19</v>
      </c>
      <c r="L72" s="3">
        <v>45288</v>
      </c>
      <c r="M72" t="s">
        <v>48</v>
      </c>
      <c r="N72">
        <v>14</v>
      </c>
    </row>
    <row r="73" spans="1:14" x14ac:dyDescent="0.25">
      <c r="A73" t="s">
        <v>309</v>
      </c>
      <c r="B73" t="s">
        <v>310</v>
      </c>
      <c r="C73" s="1">
        <v>45028</v>
      </c>
      <c r="D73" t="s">
        <v>129</v>
      </c>
      <c r="E73" t="s">
        <v>45</v>
      </c>
      <c r="F73">
        <v>20</v>
      </c>
      <c r="G73" t="s">
        <v>311</v>
      </c>
      <c r="H73">
        <v>1</v>
      </c>
      <c r="I73">
        <v>11.52</v>
      </c>
      <c r="J73" t="s">
        <v>312</v>
      </c>
      <c r="K73" t="s">
        <v>19</v>
      </c>
      <c r="L73" s="3">
        <v>45028</v>
      </c>
      <c r="M73" t="s">
        <v>48</v>
      </c>
      <c r="N73">
        <v>20</v>
      </c>
    </row>
    <row r="74" spans="1:14" x14ac:dyDescent="0.25">
      <c r="A74" t="s">
        <v>313</v>
      </c>
      <c r="B74" t="s">
        <v>314</v>
      </c>
      <c r="C74" t="s">
        <v>315</v>
      </c>
      <c r="D74" t="s">
        <v>51</v>
      </c>
      <c r="E74" t="s">
        <v>38</v>
      </c>
      <c r="F74">
        <v>42</v>
      </c>
      <c r="G74" t="s">
        <v>316</v>
      </c>
      <c r="H74">
        <v>6</v>
      </c>
      <c r="I74" s="2">
        <v>272.41000000000003</v>
      </c>
      <c r="J74">
        <v>154.34</v>
      </c>
      <c r="K74" t="s">
        <v>41</v>
      </c>
      <c r="L74" s="3">
        <v>45079</v>
      </c>
      <c r="M74" t="s">
        <v>34</v>
      </c>
      <c r="N74">
        <v>42</v>
      </c>
    </row>
    <row r="75" spans="1:14" x14ac:dyDescent="0.25">
      <c r="A75" t="s">
        <v>317</v>
      </c>
      <c r="B75" t="s">
        <v>318</v>
      </c>
      <c r="C75" t="s">
        <v>319</v>
      </c>
      <c r="D75" t="s">
        <v>51</v>
      </c>
      <c r="E75" t="s">
        <v>34</v>
      </c>
      <c r="F75" t="s">
        <v>25</v>
      </c>
      <c r="G75" t="s">
        <v>320</v>
      </c>
      <c r="H75">
        <v>2</v>
      </c>
      <c r="I75">
        <v>40.869999999999997</v>
      </c>
      <c r="J75">
        <v>24.38</v>
      </c>
      <c r="K75" t="s">
        <v>19</v>
      </c>
      <c r="L75" s="3">
        <v>45066</v>
      </c>
      <c r="M75" t="s">
        <v>34</v>
      </c>
    </row>
    <row r="76" spans="1:14" x14ac:dyDescent="0.25">
      <c r="A76" t="s">
        <v>321</v>
      </c>
      <c r="B76" t="s">
        <v>322</v>
      </c>
      <c r="C76" t="s">
        <v>323</v>
      </c>
      <c r="D76" t="s">
        <v>24</v>
      </c>
      <c r="F76">
        <v>44</v>
      </c>
      <c r="G76" t="s">
        <v>324</v>
      </c>
      <c r="H76">
        <v>2</v>
      </c>
      <c r="I76">
        <v>26.84</v>
      </c>
      <c r="J76">
        <v>13.53</v>
      </c>
      <c r="K76" t="s">
        <v>19</v>
      </c>
      <c r="L76" s="3">
        <v>45077</v>
      </c>
      <c r="M76" t="s">
        <v>20</v>
      </c>
      <c r="N76">
        <v>44</v>
      </c>
    </row>
    <row r="77" spans="1:14" x14ac:dyDescent="0.25">
      <c r="A77" t="s">
        <v>325</v>
      </c>
      <c r="B77" t="s">
        <v>326</v>
      </c>
      <c r="C77" s="1">
        <v>44951</v>
      </c>
      <c r="D77" t="s">
        <v>16</v>
      </c>
      <c r="E77" t="s">
        <v>65</v>
      </c>
      <c r="F77">
        <v>58</v>
      </c>
      <c r="G77" t="s">
        <v>327</v>
      </c>
      <c r="H77">
        <v>1</v>
      </c>
      <c r="I77" t="s">
        <v>328</v>
      </c>
      <c r="J77">
        <v>2.27</v>
      </c>
      <c r="K77" t="s">
        <v>41</v>
      </c>
      <c r="L77" s="3">
        <v>44951</v>
      </c>
      <c r="M77" t="s">
        <v>48</v>
      </c>
      <c r="N77">
        <v>58</v>
      </c>
    </row>
    <row r="78" spans="1:14" x14ac:dyDescent="0.25">
      <c r="A78" t="s">
        <v>329</v>
      </c>
      <c r="B78" t="s">
        <v>330</v>
      </c>
      <c r="C78" s="1">
        <v>45430</v>
      </c>
      <c r="D78" t="s">
        <v>129</v>
      </c>
      <c r="E78" t="s">
        <v>48</v>
      </c>
      <c r="F78">
        <v>22</v>
      </c>
      <c r="G78" t="s">
        <v>331</v>
      </c>
      <c r="H78">
        <v>2</v>
      </c>
      <c r="I78">
        <v>41.58</v>
      </c>
      <c r="J78" s="2">
        <v>13.46</v>
      </c>
      <c r="K78" t="s">
        <v>19</v>
      </c>
      <c r="L78" s="3">
        <v>45430</v>
      </c>
      <c r="M78" t="s">
        <v>48</v>
      </c>
      <c r="N78">
        <v>22</v>
      </c>
    </row>
    <row r="79" spans="1:14" x14ac:dyDescent="0.25">
      <c r="A79" t="s">
        <v>332</v>
      </c>
      <c r="B79" t="s">
        <v>56</v>
      </c>
      <c r="C79" s="3">
        <v>44952</v>
      </c>
      <c r="D79" t="s">
        <v>24</v>
      </c>
      <c r="E79" t="s">
        <v>48</v>
      </c>
      <c r="F79">
        <v>48</v>
      </c>
      <c r="G79" t="s">
        <v>333</v>
      </c>
      <c r="H79">
        <v>2</v>
      </c>
      <c r="I79">
        <v>22.25</v>
      </c>
      <c r="J79">
        <v>5.33</v>
      </c>
      <c r="K79" t="s">
        <v>41</v>
      </c>
      <c r="L79" s="3">
        <v>44952</v>
      </c>
      <c r="M79" t="s">
        <v>48</v>
      </c>
      <c r="N79">
        <v>48</v>
      </c>
    </row>
    <row r="80" spans="1:14" x14ac:dyDescent="0.25">
      <c r="A80" t="s">
        <v>334</v>
      </c>
      <c r="B80" t="s">
        <v>335</v>
      </c>
      <c r="C80" t="s">
        <v>336</v>
      </c>
      <c r="D80" t="s">
        <v>51</v>
      </c>
      <c r="E80" t="s">
        <v>31</v>
      </c>
      <c r="F80">
        <v>51</v>
      </c>
      <c r="G80" t="s">
        <v>337</v>
      </c>
      <c r="H80">
        <v>1</v>
      </c>
      <c r="I80">
        <v>14.01</v>
      </c>
      <c r="J80">
        <v>8.89</v>
      </c>
      <c r="K80" t="s">
        <v>41</v>
      </c>
      <c r="L80" s="3">
        <v>44962</v>
      </c>
      <c r="M80" t="s">
        <v>34</v>
      </c>
      <c r="N80">
        <v>51</v>
      </c>
    </row>
    <row r="81" spans="1:14" x14ac:dyDescent="0.25">
      <c r="A81" t="s">
        <v>338</v>
      </c>
      <c r="B81" t="s">
        <v>339</v>
      </c>
      <c r="C81" s="3">
        <v>45639</v>
      </c>
      <c r="D81" t="s">
        <v>129</v>
      </c>
      <c r="E81" t="s">
        <v>48</v>
      </c>
      <c r="F81">
        <v>32</v>
      </c>
      <c r="G81" t="s">
        <v>340</v>
      </c>
      <c r="H81">
        <v>5</v>
      </c>
      <c r="I81" t="s">
        <v>341</v>
      </c>
      <c r="J81">
        <v>43.69</v>
      </c>
      <c r="K81" t="s">
        <v>41</v>
      </c>
      <c r="L81" s="3">
        <v>45639</v>
      </c>
      <c r="M81" t="s">
        <v>48</v>
      </c>
      <c r="N81">
        <v>32</v>
      </c>
    </row>
    <row r="82" spans="1:14" x14ac:dyDescent="0.25">
      <c r="A82" t="s">
        <v>342</v>
      </c>
      <c r="B82" t="s">
        <v>188</v>
      </c>
      <c r="C82" t="s">
        <v>343</v>
      </c>
      <c r="D82" t="s">
        <v>24</v>
      </c>
      <c r="E82" t="s">
        <v>60</v>
      </c>
      <c r="F82">
        <v>13</v>
      </c>
      <c r="G82" t="s">
        <v>108</v>
      </c>
      <c r="H82">
        <v>2</v>
      </c>
      <c r="I82">
        <v>50.66</v>
      </c>
      <c r="J82">
        <v>23.4</v>
      </c>
      <c r="K82" t="s">
        <v>19</v>
      </c>
      <c r="L82" s="3">
        <v>45220</v>
      </c>
      <c r="M82" t="s">
        <v>48</v>
      </c>
      <c r="N82">
        <v>13</v>
      </c>
    </row>
    <row r="83" spans="1:14" x14ac:dyDescent="0.25">
      <c r="A83" t="s">
        <v>344</v>
      </c>
      <c r="B83" t="s">
        <v>345</v>
      </c>
      <c r="C83" s="1">
        <v>45008</v>
      </c>
      <c r="D83" t="s">
        <v>30</v>
      </c>
      <c r="E83" t="s">
        <v>34</v>
      </c>
      <c r="F83">
        <v>22</v>
      </c>
      <c r="G83" t="s">
        <v>346</v>
      </c>
      <c r="H83">
        <v>3</v>
      </c>
      <c r="I83">
        <v>60.83</v>
      </c>
      <c r="J83">
        <v>25.83</v>
      </c>
      <c r="K83" t="s">
        <v>41</v>
      </c>
      <c r="L83" s="3">
        <v>45008</v>
      </c>
      <c r="M83" t="s">
        <v>34</v>
      </c>
      <c r="N83">
        <v>22</v>
      </c>
    </row>
    <row r="84" spans="1:14" x14ac:dyDescent="0.25">
      <c r="A84" t="s">
        <v>347</v>
      </c>
      <c r="B84" t="s">
        <v>348</v>
      </c>
      <c r="C84" t="s">
        <v>349</v>
      </c>
      <c r="D84" t="s">
        <v>30</v>
      </c>
      <c r="E84" t="s">
        <v>70</v>
      </c>
      <c r="F84">
        <v>44</v>
      </c>
      <c r="G84" t="s">
        <v>350</v>
      </c>
      <c r="H84">
        <v>1</v>
      </c>
      <c r="I84" t="s">
        <v>351</v>
      </c>
      <c r="J84">
        <v>10.66</v>
      </c>
      <c r="K84" t="s">
        <v>41</v>
      </c>
      <c r="L84" s="3">
        <v>45056</v>
      </c>
      <c r="M84" t="s">
        <v>20</v>
      </c>
      <c r="N84">
        <v>44</v>
      </c>
    </row>
    <row r="85" spans="1:14" x14ac:dyDescent="0.25">
      <c r="A85" t="s">
        <v>352</v>
      </c>
      <c r="B85" t="s">
        <v>73</v>
      </c>
      <c r="C85" s="1">
        <v>44963</v>
      </c>
      <c r="D85" t="s">
        <v>30</v>
      </c>
      <c r="E85" t="s">
        <v>38</v>
      </c>
      <c r="F85">
        <v>59</v>
      </c>
      <c r="G85" t="s">
        <v>353</v>
      </c>
      <c r="H85">
        <v>4</v>
      </c>
      <c r="I85">
        <v>107.08</v>
      </c>
      <c r="J85" s="2">
        <v>40.64</v>
      </c>
      <c r="K85" t="s">
        <v>19</v>
      </c>
      <c r="L85" s="3">
        <v>44963</v>
      </c>
      <c r="M85" t="s">
        <v>34</v>
      </c>
      <c r="N85">
        <v>59</v>
      </c>
    </row>
    <row r="86" spans="1:14" x14ac:dyDescent="0.25">
      <c r="A86" t="s">
        <v>354</v>
      </c>
      <c r="B86" t="s">
        <v>355</v>
      </c>
      <c r="C86" s="1">
        <v>44975</v>
      </c>
      <c r="D86" t="s">
        <v>24</v>
      </c>
      <c r="E86" t="s">
        <v>65</v>
      </c>
      <c r="F86">
        <v>28</v>
      </c>
      <c r="G86" t="s">
        <v>356</v>
      </c>
      <c r="H86">
        <v>4</v>
      </c>
      <c r="I86" t="s">
        <v>357</v>
      </c>
      <c r="J86">
        <v>43.04</v>
      </c>
      <c r="K86" t="s">
        <v>19</v>
      </c>
      <c r="L86" s="3">
        <v>44975</v>
      </c>
      <c r="M86" t="s">
        <v>48</v>
      </c>
      <c r="N86">
        <v>28</v>
      </c>
    </row>
    <row r="87" spans="1:14" x14ac:dyDescent="0.25">
      <c r="A87" t="s">
        <v>358</v>
      </c>
      <c r="B87" t="s">
        <v>359</v>
      </c>
      <c r="C87" t="s">
        <v>360</v>
      </c>
      <c r="D87" t="s">
        <v>24</v>
      </c>
      <c r="E87" t="s">
        <v>45</v>
      </c>
      <c r="F87">
        <v>26</v>
      </c>
      <c r="G87" t="s">
        <v>361</v>
      </c>
      <c r="H87">
        <v>4</v>
      </c>
      <c r="I87">
        <v>25.04</v>
      </c>
      <c r="J87" s="2">
        <v>11.89</v>
      </c>
      <c r="K87" t="s">
        <v>19</v>
      </c>
      <c r="L87" s="3">
        <v>45263</v>
      </c>
      <c r="M87" t="s">
        <v>48</v>
      </c>
      <c r="N87">
        <v>26</v>
      </c>
    </row>
    <row r="88" spans="1:14" x14ac:dyDescent="0.25">
      <c r="A88" t="s">
        <v>362</v>
      </c>
      <c r="B88" t="s">
        <v>363</v>
      </c>
      <c r="C88" t="s">
        <v>364</v>
      </c>
      <c r="D88" t="s">
        <v>24</v>
      </c>
      <c r="E88" t="s">
        <v>365</v>
      </c>
      <c r="F88">
        <v>49</v>
      </c>
      <c r="G88" t="s">
        <v>366</v>
      </c>
      <c r="H88">
        <v>2</v>
      </c>
      <c r="I88">
        <v>26.81</v>
      </c>
      <c r="J88">
        <v>13.33</v>
      </c>
      <c r="K88" t="s">
        <v>19</v>
      </c>
      <c r="L88" s="3">
        <v>45463</v>
      </c>
      <c r="M88" t="s">
        <v>48</v>
      </c>
      <c r="N88">
        <v>49</v>
      </c>
    </row>
    <row r="89" spans="1:14" x14ac:dyDescent="0.25">
      <c r="A89" t="s">
        <v>367</v>
      </c>
      <c r="B89" t="s">
        <v>157</v>
      </c>
      <c r="C89" s="1">
        <v>45234</v>
      </c>
      <c r="D89" t="s">
        <v>16</v>
      </c>
      <c r="E89" t="s">
        <v>65</v>
      </c>
      <c r="F89">
        <v>73</v>
      </c>
      <c r="G89" t="s">
        <v>368</v>
      </c>
      <c r="H89">
        <v>1</v>
      </c>
      <c r="I89">
        <v>29.9</v>
      </c>
      <c r="J89">
        <v>11.89</v>
      </c>
      <c r="K89" t="s">
        <v>41</v>
      </c>
      <c r="L89" s="3">
        <v>45234</v>
      </c>
      <c r="M89" t="s">
        <v>48</v>
      </c>
      <c r="N89">
        <v>73</v>
      </c>
    </row>
    <row r="90" spans="1:14" x14ac:dyDescent="0.25">
      <c r="A90" t="s">
        <v>369</v>
      </c>
      <c r="B90" t="s">
        <v>370</v>
      </c>
      <c r="C90" s="1">
        <v>45048</v>
      </c>
      <c r="D90" t="s">
        <v>30</v>
      </c>
      <c r="E90" t="s">
        <v>60</v>
      </c>
      <c r="F90">
        <v>61</v>
      </c>
      <c r="G90" t="s">
        <v>371</v>
      </c>
      <c r="H90">
        <v>2</v>
      </c>
      <c r="I90" t="s">
        <v>372</v>
      </c>
      <c r="J90">
        <v>26.98</v>
      </c>
      <c r="K90" t="s">
        <v>19</v>
      </c>
      <c r="L90" s="3">
        <v>45048</v>
      </c>
      <c r="M90" t="s">
        <v>48</v>
      </c>
      <c r="N90">
        <v>61</v>
      </c>
    </row>
    <row r="91" spans="1:14" x14ac:dyDescent="0.25">
      <c r="A91" t="s">
        <v>373</v>
      </c>
      <c r="B91" t="s">
        <v>374</v>
      </c>
      <c r="C91" s="1">
        <v>45223</v>
      </c>
      <c r="D91" t="s">
        <v>51</v>
      </c>
      <c r="E91" t="s">
        <v>38</v>
      </c>
      <c r="F91">
        <v>21</v>
      </c>
      <c r="G91" t="s">
        <v>375</v>
      </c>
      <c r="H91">
        <v>4</v>
      </c>
      <c r="I91" t="s">
        <v>376</v>
      </c>
      <c r="J91">
        <v>70.55</v>
      </c>
      <c r="K91" t="s">
        <v>41</v>
      </c>
      <c r="L91" s="3">
        <v>45223</v>
      </c>
      <c r="M91" t="s">
        <v>34</v>
      </c>
      <c r="N91">
        <v>21</v>
      </c>
    </row>
    <row r="92" spans="1:14" x14ac:dyDescent="0.25">
      <c r="A92" t="s">
        <v>377</v>
      </c>
      <c r="B92" t="s">
        <v>322</v>
      </c>
      <c r="C92" s="1">
        <v>45458</v>
      </c>
      <c r="D92" t="s">
        <v>24</v>
      </c>
      <c r="E92" t="s">
        <v>65</v>
      </c>
      <c r="F92">
        <v>47</v>
      </c>
      <c r="G92" t="s">
        <v>378</v>
      </c>
      <c r="H92">
        <v>1</v>
      </c>
      <c r="J92" s="2">
        <v>5.03</v>
      </c>
      <c r="K92" t="s">
        <v>41</v>
      </c>
      <c r="L92" s="3">
        <v>45458</v>
      </c>
      <c r="M92" t="s">
        <v>48</v>
      </c>
      <c r="N92">
        <v>47</v>
      </c>
    </row>
    <row r="93" spans="1:14" x14ac:dyDescent="0.25">
      <c r="A93" t="s">
        <v>379</v>
      </c>
      <c r="B93" t="s">
        <v>59</v>
      </c>
      <c r="C93" t="s">
        <v>380</v>
      </c>
      <c r="D93" t="s">
        <v>16</v>
      </c>
      <c r="E93" t="s">
        <v>38</v>
      </c>
      <c r="F93">
        <v>41</v>
      </c>
      <c r="G93" t="s">
        <v>381</v>
      </c>
      <c r="H93">
        <v>3</v>
      </c>
      <c r="I93" t="s">
        <v>205</v>
      </c>
      <c r="J93" s="2">
        <v>26.05</v>
      </c>
      <c r="K93" t="s">
        <v>19</v>
      </c>
      <c r="L93" s="3">
        <v>45269</v>
      </c>
      <c r="M93" t="s">
        <v>34</v>
      </c>
      <c r="N93">
        <v>41</v>
      </c>
    </row>
    <row r="94" spans="1:14" x14ac:dyDescent="0.25">
      <c r="A94" t="s">
        <v>382</v>
      </c>
      <c r="B94" t="s">
        <v>383</v>
      </c>
      <c r="C94" s="1">
        <v>45386</v>
      </c>
      <c r="D94" t="s">
        <v>24</v>
      </c>
      <c r="E94" t="s">
        <v>85</v>
      </c>
      <c r="F94">
        <v>48</v>
      </c>
      <c r="G94" t="s">
        <v>384</v>
      </c>
      <c r="H94">
        <v>2</v>
      </c>
      <c r="I94">
        <v>57.77</v>
      </c>
      <c r="J94" t="s">
        <v>385</v>
      </c>
      <c r="K94" t="s">
        <v>41</v>
      </c>
      <c r="L94" s="3">
        <v>45386</v>
      </c>
      <c r="M94" t="s">
        <v>34</v>
      </c>
      <c r="N94">
        <v>48</v>
      </c>
    </row>
    <row r="95" spans="1:14" x14ac:dyDescent="0.25">
      <c r="A95" t="s">
        <v>386</v>
      </c>
      <c r="B95" t="s">
        <v>387</v>
      </c>
      <c r="C95" t="s">
        <v>388</v>
      </c>
      <c r="D95" t="s">
        <v>129</v>
      </c>
      <c r="E95" t="s">
        <v>31</v>
      </c>
      <c r="F95">
        <v>70</v>
      </c>
      <c r="G95" t="s">
        <v>290</v>
      </c>
      <c r="H95">
        <v>4</v>
      </c>
      <c r="I95" s="2">
        <v>78.27</v>
      </c>
      <c r="J95">
        <v>26.91</v>
      </c>
      <c r="K95" t="s">
        <v>41</v>
      </c>
      <c r="L95" s="3">
        <v>45072</v>
      </c>
      <c r="M95" t="s">
        <v>34</v>
      </c>
      <c r="N95">
        <v>70</v>
      </c>
    </row>
    <row r="96" spans="1:14" x14ac:dyDescent="0.25">
      <c r="A96" t="s">
        <v>389</v>
      </c>
      <c r="B96" t="s">
        <v>390</v>
      </c>
      <c r="C96" s="3">
        <v>44968</v>
      </c>
      <c r="D96" t="s">
        <v>129</v>
      </c>
      <c r="E96" t="s">
        <v>31</v>
      </c>
      <c r="F96">
        <v>34</v>
      </c>
      <c r="G96" t="s">
        <v>391</v>
      </c>
      <c r="H96">
        <v>1</v>
      </c>
      <c r="I96" t="s">
        <v>392</v>
      </c>
      <c r="J96">
        <v>7.14</v>
      </c>
      <c r="K96" t="s">
        <v>41</v>
      </c>
      <c r="L96" s="3">
        <v>44968</v>
      </c>
      <c r="M96" t="s">
        <v>34</v>
      </c>
      <c r="N96">
        <v>34</v>
      </c>
    </row>
    <row r="97" spans="1:14" x14ac:dyDescent="0.25">
      <c r="A97" t="s">
        <v>393</v>
      </c>
      <c r="B97" t="s">
        <v>394</v>
      </c>
      <c r="C97" s="3">
        <v>45468</v>
      </c>
      <c r="D97" t="s">
        <v>30</v>
      </c>
      <c r="E97" t="s">
        <v>48</v>
      </c>
      <c r="F97">
        <v>38</v>
      </c>
      <c r="G97" t="s">
        <v>395</v>
      </c>
      <c r="H97">
        <v>2</v>
      </c>
      <c r="I97" s="2">
        <v>32.159999999999997</v>
      </c>
      <c r="J97">
        <v>11.91</v>
      </c>
      <c r="K97" t="s">
        <v>41</v>
      </c>
      <c r="L97" s="3">
        <v>45468</v>
      </c>
      <c r="M97" t="s">
        <v>48</v>
      </c>
      <c r="N97">
        <v>38</v>
      </c>
    </row>
    <row r="98" spans="1:14" x14ac:dyDescent="0.25">
      <c r="A98" t="s">
        <v>396</v>
      </c>
      <c r="B98" t="s">
        <v>397</v>
      </c>
      <c r="C98" t="s">
        <v>398</v>
      </c>
      <c r="D98" t="s">
        <v>51</v>
      </c>
      <c r="E98" t="s">
        <v>85</v>
      </c>
      <c r="F98">
        <v>40</v>
      </c>
      <c r="G98" t="s">
        <v>399</v>
      </c>
      <c r="H98">
        <v>1</v>
      </c>
      <c r="I98" t="s">
        <v>400</v>
      </c>
      <c r="J98">
        <v>5.37</v>
      </c>
      <c r="K98" t="s">
        <v>41</v>
      </c>
      <c r="L98" s="3">
        <v>45037</v>
      </c>
      <c r="M98" t="s">
        <v>34</v>
      </c>
      <c r="N98">
        <v>40</v>
      </c>
    </row>
    <row r="99" spans="1:14" x14ac:dyDescent="0.25">
      <c r="A99" t="s">
        <v>401</v>
      </c>
      <c r="B99" t="s">
        <v>402</v>
      </c>
      <c r="C99" s="3">
        <v>45652</v>
      </c>
      <c r="D99" t="s">
        <v>30</v>
      </c>
      <c r="E99" t="s">
        <v>65</v>
      </c>
      <c r="F99">
        <v>51</v>
      </c>
      <c r="G99" t="s">
        <v>403</v>
      </c>
      <c r="H99">
        <v>2</v>
      </c>
      <c r="I99" s="2">
        <v>75.47</v>
      </c>
      <c r="J99">
        <v>23.54</v>
      </c>
      <c r="K99" t="s">
        <v>19</v>
      </c>
      <c r="L99" s="3">
        <v>45652</v>
      </c>
      <c r="M99" t="s">
        <v>48</v>
      </c>
      <c r="N99">
        <v>51</v>
      </c>
    </row>
    <row r="100" spans="1:14" x14ac:dyDescent="0.25">
      <c r="A100" t="s">
        <v>404</v>
      </c>
      <c r="B100" t="s">
        <v>405</v>
      </c>
      <c r="C100" s="3">
        <v>45015</v>
      </c>
      <c r="D100" t="s">
        <v>51</v>
      </c>
      <c r="E100" t="s">
        <v>48</v>
      </c>
      <c r="F100">
        <v>71</v>
      </c>
      <c r="G100" t="s">
        <v>406</v>
      </c>
      <c r="H100">
        <v>2</v>
      </c>
      <c r="I100">
        <v>26.89</v>
      </c>
      <c r="J100" s="2">
        <v>12.86</v>
      </c>
      <c r="K100" t="s">
        <v>41</v>
      </c>
      <c r="L100" s="3">
        <v>45015</v>
      </c>
      <c r="M100" t="s">
        <v>48</v>
      </c>
      <c r="N100">
        <v>71</v>
      </c>
    </row>
    <row r="101" spans="1:14" x14ac:dyDescent="0.25">
      <c r="A101" t="s">
        <v>407</v>
      </c>
      <c r="B101" t="s">
        <v>408</v>
      </c>
      <c r="C101" s="3">
        <v>45315</v>
      </c>
      <c r="D101" t="s">
        <v>129</v>
      </c>
      <c r="F101">
        <v>56</v>
      </c>
      <c r="G101" t="s">
        <v>409</v>
      </c>
      <c r="H101">
        <v>2</v>
      </c>
      <c r="I101">
        <v>21.78</v>
      </c>
      <c r="J101">
        <v>13.3</v>
      </c>
      <c r="K101" t="s">
        <v>19</v>
      </c>
      <c r="L101" s="3">
        <v>45315</v>
      </c>
      <c r="M101" t="s">
        <v>20</v>
      </c>
      <c r="N101">
        <v>56</v>
      </c>
    </row>
    <row r="102" spans="1:14" x14ac:dyDescent="0.25">
      <c r="A102" t="s">
        <v>410</v>
      </c>
      <c r="B102" t="s">
        <v>411</v>
      </c>
      <c r="C102" s="1">
        <v>45593</v>
      </c>
      <c r="D102" t="s">
        <v>30</v>
      </c>
      <c r="E102" t="s">
        <v>25</v>
      </c>
      <c r="F102">
        <v>69</v>
      </c>
      <c r="G102" t="s">
        <v>412</v>
      </c>
      <c r="H102">
        <v>1</v>
      </c>
      <c r="I102">
        <v>24.11</v>
      </c>
      <c r="J102">
        <v>14.31</v>
      </c>
      <c r="K102" t="s">
        <v>41</v>
      </c>
      <c r="L102" s="3">
        <v>45593</v>
      </c>
      <c r="M102" t="s">
        <v>20</v>
      </c>
      <c r="N102">
        <v>69</v>
      </c>
    </row>
    <row r="103" spans="1:14" x14ac:dyDescent="0.25">
      <c r="A103" t="s">
        <v>413</v>
      </c>
      <c r="B103" t="s">
        <v>414</v>
      </c>
      <c r="C103" t="s">
        <v>415</v>
      </c>
      <c r="D103" t="s">
        <v>24</v>
      </c>
      <c r="E103" t="s">
        <v>48</v>
      </c>
      <c r="F103">
        <v>23</v>
      </c>
      <c r="G103" t="s">
        <v>416</v>
      </c>
      <c r="H103">
        <v>5</v>
      </c>
      <c r="I103" t="s">
        <v>417</v>
      </c>
      <c r="J103">
        <v>10.220000000000001</v>
      </c>
      <c r="K103" t="s">
        <v>41</v>
      </c>
      <c r="L103" s="3">
        <v>45406</v>
      </c>
      <c r="M103" t="s">
        <v>48</v>
      </c>
      <c r="N103">
        <v>23</v>
      </c>
    </row>
    <row r="104" spans="1:14" x14ac:dyDescent="0.25">
      <c r="A104" t="s">
        <v>418</v>
      </c>
      <c r="B104" t="s">
        <v>419</v>
      </c>
      <c r="C104" s="3">
        <v>45163</v>
      </c>
      <c r="D104" t="s">
        <v>24</v>
      </c>
      <c r="E104" t="s">
        <v>70</v>
      </c>
      <c r="F104">
        <v>51</v>
      </c>
      <c r="G104" t="s">
        <v>420</v>
      </c>
      <c r="H104">
        <v>2</v>
      </c>
      <c r="I104">
        <v>35.729999999999997</v>
      </c>
      <c r="J104">
        <v>12.58</v>
      </c>
      <c r="K104" t="s">
        <v>19</v>
      </c>
      <c r="L104" s="3">
        <v>45163</v>
      </c>
      <c r="M104" t="s">
        <v>20</v>
      </c>
      <c r="N104">
        <v>51</v>
      </c>
    </row>
    <row r="105" spans="1:14" x14ac:dyDescent="0.25">
      <c r="A105" t="s">
        <v>421</v>
      </c>
      <c r="B105" t="s">
        <v>422</v>
      </c>
      <c r="C105" t="s">
        <v>423</v>
      </c>
      <c r="D105" t="s">
        <v>30</v>
      </c>
      <c r="E105" t="s">
        <v>38</v>
      </c>
      <c r="F105">
        <v>52</v>
      </c>
      <c r="G105" t="s">
        <v>424</v>
      </c>
      <c r="H105">
        <v>1</v>
      </c>
      <c r="I105">
        <v>19.72</v>
      </c>
      <c r="J105">
        <v>5.37</v>
      </c>
      <c r="K105" t="s">
        <v>41</v>
      </c>
      <c r="L105" s="3">
        <v>45355</v>
      </c>
      <c r="M105" t="s">
        <v>34</v>
      </c>
      <c r="N105">
        <v>52</v>
      </c>
    </row>
    <row r="106" spans="1:14" x14ac:dyDescent="0.25">
      <c r="A106" t="s">
        <v>425</v>
      </c>
      <c r="B106" t="s">
        <v>426</v>
      </c>
      <c r="C106" t="s">
        <v>427</v>
      </c>
      <c r="D106" t="s">
        <v>129</v>
      </c>
      <c r="E106" t="s">
        <v>31</v>
      </c>
      <c r="F106">
        <v>17</v>
      </c>
      <c r="G106" t="s">
        <v>428</v>
      </c>
      <c r="H106">
        <v>2</v>
      </c>
      <c r="I106" s="2">
        <v>25.82</v>
      </c>
      <c r="J106">
        <v>8.66</v>
      </c>
      <c r="K106" t="s">
        <v>19</v>
      </c>
      <c r="L106" s="3">
        <v>45589</v>
      </c>
      <c r="M106" t="s">
        <v>34</v>
      </c>
      <c r="N106">
        <v>17</v>
      </c>
    </row>
    <row r="107" spans="1:14" x14ac:dyDescent="0.25">
      <c r="A107" t="s">
        <v>429</v>
      </c>
      <c r="B107" t="s">
        <v>430</v>
      </c>
      <c r="C107" t="s">
        <v>431</v>
      </c>
      <c r="D107" t="s">
        <v>129</v>
      </c>
      <c r="E107" t="s">
        <v>48</v>
      </c>
      <c r="F107">
        <v>27</v>
      </c>
      <c r="G107" t="s">
        <v>432</v>
      </c>
      <c r="H107">
        <v>1</v>
      </c>
      <c r="I107">
        <v>13.13</v>
      </c>
      <c r="J107">
        <v>4.72</v>
      </c>
      <c r="K107" t="s">
        <v>41</v>
      </c>
      <c r="L107" s="3">
        <v>45021</v>
      </c>
      <c r="M107" t="s">
        <v>48</v>
      </c>
      <c r="N107">
        <v>27</v>
      </c>
    </row>
    <row r="108" spans="1:14" x14ac:dyDescent="0.25">
      <c r="A108" t="s">
        <v>433</v>
      </c>
      <c r="B108" t="s">
        <v>434</v>
      </c>
      <c r="C108" s="3">
        <v>45575</v>
      </c>
      <c r="D108" t="s">
        <v>51</v>
      </c>
      <c r="E108" t="s">
        <v>45</v>
      </c>
      <c r="F108" t="s">
        <v>435</v>
      </c>
      <c r="G108" t="s">
        <v>436</v>
      </c>
      <c r="H108">
        <v>2</v>
      </c>
      <c r="I108">
        <v>16.55</v>
      </c>
      <c r="J108">
        <v>6.78</v>
      </c>
      <c r="K108" t="s">
        <v>41</v>
      </c>
      <c r="L108" s="3">
        <v>45575</v>
      </c>
      <c r="M108" t="s">
        <v>48</v>
      </c>
    </row>
    <row r="109" spans="1:14" x14ac:dyDescent="0.25">
      <c r="A109" t="s">
        <v>437</v>
      </c>
      <c r="B109" t="s">
        <v>438</v>
      </c>
      <c r="C109" s="1">
        <v>45386</v>
      </c>
      <c r="D109" t="s">
        <v>30</v>
      </c>
      <c r="E109" t="s">
        <v>31</v>
      </c>
      <c r="F109">
        <v>74</v>
      </c>
      <c r="G109" t="s">
        <v>439</v>
      </c>
      <c r="H109">
        <v>3</v>
      </c>
      <c r="I109">
        <v>24.02</v>
      </c>
      <c r="J109">
        <v>11.88</v>
      </c>
      <c r="K109" t="s">
        <v>41</v>
      </c>
      <c r="L109" s="3">
        <v>45386</v>
      </c>
      <c r="M109" t="s">
        <v>34</v>
      </c>
      <c r="N109">
        <v>74</v>
      </c>
    </row>
    <row r="110" spans="1:14" x14ac:dyDescent="0.25">
      <c r="A110" t="s">
        <v>440</v>
      </c>
      <c r="B110" t="s">
        <v>441</v>
      </c>
      <c r="C110" s="3">
        <v>45171</v>
      </c>
      <c r="D110" t="s">
        <v>24</v>
      </c>
      <c r="E110" t="s">
        <v>85</v>
      </c>
      <c r="F110">
        <v>64</v>
      </c>
      <c r="G110" t="s">
        <v>442</v>
      </c>
      <c r="H110">
        <v>2</v>
      </c>
      <c r="I110" s="2">
        <v>39.89</v>
      </c>
      <c r="J110" t="s">
        <v>443</v>
      </c>
      <c r="K110" t="s">
        <v>19</v>
      </c>
      <c r="L110" s="3">
        <v>45171</v>
      </c>
      <c r="M110" t="s">
        <v>34</v>
      </c>
      <c r="N110">
        <v>64</v>
      </c>
    </row>
    <row r="111" spans="1:14" x14ac:dyDescent="0.25">
      <c r="A111" t="s">
        <v>444</v>
      </c>
      <c r="B111" t="s">
        <v>445</v>
      </c>
      <c r="C111" t="s">
        <v>446</v>
      </c>
      <c r="D111" t="s">
        <v>30</v>
      </c>
      <c r="E111" t="s">
        <v>38</v>
      </c>
      <c r="F111">
        <v>70</v>
      </c>
      <c r="G111" t="s">
        <v>447</v>
      </c>
      <c r="H111">
        <v>2</v>
      </c>
      <c r="I111" t="s">
        <v>448</v>
      </c>
      <c r="J111" s="2">
        <v>13.27</v>
      </c>
      <c r="K111" t="s">
        <v>19</v>
      </c>
      <c r="L111" s="3">
        <v>45478</v>
      </c>
      <c r="M111" t="s">
        <v>34</v>
      </c>
      <c r="N111">
        <v>70</v>
      </c>
    </row>
    <row r="112" spans="1:14" x14ac:dyDescent="0.25">
      <c r="A112" t="s">
        <v>449</v>
      </c>
      <c r="B112" t="s">
        <v>450</v>
      </c>
      <c r="C112" s="3">
        <v>45263</v>
      </c>
      <c r="D112" t="s">
        <v>24</v>
      </c>
      <c r="E112" t="s">
        <v>85</v>
      </c>
      <c r="F112">
        <v>27</v>
      </c>
      <c r="G112" t="s">
        <v>451</v>
      </c>
      <c r="H112">
        <v>1</v>
      </c>
      <c r="I112">
        <v>13.88</v>
      </c>
      <c r="J112" s="2">
        <v>9.18</v>
      </c>
      <c r="K112" t="s">
        <v>41</v>
      </c>
      <c r="L112" s="3">
        <v>45263</v>
      </c>
      <c r="M112" t="s">
        <v>34</v>
      </c>
      <c r="N112">
        <v>27</v>
      </c>
    </row>
    <row r="113" spans="1:14" x14ac:dyDescent="0.25">
      <c r="A113" t="s">
        <v>452</v>
      </c>
      <c r="B113" t="s">
        <v>453</v>
      </c>
      <c r="C113" s="1">
        <v>45301</v>
      </c>
      <c r="D113" t="s">
        <v>51</v>
      </c>
      <c r="E113" t="s">
        <v>48</v>
      </c>
      <c r="F113">
        <v>68</v>
      </c>
      <c r="G113" t="s">
        <v>454</v>
      </c>
      <c r="H113">
        <v>1</v>
      </c>
      <c r="I113">
        <v>52.53</v>
      </c>
      <c r="J113" t="s">
        <v>455</v>
      </c>
      <c r="K113" t="s">
        <v>41</v>
      </c>
      <c r="L113" s="3">
        <v>45301</v>
      </c>
      <c r="M113" t="s">
        <v>48</v>
      </c>
      <c r="N113">
        <v>68</v>
      </c>
    </row>
    <row r="114" spans="1:14" x14ac:dyDescent="0.25">
      <c r="A114" t="s">
        <v>456</v>
      </c>
      <c r="B114" t="s">
        <v>457</v>
      </c>
      <c r="C114" s="1">
        <v>45033</v>
      </c>
      <c r="D114" t="s">
        <v>30</v>
      </c>
      <c r="E114" t="s">
        <v>31</v>
      </c>
      <c r="F114">
        <v>70</v>
      </c>
      <c r="G114" t="s">
        <v>458</v>
      </c>
      <c r="H114">
        <v>2</v>
      </c>
      <c r="I114" t="s">
        <v>459</v>
      </c>
      <c r="J114">
        <v>13.7</v>
      </c>
      <c r="K114" t="s">
        <v>41</v>
      </c>
      <c r="L114" s="3">
        <v>45033</v>
      </c>
      <c r="M114" t="s">
        <v>34</v>
      </c>
      <c r="N114">
        <v>70</v>
      </c>
    </row>
    <row r="115" spans="1:14" x14ac:dyDescent="0.25">
      <c r="A115" t="s">
        <v>460</v>
      </c>
      <c r="B115" t="s">
        <v>461</v>
      </c>
      <c r="C115" t="s">
        <v>462</v>
      </c>
      <c r="D115" t="s">
        <v>16</v>
      </c>
      <c r="E115" t="s">
        <v>38</v>
      </c>
      <c r="F115">
        <v>35</v>
      </c>
      <c r="G115" t="s">
        <v>463</v>
      </c>
      <c r="H115">
        <v>2</v>
      </c>
      <c r="I115">
        <v>34.19</v>
      </c>
      <c r="J115" t="s">
        <v>464</v>
      </c>
      <c r="K115" t="s">
        <v>41</v>
      </c>
      <c r="L115" s="3">
        <v>45345</v>
      </c>
      <c r="M115" t="s">
        <v>34</v>
      </c>
      <c r="N115">
        <v>35</v>
      </c>
    </row>
    <row r="116" spans="1:14" x14ac:dyDescent="0.25">
      <c r="A116" t="s">
        <v>465</v>
      </c>
      <c r="B116" t="s">
        <v>466</v>
      </c>
      <c r="C116" s="1">
        <v>45641</v>
      </c>
      <c r="D116" t="s">
        <v>30</v>
      </c>
      <c r="E116" t="s">
        <v>65</v>
      </c>
      <c r="F116">
        <v>42</v>
      </c>
      <c r="G116" t="s">
        <v>467</v>
      </c>
      <c r="H116">
        <v>1</v>
      </c>
      <c r="I116">
        <v>30.43</v>
      </c>
      <c r="J116">
        <v>11.48</v>
      </c>
      <c r="K116" t="s">
        <v>19</v>
      </c>
      <c r="L116" s="3">
        <v>45641</v>
      </c>
      <c r="M116" t="s">
        <v>48</v>
      </c>
      <c r="N116">
        <v>42</v>
      </c>
    </row>
    <row r="117" spans="1:14" x14ac:dyDescent="0.25">
      <c r="A117" t="s">
        <v>468</v>
      </c>
      <c r="B117" t="s">
        <v>469</v>
      </c>
      <c r="C117" s="1">
        <v>45514</v>
      </c>
      <c r="D117" t="s">
        <v>24</v>
      </c>
      <c r="E117" t="s">
        <v>48</v>
      </c>
      <c r="F117">
        <v>51</v>
      </c>
      <c r="G117" t="s">
        <v>470</v>
      </c>
      <c r="H117">
        <v>5</v>
      </c>
      <c r="I117">
        <v>72.209999999999994</v>
      </c>
      <c r="J117" t="s">
        <v>471</v>
      </c>
      <c r="K117" t="s">
        <v>19</v>
      </c>
      <c r="L117" s="3">
        <v>45514</v>
      </c>
      <c r="M117" t="s">
        <v>48</v>
      </c>
      <c r="N117">
        <v>51</v>
      </c>
    </row>
    <row r="118" spans="1:14" x14ac:dyDescent="0.25">
      <c r="A118" t="s">
        <v>472</v>
      </c>
      <c r="B118" t="s">
        <v>473</v>
      </c>
      <c r="C118" t="s">
        <v>474</v>
      </c>
      <c r="D118" t="s">
        <v>24</v>
      </c>
      <c r="E118" t="s">
        <v>25</v>
      </c>
      <c r="F118">
        <v>65</v>
      </c>
      <c r="G118" t="s">
        <v>475</v>
      </c>
      <c r="H118">
        <v>3</v>
      </c>
      <c r="I118">
        <v>56.12</v>
      </c>
      <c r="J118" s="2">
        <v>20.67</v>
      </c>
      <c r="K118" t="s">
        <v>41</v>
      </c>
      <c r="L118" s="3">
        <v>45101</v>
      </c>
      <c r="M118" t="s">
        <v>20</v>
      </c>
      <c r="N118">
        <v>65</v>
      </c>
    </row>
    <row r="119" spans="1:14" x14ac:dyDescent="0.25">
      <c r="A119" t="s">
        <v>476</v>
      </c>
      <c r="B119" t="s">
        <v>477</v>
      </c>
      <c r="C119" s="3">
        <v>45598</v>
      </c>
      <c r="D119" t="s">
        <v>129</v>
      </c>
      <c r="E119" t="s">
        <v>38</v>
      </c>
      <c r="F119">
        <v>37</v>
      </c>
      <c r="G119" t="s">
        <v>478</v>
      </c>
      <c r="H119">
        <v>1</v>
      </c>
      <c r="I119">
        <v>4.4800000000000004</v>
      </c>
      <c r="J119">
        <v>1.65</v>
      </c>
      <c r="K119" t="s">
        <v>41</v>
      </c>
      <c r="L119" s="3">
        <v>45598</v>
      </c>
      <c r="M119" t="s">
        <v>34</v>
      </c>
      <c r="N119">
        <v>37</v>
      </c>
    </row>
    <row r="120" spans="1:14" x14ac:dyDescent="0.25">
      <c r="A120" t="s">
        <v>479</v>
      </c>
      <c r="B120" t="s">
        <v>480</v>
      </c>
      <c r="C120" s="1">
        <v>45497</v>
      </c>
      <c r="D120" t="s">
        <v>30</v>
      </c>
      <c r="E120" t="s">
        <v>48</v>
      </c>
      <c r="F120">
        <v>66</v>
      </c>
      <c r="G120" t="s">
        <v>481</v>
      </c>
      <c r="H120">
        <v>2</v>
      </c>
      <c r="I120">
        <v>15.89</v>
      </c>
      <c r="J120">
        <v>6.38</v>
      </c>
      <c r="K120" t="s">
        <v>19</v>
      </c>
      <c r="L120" s="3">
        <v>45497</v>
      </c>
      <c r="M120" t="s">
        <v>48</v>
      </c>
      <c r="N120">
        <v>66</v>
      </c>
    </row>
    <row r="121" spans="1:14" x14ac:dyDescent="0.25">
      <c r="A121" t="s">
        <v>482</v>
      </c>
      <c r="B121" t="s">
        <v>483</v>
      </c>
      <c r="C121" s="1">
        <v>45279</v>
      </c>
      <c r="D121" t="s">
        <v>129</v>
      </c>
      <c r="E121" t="s">
        <v>38</v>
      </c>
      <c r="F121">
        <v>16</v>
      </c>
      <c r="G121" t="s">
        <v>484</v>
      </c>
      <c r="H121">
        <v>2</v>
      </c>
      <c r="I121" s="2">
        <v>42.6</v>
      </c>
      <c r="J121" t="s">
        <v>485</v>
      </c>
      <c r="K121" t="s">
        <v>19</v>
      </c>
      <c r="L121" s="3">
        <v>45279</v>
      </c>
      <c r="M121" t="s">
        <v>34</v>
      </c>
      <c r="N121">
        <v>16</v>
      </c>
    </row>
    <row r="122" spans="1:14" x14ac:dyDescent="0.25">
      <c r="A122" t="s">
        <v>486</v>
      </c>
      <c r="B122" t="s">
        <v>487</v>
      </c>
      <c r="C122" s="3">
        <v>45535</v>
      </c>
      <c r="D122" t="s">
        <v>30</v>
      </c>
      <c r="E122" t="s">
        <v>31</v>
      </c>
      <c r="F122">
        <v>57</v>
      </c>
      <c r="G122" t="s">
        <v>488</v>
      </c>
      <c r="H122">
        <v>1</v>
      </c>
      <c r="I122">
        <v>8.25</v>
      </c>
      <c r="J122" s="2">
        <v>3.78</v>
      </c>
      <c r="K122" t="s">
        <v>41</v>
      </c>
      <c r="L122" s="3">
        <v>45535</v>
      </c>
      <c r="M122" t="s">
        <v>34</v>
      </c>
      <c r="N122">
        <v>57</v>
      </c>
    </row>
    <row r="123" spans="1:14" x14ac:dyDescent="0.25">
      <c r="A123" t="s">
        <v>489</v>
      </c>
      <c r="B123" t="s">
        <v>490</v>
      </c>
      <c r="C123" s="3">
        <v>45534</v>
      </c>
      <c r="D123" t="s">
        <v>16</v>
      </c>
      <c r="E123" t="s">
        <v>70</v>
      </c>
      <c r="F123">
        <v>66</v>
      </c>
      <c r="G123" t="s">
        <v>491</v>
      </c>
      <c r="H123">
        <v>1</v>
      </c>
      <c r="I123">
        <v>22.65</v>
      </c>
      <c r="J123">
        <v>7.02</v>
      </c>
      <c r="K123" t="s">
        <v>41</v>
      </c>
      <c r="L123" s="3">
        <v>45534</v>
      </c>
      <c r="M123" t="s">
        <v>20</v>
      </c>
      <c r="N123">
        <v>66</v>
      </c>
    </row>
    <row r="124" spans="1:14" x14ac:dyDescent="0.25">
      <c r="A124" t="s">
        <v>492</v>
      </c>
      <c r="B124" t="s">
        <v>493</v>
      </c>
      <c r="C124" t="s">
        <v>494</v>
      </c>
      <c r="D124" t="s">
        <v>129</v>
      </c>
      <c r="E124" t="s">
        <v>85</v>
      </c>
      <c r="F124">
        <v>52</v>
      </c>
      <c r="G124" t="s">
        <v>495</v>
      </c>
      <c r="H124">
        <v>1</v>
      </c>
      <c r="I124">
        <v>14.5</v>
      </c>
      <c r="J124">
        <v>6.17</v>
      </c>
      <c r="K124" t="s">
        <v>41</v>
      </c>
      <c r="L124" s="3">
        <v>45149</v>
      </c>
      <c r="M124" t="s">
        <v>34</v>
      </c>
      <c r="N124">
        <v>52</v>
      </c>
    </row>
    <row r="125" spans="1:14" x14ac:dyDescent="0.25">
      <c r="A125" t="s">
        <v>496</v>
      </c>
      <c r="B125" t="s">
        <v>497</v>
      </c>
      <c r="C125" t="s">
        <v>498</v>
      </c>
      <c r="D125" t="s">
        <v>129</v>
      </c>
      <c r="E125" t="s">
        <v>85</v>
      </c>
      <c r="F125">
        <v>59</v>
      </c>
      <c r="G125" t="s">
        <v>499</v>
      </c>
      <c r="H125">
        <v>2</v>
      </c>
      <c r="I125" t="s">
        <v>500</v>
      </c>
      <c r="J125" t="s">
        <v>501</v>
      </c>
      <c r="K125" t="s">
        <v>19</v>
      </c>
      <c r="L125" s="3">
        <v>45419</v>
      </c>
      <c r="M125" t="s">
        <v>34</v>
      </c>
      <c r="N125">
        <v>59</v>
      </c>
    </row>
    <row r="126" spans="1:14" x14ac:dyDescent="0.25">
      <c r="A126" t="s">
        <v>502</v>
      </c>
      <c r="B126" t="s">
        <v>503</v>
      </c>
      <c r="C126" t="s">
        <v>398</v>
      </c>
      <c r="D126" t="s">
        <v>129</v>
      </c>
      <c r="E126" t="s">
        <v>38</v>
      </c>
      <c r="F126">
        <v>63</v>
      </c>
      <c r="G126" t="s">
        <v>409</v>
      </c>
      <c r="H126">
        <v>1</v>
      </c>
      <c r="I126" s="2">
        <v>13.61</v>
      </c>
      <c r="J126">
        <v>6.78</v>
      </c>
      <c r="K126" t="s">
        <v>41</v>
      </c>
      <c r="L126" s="3">
        <v>45037</v>
      </c>
      <c r="M126" t="s">
        <v>34</v>
      </c>
      <c r="N126">
        <v>63</v>
      </c>
    </row>
    <row r="127" spans="1:14" x14ac:dyDescent="0.25">
      <c r="A127" t="s">
        <v>504</v>
      </c>
      <c r="B127" t="s">
        <v>273</v>
      </c>
      <c r="C127" s="3">
        <v>45084</v>
      </c>
      <c r="D127" t="s">
        <v>129</v>
      </c>
      <c r="E127" t="s">
        <v>60</v>
      </c>
      <c r="F127">
        <v>28</v>
      </c>
      <c r="G127" t="s">
        <v>505</v>
      </c>
      <c r="H127">
        <v>2</v>
      </c>
      <c r="I127">
        <v>18.62</v>
      </c>
      <c r="J127">
        <v>8.42</v>
      </c>
      <c r="K127" t="s">
        <v>41</v>
      </c>
      <c r="L127" s="3">
        <v>45084</v>
      </c>
      <c r="M127" t="s">
        <v>48</v>
      </c>
      <c r="N127">
        <v>28</v>
      </c>
    </row>
    <row r="128" spans="1:14" x14ac:dyDescent="0.25">
      <c r="A128" t="s">
        <v>506</v>
      </c>
      <c r="B128" t="s">
        <v>507</v>
      </c>
      <c r="C128" s="1">
        <v>45516</v>
      </c>
      <c r="D128" t="s">
        <v>129</v>
      </c>
      <c r="E128" t="s">
        <v>65</v>
      </c>
      <c r="F128">
        <v>65</v>
      </c>
      <c r="G128" t="s">
        <v>508</v>
      </c>
      <c r="H128">
        <v>1</v>
      </c>
      <c r="I128">
        <v>2.92</v>
      </c>
      <c r="J128">
        <v>1.76</v>
      </c>
      <c r="K128" t="s">
        <v>41</v>
      </c>
      <c r="L128" s="3">
        <v>45516</v>
      </c>
      <c r="M128" t="s">
        <v>48</v>
      </c>
      <c r="N128">
        <v>65</v>
      </c>
    </row>
    <row r="129" spans="1:14" x14ac:dyDescent="0.25">
      <c r="A129" t="s">
        <v>509</v>
      </c>
      <c r="B129" t="s">
        <v>510</v>
      </c>
      <c r="C129" t="s">
        <v>511</v>
      </c>
      <c r="D129" t="s">
        <v>51</v>
      </c>
      <c r="E129" t="s">
        <v>25</v>
      </c>
      <c r="F129">
        <v>43</v>
      </c>
      <c r="G129" t="s">
        <v>512</v>
      </c>
      <c r="H129">
        <v>1</v>
      </c>
      <c r="I129" s="2">
        <v>36.549999999999997</v>
      </c>
      <c r="J129">
        <v>13.52</v>
      </c>
      <c r="K129" t="s">
        <v>19</v>
      </c>
      <c r="L129" s="3">
        <v>45317</v>
      </c>
      <c r="M129" t="s">
        <v>20</v>
      </c>
      <c r="N129">
        <v>43</v>
      </c>
    </row>
    <row r="130" spans="1:14" x14ac:dyDescent="0.25">
      <c r="A130" t="s">
        <v>513</v>
      </c>
      <c r="B130" t="s">
        <v>514</v>
      </c>
      <c r="C130" t="s">
        <v>515</v>
      </c>
      <c r="D130" t="s">
        <v>30</v>
      </c>
      <c r="E130" t="s">
        <v>38</v>
      </c>
      <c r="F130">
        <v>53</v>
      </c>
      <c r="G130" t="s">
        <v>516</v>
      </c>
      <c r="H130">
        <v>2</v>
      </c>
      <c r="I130" s="2">
        <v>13.68</v>
      </c>
      <c r="J130">
        <v>3.85</v>
      </c>
      <c r="K130" t="s">
        <v>41</v>
      </c>
      <c r="L130" s="3">
        <v>45305</v>
      </c>
      <c r="M130" t="s">
        <v>34</v>
      </c>
      <c r="N130">
        <v>53</v>
      </c>
    </row>
    <row r="131" spans="1:14" x14ac:dyDescent="0.25">
      <c r="A131" t="s">
        <v>517</v>
      </c>
      <c r="B131" t="s">
        <v>518</v>
      </c>
      <c r="C131" s="1">
        <v>45202</v>
      </c>
      <c r="D131" t="s">
        <v>51</v>
      </c>
      <c r="E131" t="s">
        <v>65</v>
      </c>
      <c r="F131">
        <v>29</v>
      </c>
      <c r="G131" t="s">
        <v>519</v>
      </c>
      <c r="H131">
        <v>1</v>
      </c>
      <c r="I131">
        <v>9.8000000000000007</v>
      </c>
      <c r="J131">
        <v>4.07</v>
      </c>
      <c r="K131" t="s">
        <v>41</v>
      </c>
      <c r="L131" s="3">
        <v>45202</v>
      </c>
      <c r="M131" t="s">
        <v>48</v>
      </c>
      <c r="N131">
        <v>29</v>
      </c>
    </row>
    <row r="132" spans="1:14" x14ac:dyDescent="0.25">
      <c r="A132" t="s">
        <v>520</v>
      </c>
      <c r="B132" t="s">
        <v>521</v>
      </c>
      <c r="C132" t="s">
        <v>522</v>
      </c>
      <c r="D132" t="s">
        <v>24</v>
      </c>
      <c r="F132">
        <v>60</v>
      </c>
      <c r="G132" t="s">
        <v>523</v>
      </c>
      <c r="H132">
        <v>1</v>
      </c>
      <c r="I132">
        <v>17.059999999999999</v>
      </c>
      <c r="J132" t="s">
        <v>524</v>
      </c>
      <c r="K132" t="s">
        <v>41</v>
      </c>
      <c r="L132" s="3">
        <v>45212</v>
      </c>
      <c r="M132" t="s">
        <v>20</v>
      </c>
      <c r="N132">
        <v>60</v>
      </c>
    </row>
    <row r="133" spans="1:14" x14ac:dyDescent="0.25">
      <c r="A133" t="s">
        <v>525</v>
      </c>
      <c r="B133" t="s">
        <v>526</v>
      </c>
      <c r="C133" t="s">
        <v>527</v>
      </c>
      <c r="D133" t="s">
        <v>16</v>
      </c>
      <c r="E133" t="s">
        <v>34</v>
      </c>
      <c r="F133">
        <v>75</v>
      </c>
      <c r="G133" t="s">
        <v>528</v>
      </c>
      <c r="H133">
        <v>4</v>
      </c>
      <c r="I133">
        <v>99.43</v>
      </c>
      <c r="J133" t="s">
        <v>529</v>
      </c>
      <c r="K133" t="s">
        <v>19</v>
      </c>
      <c r="L133" s="3">
        <v>45481</v>
      </c>
      <c r="M133" t="s">
        <v>34</v>
      </c>
      <c r="N133">
        <v>75</v>
      </c>
    </row>
    <row r="134" spans="1:14" x14ac:dyDescent="0.25">
      <c r="A134" t="s">
        <v>530</v>
      </c>
      <c r="B134" t="s">
        <v>510</v>
      </c>
      <c r="C134" s="1">
        <v>45644</v>
      </c>
      <c r="D134" t="s">
        <v>51</v>
      </c>
      <c r="E134" t="s">
        <v>65</v>
      </c>
      <c r="F134" t="s">
        <v>435</v>
      </c>
      <c r="G134" t="s">
        <v>531</v>
      </c>
      <c r="H134">
        <v>1</v>
      </c>
      <c r="I134">
        <v>33.659999999999997</v>
      </c>
      <c r="J134">
        <v>15.89</v>
      </c>
      <c r="K134" t="s">
        <v>19</v>
      </c>
      <c r="L134" s="3">
        <v>45644</v>
      </c>
      <c r="M134" t="s">
        <v>48</v>
      </c>
    </row>
    <row r="135" spans="1:14" x14ac:dyDescent="0.25">
      <c r="A135" t="s">
        <v>532</v>
      </c>
      <c r="B135" t="s">
        <v>533</v>
      </c>
      <c r="C135" s="3">
        <v>45186</v>
      </c>
      <c r="D135" t="s">
        <v>16</v>
      </c>
      <c r="E135" t="s">
        <v>534</v>
      </c>
      <c r="F135">
        <v>19</v>
      </c>
      <c r="G135" t="s">
        <v>535</v>
      </c>
      <c r="H135">
        <v>1</v>
      </c>
      <c r="I135" t="s">
        <v>536</v>
      </c>
      <c r="J135" t="s">
        <v>537</v>
      </c>
      <c r="K135" t="s">
        <v>19</v>
      </c>
      <c r="L135" s="3">
        <v>45186</v>
      </c>
      <c r="M135" t="s">
        <v>48</v>
      </c>
      <c r="N135">
        <v>19</v>
      </c>
    </row>
    <row r="136" spans="1:14" x14ac:dyDescent="0.25">
      <c r="A136" t="s">
        <v>538</v>
      </c>
      <c r="B136" t="s">
        <v>539</v>
      </c>
      <c r="C136" t="s">
        <v>540</v>
      </c>
      <c r="D136" t="s">
        <v>129</v>
      </c>
      <c r="E136" t="s">
        <v>38</v>
      </c>
      <c r="F136">
        <v>44</v>
      </c>
      <c r="G136" t="s">
        <v>541</v>
      </c>
      <c r="H136">
        <v>2</v>
      </c>
      <c r="I136" t="s">
        <v>542</v>
      </c>
      <c r="J136">
        <v>4.21</v>
      </c>
      <c r="K136" t="s">
        <v>41</v>
      </c>
      <c r="L136" s="3">
        <v>45111</v>
      </c>
      <c r="M136" t="s">
        <v>34</v>
      </c>
      <c r="N136">
        <v>44</v>
      </c>
    </row>
    <row r="137" spans="1:14" x14ac:dyDescent="0.25">
      <c r="A137" t="s">
        <v>543</v>
      </c>
      <c r="B137" t="s">
        <v>473</v>
      </c>
      <c r="C137" s="1">
        <v>45024</v>
      </c>
      <c r="D137" t="s">
        <v>30</v>
      </c>
      <c r="E137" t="s">
        <v>34</v>
      </c>
      <c r="F137">
        <v>14</v>
      </c>
      <c r="G137" t="s">
        <v>544</v>
      </c>
      <c r="H137">
        <v>5</v>
      </c>
      <c r="I137" s="2">
        <v>64.98</v>
      </c>
      <c r="J137">
        <v>26.48</v>
      </c>
      <c r="K137" t="s">
        <v>41</v>
      </c>
      <c r="L137" s="3">
        <v>45024</v>
      </c>
      <c r="M137" t="s">
        <v>34</v>
      </c>
      <c r="N137">
        <v>14</v>
      </c>
    </row>
    <row r="138" spans="1:14" x14ac:dyDescent="0.25">
      <c r="A138" t="s">
        <v>545</v>
      </c>
      <c r="B138" t="s">
        <v>546</v>
      </c>
      <c r="C138" s="1">
        <v>45545</v>
      </c>
      <c r="D138" t="s">
        <v>16</v>
      </c>
      <c r="E138" t="s">
        <v>25</v>
      </c>
      <c r="F138" t="s">
        <v>435</v>
      </c>
      <c r="G138" t="s">
        <v>361</v>
      </c>
      <c r="H138">
        <v>2</v>
      </c>
      <c r="I138" s="2">
        <v>62.83</v>
      </c>
      <c r="J138">
        <v>33.57</v>
      </c>
      <c r="K138" t="s">
        <v>41</v>
      </c>
      <c r="L138" s="3">
        <v>45545</v>
      </c>
      <c r="M138" t="s">
        <v>20</v>
      </c>
    </row>
    <row r="139" spans="1:14" x14ac:dyDescent="0.25">
      <c r="A139" t="s">
        <v>547</v>
      </c>
      <c r="B139" t="s">
        <v>548</v>
      </c>
      <c r="C139" s="1">
        <v>45626</v>
      </c>
      <c r="D139" t="s">
        <v>16</v>
      </c>
      <c r="E139" t="s">
        <v>31</v>
      </c>
      <c r="F139">
        <v>68</v>
      </c>
      <c r="G139" t="s">
        <v>549</v>
      </c>
      <c r="H139">
        <v>3</v>
      </c>
      <c r="I139">
        <v>37.159999999999997</v>
      </c>
      <c r="J139" s="2">
        <v>17.010000000000002</v>
      </c>
      <c r="K139" t="s">
        <v>19</v>
      </c>
      <c r="L139" s="3">
        <v>45626</v>
      </c>
      <c r="M139" t="s">
        <v>34</v>
      </c>
      <c r="N139">
        <v>68</v>
      </c>
    </row>
    <row r="140" spans="1:14" x14ac:dyDescent="0.25">
      <c r="A140" t="s">
        <v>550</v>
      </c>
      <c r="B140" t="s">
        <v>551</v>
      </c>
      <c r="C140" t="s">
        <v>552</v>
      </c>
      <c r="D140" t="s">
        <v>51</v>
      </c>
      <c r="E140" t="s">
        <v>31</v>
      </c>
      <c r="F140">
        <v>22</v>
      </c>
      <c r="G140" t="s">
        <v>553</v>
      </c>
      <c r="H140">
        <v>2</v>
      </c>
      <c r="I140">
        <v>105.45</v>
      </c>
      <c r="J140">
        <v>49.12</v>
      </c>
      <c r="K140" t="s">
        <v>41</v>
      </c>
      <c r="L140" s="3">
        <v>45091</v>
      </c>
      <c r="M140" t="s">
        <v>34</v>
      </c>
      <c r="N140">
        <v>22</v>
      </c>
    </row>
    <row r="141" spans="1:14" x14ac:dyDescent="0.25">
      <c r="A141" t="s">
        <v>554</v>
      </c>
      <c r="B141" t="s">
        <v>555</v>
      </c>
      <c r="C141" s="1">
        <v>45351</v>
      </c>
      <c r="D141" t="s">
        <v>24</v>
      </c>
      <c r="E141" t="s">
        <v>60</v>
      </c>
      <c r="F141">
        <v>25</v>
      </c>
      <c r="G141" t="s">
        <v>556</v>
      </c>
      <c r="H141">
        <v>1</v>
      </c>
      <c r="I141">
        <v>6.35</v>
      </c>
      <c r="J141">
        <v>1.93</v>
      </c>
      <c r="K141" t="s">
        <v>19</v>
      </c>
      <c r="L141" s="3">
        <v>45351</v>
      </c>
      <c r="M141" t="s">
        <v>48</v>
      </c>
      <c r="N141">
        <v>25</v>
      </c>
    </row>
    <row r="142" spans="1:14" x14ac:dyDescent="0.25">
      <c r="A142" t="s">
        <v>557</v>
      </c>
      <c r="B142" t="s">
        <v>558</v>
      </c>
      <c r="C142" s="3">
        <v>45574</v>
      </c>
      <c r="D142" t="s">
        <v>16</v>
      </c>
      <c r="E142" t="s">
        <v>132</v>
      </c>
      <c r="F142">
        <v>20</v>
      </c>
      <c r="G142" t="s">
        <v>559</v>
      </c>
      <c r="H142">
        <v>1</v>
      </c>
      <c r="I142" s="2">
        <v>19.079999999999998</v>
      </c>
      <c r="J142" t="s">
        <v>560</v>
      </c>
      <c r="K142" t="s">
        <v>41</v>
      </c>
      <c r="L142" s="3">
        <v>45574</v>
      </c>
      <c r="M142" t="s">
        <v>132</v>
      </c>
      <c r="N142">
        <v>20</v>
      </c>
    </row>
    <row r="143" spans="1:14" x14ac:dyDescent="0.25">
      <c r="A143" t="s">
        <v>561</v>
      </c>
      <c r="B143" t="s">
        <v>562</v>
      </c>
      <c r="C143" t="s">
        <v>563</v>
      </c>
      <c r="D143" t="s">
        <v>51</v>
      </c>
      <c r="E143" t="s">
        <v>65</v>
      </c>
      <c r="F143">
        <v>47</v>
      </c>
      <c r="G143" t="s">
        <v>564</v>
      </c>
      <c r="H143">
        <v>3</v>
      </c>
      <c r="I143">
        <v>102.93</v>
      </c>
      <c r="J143">
        <v>38</v>
      </c>
      <c r="K143" t="s">
        <v>41</v>
      </c>
      <c r="L143" s="3">
        <v>45385</v>
      </c>
      <c r="M143" t="s">
        <v>48</v>
      </c>
      <c r="N143">
        <v>47</v>
      </c>
    </row>
    <row r="144" spans="1:14" x14ac:dyDescent="0.25">
      <c r="A144" t="s">
        <v>565</v>
      </c>
      <c r="B144" t="s">
        <v>566</v>
      </c>
      <c r="C144" t="s">
        <v>567</v>
      </c>
      <c r="D144" t="s">
        <v>30</v>
      </c>
      <c r="E144" t="s">
        <v>48</v>
      </c>
      <c r="F144">
        <v>26</v>
      </c>
      <c r="G144" t="s">
        <v>568</v>
      </c>
      <c r="H144">
        <v>1</v>
      </c>
      <c r="I144">
        <v>35.18</v>
      </c>
      <c r="J144" t="s">
        <v>25</v>
      </c>
      <c r="K144" t="s">
        <v>41</v>
      </c>
      <c r="L144" s="3">
        <v>45403</v>
      </c>
      <c r="M144" t="s">
        <v>48</v>
      </c>
      <c r="N144">
        <v>26</v>
      </c>
    </row>
    <row r="145" spans="1:14" x14ac:dyDescent="0.25">
      <c r="A145" t="s">
        <v>569</v>
      </c>
      <c r="B145" t="s">
        <v>469</v>
      </c>
      <c r="C145" s="1">
        <v>45055</v>
      </c>
      <c r="D145" t="s">
        <v>129</v>
      </c>
      <c r="E145" t="s">
        <v>31</v>
      </c>
      <c r="F145">
        <v>38</v>
      </c>
      <c r="G145" t="s">
        <v>570</v>
      </c>
      <c r="H145">
        <v>1</v>
      </c>
      <c r="I145">
        <v>11.16</v>
      </c>
      <c r="J145">
        <v>4.33</v>
      </c>
      <c r="K145" t="s">
        <v>19</v>
      </c>
      <c r="L145" s="3">
        <v>45055</v>
      </c>
      <c r="M145" t="s">
        <v>34</v>
      </c>
      <c r="N145">
        <v>38</v>
      </c>
    </row>
    <row r="146" spans="1:14" x14ac:dyDescent="0.25">
      <c r="A146" t="s">
        <v>571</v>
      </c>
      <c r="B146" t="s">
        <v>480</v>
      </c>
      <c r="C146" s="1">
        <v>45505</v>
      </c>
      <c r="D146" t="s">
        <v>16</v>
      </c>
      <c r="E146" t="s">
        <v>48</v>
      </c>
      <c r="F146">
        <v>70</v>
      </c>
      <c r="G146" t="s">
        <v>572</v>
      </c>
      <c r="H146">
        <v>4</v>
      </c>
      <c r="I146">
        <v>58.47</v>
      </c>
      <c r="J146">
        <v>25.28</v>
      </c>
      <c r="K146" t="s">
        <v>19</v>
      </c>
      <c r="L146" s="3">
        <v>45505</v>
      </c>
      <c r="M146" t="s">
        <v>48</v>
      </c>
      <c r="N146">
        <v>70</v>
      </c>
    </row>
    <row r="147" spans="1:14" x14ac:dyDescent="0.25">
      <c r="A147" t="s">
        <v>573</v>
      </c>
      <c r="B147" t="s">
        <v>402</v>
      </c>
      <c r="C147" t="s">
        <v>511</v>
      </c>
      <c r="D147" t="s">
        <v>129</v>
      </c>
      <c r="E147" t="s">
        <v>34</v>
      </c>
      <c r="F147">
        <v>20</v>
      </c>
      <c r="G147" t="s">
        <v>574</v>
      </c>
      <c r="H147">
        <v>1</v>
      </c>
      <c r="I147">
        <v>13.58</v>
      </c>
      <c r="J147" s="2">
        <v>4.12</v>
      </c>
      <c r="K147" t="s">
        <v>19</v>
      </c>
      <c r="L147" s="3">
        <v>45317</v>
      </c>
      <c r="M147" t="s">
        <v>34</v>
      </c>
      <c r="N147">
        <v>20</v>
      </c>
    </row>
    <row r="148" spans="1:14" x14ac:dyDescent="0.25">
      <c r="A148" t="s">
        <v>575</v>
      </c>
      <c r="B148" t="s">
        <v>257</v>
      </c>
      <c r="C148" t="s">
        <v>576</v>
      </c>
      <c r="D148" t="s">
        <v>129</v>
      </c>
      <c r="E148" t="s">
        <v>34</v>
      </c>
      <c r="F148">
        <v>52</v>
      </c>
      <c r="G148" t="s">
        <v>577</v>
      </c>
      <c r="H148">
        <v>4</v>
      </c>
      <c r="I148" t="s">
        <v>578</v>
      </c>
      <c r="J148" t="s">
        <v>579</v>
      </c>
      <c r="K148" t="s">
        <v>19</v>
      </c>
      <c r="L148" s="3">
        <v>45429</v>
      </c>
      <c r="M148" t="s">
        <v>34</v>
      </c>
      <c r="N148">
        <v>52</v>
      </c>
    </row>
    <row r="149" spans="1:14" x14ac:dyDescent="0.25">
      <c r="A149" t="s">
        <v>580</v>
      </c>
      <c r="B149" t="s">
        <v>581</v>
      </c>
      <c r="C149" s="3">
        <v>44965</v>
      </c>
      <c r="D149" t="s">
        <v>16</v>
      </c>
      <c r="E149" t="s">
        <v>31</v>
      </c>
      <c r="F149">
        <v>36</v>
      </c>
      <c r="G149" t="s">
        <v>582</v>
      </c>
      <c r="H149">
        <v>1</v>
      </c>
      <c r="I149">
        <v>13.55</v>
      </c>
      <c r="J149" t="s">
        <v>583</v>
      </c>
      <c r="K149" t="s">
        <v>19</v>
      </c>
      <c r="L149" s="3">
        <v>44965</v>
      </c>
      <c r="M149" t="s">
        <v>34</v>
      </c>
      <c r="N149">
        <v>36</v>
      </c>
    </row>
    <row r="150" spans="1:14" x14ac:dyDescent="0.25">
      <c r="A150" t="s">
        <v>584</v>
      </c>
      <c r="B150" t="s">
        <v>585</v>
      </c>
      <c r="C150" s="3">
        <v>45053</v>
      </c>
      <c r="D150" t="s">
        <v>129</v>
      </c>
      <c r="E150" t="s">
        <v>70</v>
      </c>
      <c r="F150">
        <v>41</v>
      </c>
      <c r="G150" t="s">
        <v>586</v>
      </c>
      <c r="H150">
        <v>2</v>
      </c>
      <c r="I150">
        <v>10.14</v>
      </c>
      <c r="J150" t="s">
        <v>587</v>
      </c>
      <c r="K150" t="s">
        <v>19</v>
      </c>
      <c r="L150" s="3">
        <v>45053</v>
      </c>
      <c r="M150" t="s">
        <v>20</v>
      </c>
      <c r="N150">
        <v>41</v>
      </c>
    </row>
    <row r="151" spans="1:14" x14ac:dyDescent="0.25">
      <c r="A151" t="s">
        <v>588</v>
      </c>
      <c r="B151" t="s">
        <v>589</v>
      </c>
      <c r="C151" t="s">
        <v>590</v>
      </c>
      <c r="D151" t="s">
        <v>51</v>
      </c>
      <c r="E151" t="s">
        <v>85</v>
      </c>
      <c r="F151">
        <v>14</v>
      </c>
      <c r="G151" t="s">
        <v>591</v>
      </c>
      <c r="H151">
        <v>6</v>
      </c>
      <c r="I151" t="s">
        <v>592</v>
      </c>
      <c r="J151" s="2">
        <v>126.37</v>
      </c>
      <c r="K151" t="s">
        <v>19</v>
      </c>
      <c r="L151" s="3">
        <v>44999</v>
      </c>
      <c r="M151" t="s">
        <v>34</v>
      </c>
      <c r="N151">
        <v>14</v>
      </c>
    </row>
    <row r="152" spans="1:14" x14ac:dyDescent="0.25">
      <c r="A152" t="s">
        <v>593</v>
      </c>
      <c r="B152" t="s">
        <v>594</v>
      </c>
      <c r="C152" s="3">
        <v>44975</v>
      </c>
      <c r="D152" t="s">
        <v>129</v>
      </c>
      <c r="E152" t="s">
        <v>38</v>
      </c>
      <c r="F152">
        <v>74</v>
      </c>
      <c r="G152" t="s">
        <v>595</v>
      </c>
      <c r="H152">
        <v>3</v>
      </c>
      <c r="I152">
        <v>45.36</v>
      </c>
      <c r="J152">
        <v>23.44</v>
      </c>
      <c r="K152" t="s">
        <v>41</v>
      </c>
      <c r="L152" s="3">
        <v>44975</v>
      </c>
      <c r="M152" t="s">
        <v>34</v>
      </c>
      <c r="N152">
        <v>74</v>
      </c>
    </row>
    <row r="153" spans="1:14" x14ac:dyDescent="0.25">
      <c r="A153" t="s">
        <v>596</v>
      </c>
      <c r="B153" t="s">
        <v>176</v>
      </c>
      <c r="C153" s="1">
        <v>45198</v>
      </c>
      <c r="D153" t="s">
        <v>30</v>
      </c>
      <c r="E153" t="s">
        <v>31</v>
      </c>
      <c r="F153">
        <v>56</v>
      </c>
      <c r="G153" t="s">
        <v>597</v>
      </c>
      <c r="H153">
        <v>1</v>
      </c>
      <c r="I153" t="s">
        <v>598</v>
      </c>
      <c r="J153" t="s">
        <v>599</v>
      </c>
      <c r="K153" t="s">
        <v>19</v>
      </c>
      <c r="L153" s="3">
        <v>45198</v>
      </c>
      <c r="M153" t="s">
        <v>34</v>
      </c>
      <c r="N153">
        <v>56</v>
      </c>
    </row>
    <row r="154" spans="1:14" x14ac:dyDescent="0.25">
      <c r="A154" t="s">
        <v>600</v>
      </c>
      <c r="B154" t="s">
        <v>215</v>
      </c>
      <c r="C154" s="3">
        <v>45299</v>
      </c>
      <c r="D154" t="s">
        <v>16</v>
      </c>
      <c r="E154" t="s">
        <v>38</v>
      </c>
      <c r="F154">
        <v>40</v>
      </c>
      <c r="G154" t="s">
        <v>320</v>
      </c>
      <c r="H154">
        <v>1</v>
      </c>
      <c r="I154">
        <v>15.14</v>
      </c>
      <c r="J154" t="s">
        <v>601</v>
      </c>
      <c r="K154" t="s">
        <v>41</v>
      </c>
      <c r="L154" s="3">
        <v>45299</v>
      </c>
      <c r="M154" t="s">
        <v>34</v>
      </c>
      <c r="N154">
        <v>40</v>
      </c>
    </row>
    <row r="155" spans="1:14" x14ac:dyDescent="0.25">
      <c r="A155" t="s">
        <v>602</v>
      </c>
      <c r="B155" t="s">
        <v>603</v>
      </c>
      <c r="C155" s="1">
        <v>44957</v>
      </c>
      <c r="D155" t="s">
        <v>30</v>
      </c>
      <c r="E155" t="s">
        <v>60</v>
      </c>
      <c r="F155">
        <v>28</v>
      </c>
      <c r="G155" t="s">
        <v>604</v>
      </c>
      <c r="H155">
        <v>3</v>
      </c>
      <c r="I155">
        <v>120.81</v>
      </c>
      <c r="J155" s="2">
        <v>46.17</v>
      </c>
      <c r="K155" t="s">
        <v>19</v>
      </c>
      <c r="L155" s="3">
        <v>44957</v>
      </c>
      <c r="M155" t="s">
        <v>48</v>
      </c>
      <c r="N155">
        <v>28</v>
      </c>
    </row>
    <row r="156" spans="1:14" x14ac:dyDescent="0.25">
      <c r="A156" t="s">
        <v>605</v>
      </c>
      <c r="B156" t="s">
        <v>581</v>
      </c>
      <c r="C156" t="s">
        <v>606</v>
      </c>
      <c r="D156" t="s">
        <v>24</v>
      </c>
      <c r="E156" t="s">
        <v>31</v>
      </c>
      <c r="F156">
        <v>34</v>
      </c>
      <c r="G156" t="s">
        <v>607</v>
      </c>
      <c r="H156">
        <v>1</v>
      </c>
      <c r="I156" t="s">
        <v>608</v>
      </c>
      <c r="J156">
        <v>2.2799999999999998</v>
      </c>
      <c r="K156" t="s">
        <v>19</v>
      </c>
      <c r="L156" s="3">
        <v>45509</v>
      </c>
      <c r="M156" t="s">
        <v>34</v>
      </c>
      <c r="N156">
        <v>34</v>
      </c>
    </row>
    <row r="157" spans="1:14" x14ac:dyDescent="0.25">
      <c r="A157" t="s">
        <v>609</v>
      </c>
      <c r="B157" t="s">
        <v>610</v>
      </c>
      <c r="C157" t="s">
        <v>611</v>
      </c>
      <c r="D157" t="s">
        <v>51</v>
      </c>
      <c r="E157" t="s">
        <v>31</v>
      </c>
      <c r="F157">
        <v>74</v>
      </c>
      <c r="G157" t="s">
        <v>612</v>
      </c>
      <c r="H157">
        <v>3</v>
      </c>
      <c r="I157" t="s">
        <v>613</v>
      </c>
      <c r="J157" t="s">
        <v>614</v>
      </c>
      <c r="K157" t="s">
        <v>41</v>
      </c>
      <c r="L157" s="3">
        <v>45618</v>
      </c>
      <c r="M157" t="s">
        <v>34</v>
      </c>
      <c r="N157">
        <v>74</v>
      </c>
    </row>
    <row r="158" spans="1:14" x14ac:dyDescent="0.25">
      <c r="A158" t="s">
        <v>615</v>
      </c>
      <c r="B158" t="s">
        <v>616</v>
      </c>
      <c r="C158" s="1">
        <v>45424</v>
      </c>
      <c r="D158" t="s">
        <v>16</v>
      </c>
      <c r="E158" t="s">
        <v>34</v>
      </c>
      <c r="F158">
        <v>68</v>
      </c>
      <c r="G158" t="s">
        <v>617</v>
      </c>
      <c r="H158">
        <v>2</v>
      </c>
      <c r="I158" s="2">
        <v>18.96</v>
      </c>
      <c r="J158">
        <v>10.25</v>
      </c>
      <c r="K158" t="s">
        <v>41</v>
      </c>
      <c r="L158" s="3">
        <v>45424</v>
      </c>
      <c r="M158" t="s">
        <v>34</v>
      </c>
      <c r="N158">
        <v>68</v>
      </c>
    </row>
    <row r="159" spans="1:14" x14ac:dyDescent="0.25">
      <c r="A159" t="s">
        <v>618</v>
      </c>
      <c r="B159" t="s">
        <v>619</v>
      </c>
      <c r="C159" s="1">
        <v>45087</v>
      </c>
      <c r="D159" t="s">
        <v>24</v>
      </c>
      <c r="E159" t="s">
        <v>48</v>
      </c>
      <c r="F159">
        <v>38</v>
      </c>
      <c r="G159" t="s">
        <v>620</v>
      </c>
      <c r="H159">
        <v>1</v>
      </c>
      <c r="I159" s="2">
        <v>23.59</v>
      </c>
      <c r="J159">
        <v>10.41</v>
      </c>
      <c r="K159" t="s">
        <v>19</v>
      </c>
      <c r="L159" s="3">
        <v>45087</v>
      </c>
      <c r="M159" t="s">
        <v>48</v>
      </c>
      <c r="N159">
        <v>38</v>
      </c>
    </row>
    <row r="160" spans="1:14" x14ac:dyDescent="0.25">
      <c r="A160" t="s">
        <v>621</v>
      </c>
      <c r="B160" t="s">
        <v>622</v>
      </c>
      <c r="C160" s="3">
        <v>44985</v>
      </c>
      <c r="D160" t="s">
        <v>129</v>
      </c>
      <c r="E160" t="s">
        <v>45</v>
      </c>
      <c r="F160">
        <v>62</v>
      </c>
      <c r="G160" t="s">
        <v>623</v>
      </c>
      <c r="H160">
        <v>1</v>
      </c>
      <c r="I160">
        <v>14.22</v>
      </c>
      <c r="J160">
        <v>3.81</v>
      </c>
      <c r="K160" t="s">
        <v>19</v>
      </c>
      <c r="L160" s="3">
        <v>44985</v>
      </c>
      <c r="M160" t="s">
        <v>48</v>
      </c>
      <c r="N160">
        <v>62</v>
      </c>
    </row>
    <row r="161" spans="1:14" x14ac:dyDescent="0.25">
      <c r="A161" t="s">
        <v>624</v>
      </c>
      <c r="B161" t="s">
        <v>625</v>
      </c>
      <c r="C161" t="s">
        <v>626</v>
      </c>
      <c r="D161" t="s">
        <v>16</v>
      </c>
      <c r="E161" t="s">
        <v>60</v>
      </c>
      <c r="F161">
        <v>18</v>
      </c>
      <c r="G161" t="s">
        <v>627</v>
      </c>
      <c r="H161">
        <v>3</v>
      </c>
      <c r="I161" s="2">
        <v>11.59</v>
      </c>
      <c r="J161">
        <v>5.64</v>
      </c>
      <c r="K161" t="s">
        <v>19</v>
      </c>
      <c r="L161" s="3">
        <v>45192</v>
      </c>
      <c r="M161" t="s">
        <v>48</v>
      </c>
      <c r="N161">
        <v>18</v>
      </c>
    </row>
    <row r="162" spans="1:14" x14ac:dyDescent="0.25">
      <c r="A162" t="s">
        <v>628</v>
      </c>
      <c r="B162" t="s">
        <v>273</v>
      </c>
      <c r="C162" t="s">
        <v>629</v>
      </c>
      <c r="D162" t="s">
        <v>30</v>
      </c>
      <c r="E162" t="s">
        <v>65</v>
      </c>
      <c r="F162">
        <v>27</v>
      </c>
      <c r="G162" t="s">
        <v>630</v>
      </c>
      <c r="H162">
        <v>2</v>
      </c>
      <c r="I162" t="s">
        <v>631</v>
      </c>
      <c r="J162">
        <v>24.97</v>
      </c>
      <c r="K162" t="s">
        <v>41</v>
      </c>
      <c r="L162" s="3">
        <v>44954</v>
      </c>
      <c r="M162" t="s">
        <v>48</v>
      </c>
      <c r="N162">
        <v>27</v>
      </c>
    </row>
    <row r="163" spans="1:14" x14ac:dyDescent="0.25">
      <c r="A163" t="s">
        <v>632</v>
      </c>
      <c r="B163" t="s">
        <v>633</v>
      </c>
      <c r="C163" t="s">
        <v>634</v>
      </c>
      <c r="D163" t="s">
        <v>51</v>
      </c>
      <c r="E163" t="s">
        <v>31</v>
      </c>
      <c r="F163">
        <v>28</v>
      </c>
      <c r="G163" t="s">
        <v>635</v>
      </c>
      <c r="H163">
        <v>1</v>
      </c>
      <c r="I163" t="s">
        <v>205</v>
      </c>
      <c r="J163" t="s">
        <v>25</v>
      </c>
      <c r="K163" t="s">
        <v>41</v>
      </c>
      <c r="L163" s="3">
        <v>45119</v>
      </c>
      <c r="M163" t="s">
        <v>34</v>
      </c>
      <c r="N163">
        <v>28</v>
      </c>
    </row>
    <row r="164" spans="1:14" x14ac:dyDescent="0.25">
      <c r="A164" t="s">
        <v>636</v>
      </c>
      <c r="B164" t="s">
        <v>637</v>
      </c>
      <c r="C164" s="1">
        <v>45509</v>
      </c>
      <c r="D164" t="s">
        <v>129</v>
      </c>
      <c r="E164" t="s">
        <v>65</v>
      </c>
      <c r="F164" t="s">
        <v>25</v>
      </c>
      <c r="G164" t="s">
        <v>638</v>
      </c>
      <c r="H164">
        <v>2</v>
      </c>
      <c r="I164" t="s">
        <v>639</v>
      </c>
      <c r="J164" t="s">
        <v>640</v>
      </c>
      <c r="K164" t="s">
        <v>41</v>
      </c>
      <c r="L164" s="3">
        <v>45509</v>
      </c>
      <c r="M164" t="s">
        <v>48</v>
      </c>
    </row>
    <row r="165" spans="1:14" x14ac:dyDescent="0.25">
      <c r="A165" t="s">
        <v>641</v>
      </c>
      <c r="B165" t="s">
        <v>642</v>
      </c>
      <c r="C165" s="3">
        <v>45609</v>
      </c>
      <c r="D165" t="s">
        <v>129</v>
      </c>
      <c r="E165" t="s">
        <v>45</v>
      </c>
      <c r="F165">
        <v>58</v>
      </c>
      <c r="G165" t="s">
        <v>643</v>
      </c>
      <c r="H165">
        <v>2</v>
      </c>
      <c r="I165">
        <v>11.27</v>
      </c>
      <c r="J165" s="2">
        <v>3.98</v>
      </c>
      <c r="K165" t="s">
        <v>41</v>
      </c>
      <c r="L165" s="3">
        <v>45609</v>
      </c>
      <c r="M165" t="s">
        <v>48</v>
      </c>
      <c r="N165">
        <v>58</v>
      </c>
    </row>
    <row r="166" spans="1:14" x14ac:dyDescent="0.25">
      <c r="A166" t="s">
        <v>644</v>
      </c>
      <c r="B166" t="s">
        <v>397</v>
      </c>
      <c r="C166" t="s">
        <v>84</v>
      </c>
      <c r="D166" t="s">
        <v>51</v>
      </c>
      <c r="E166" t="s">
        <v>65</v>
      </c>
      <c r="F166">
        <v>13</v>
      </c>
      <c r="G166" t="s">
        <v>645</v>
      </c>
      <c r="H166">
        <v>1</v>
      </c>
      <c r="I166" t="s">
        <v>646</v>
      </c>
      <c r="J166">
        <v>15.79</v>
      </c>
      <c r="K166" t="s">
        <v>19</v>
      </c>
      <c r="L166" s="3">
        <v>45109</v>
      </c>
      <c r="M166" t="s">
        <v>48</v>
      </c>
      <c r="N166">
        <v>13</v>
      </c>
    </row>
    <row r="167" spans="1:14" x14ac:dyDescent="0.25">
      <c r="A167" t="s">
        <v>647</v>
      </c>
      <c r="B167" t="s">
        <v>102</v>
      </c>
      <c r="C167" s="1">
        <v>45523</v>
      </c>
      <c r="D167" t="s">
        <v>16</v>
      </c>
      <c r="E167" t="s">
        <v>65</v>
      </c>
      <c r="F167">
        <v>17</v>
      </c>
      <c r="G167" t="s">
        <v>648</v>
      </c>
      <c r="H167">
        <v>1</v>
      </c>
      <c r="I167">
        <v>9.32</v>
      </c>
      <c r="J167">
        <v>3.6</v>
      </c>
      <c r="K167" t="s">
        <v>41</v>
      </c>
      <c r="L167" s="3">
        <v>45523</v>
      </c>
      <c r="M167" t="s">
        <v>48</v>
      </c>
      <c r="N167">
        <v>17</v>
      </c>
    </row>
    <row r="168" spans="1:14" x14ac:dyDescent="0.25">
      <c r="A168" t="s">
        <v>649</v>
      </c>
      <c r="B168" t="s">
        <v>434</v>
      </c>
      <c r="C168" t="s">
        <v>650</v>
      </c>
      <c r="D168" t="s">
        <v>16</v>
      </c>
      <c r="E168" t="s">
        <v>48</v>
      </c>
      <c r="F168">
        <v>33</v>
      </c>
      <c r="G168" t="s">
        <v>651</v>
      </c>
      <c r="H168">
        <v>2</v>
      </c>
      <c r="I168">
        <v>29.15</v>
      </c>
      <c r="J168" t="s">
        <v>652</v>
      </c>
      <c r="K168" t="s">
        <v>41</v>
      </c>
      <c r="L168" s="3">
        <v>45006</v>
      </c>
      <c r="M168" t="s">
        <v>48</v>
      </c>
      <c r="N168">
        <v>33</v>
      </c>
    </row>
    <row r="169" spans="1:14" x14ac:dyDescent="0.25">
      <c r="A169" t="s">
        <v>653</v>
      </c>
      <c r="B169" t="s">
        <v>157</v>
      </c>
      <c r="C169" t="s">
        <v>654</v>
      </c>
      <c r="D169" t="s">
        <v>51</v>
      </c>
      <c r="E169" t="s">
        <v>48</v>
      </c>
      <c r="F169">
        <v>70</v>
      </c>
      <c r="G169" t="s">
        <v>655</v>
      </c>
      <c r="H169">
        <v>1</v>
      </c>
      <c r="I169">
        <v>34.590000000000003</v>
      </c>
      <c r="J169">
        <v>15.64</v>
      </c>
      <c r="K169" t="s">
        <v>19</v>
      </c>
      <c r="L169" s="3">
        <v>45545</v>
      </c>
      <c r="M169" t="s">
        <v>48</v>
      </c>
      <c r="N169">
        <v>70</v>
      </c>
    </row>
    <row r="170" spans="1:14" x14ac:dyDescent="0.25">
      <c r="A170" t="s">
        <v>656</v>
      </c>
      <c r="B170" t="s">
        <v>657</v>
      </c>
      <c r="C170" s="1">
        <v>45215</v>
      </c>
      <c r="D170" t="s">
        <v>16</v>
      </c>
      <c r="E170" t="s">
        <v>45</v>
      </c>
      <c r="F170">
        <v>66</v>
      </c>
      <c r="G170" t="s">
        <v>658</v>
      </c>
      <c r="H170">
        <v>2</v>
      </c>
      <c r="I170">
        <v>10.86</v>
      </c>
      <c r="J170" s="2">
        <v>4.8099999999999996</v>
      </c>
      <c r="K170" t="s">
        <v>41</v>
      </c>
      <c r="L170" s="3">
        <v>45215</v>
      </c>
      <c r="M170" t="s">
        <v>48</v>
      </c>
      <c r="N170">
        <v>66</v>
      </c>
    </row>
    <row r="171" spans="1:14" x14ac:dyDescent="0.25">
      <c r="A171" t="s">
        <v>659</v>
      </c>
      <c r="B171" t="s">
        <v>660</v>
      </c>
      <c r="C171" t="s">
        <v>661</v>
      </c>
      <c r="D171" t="s">
        <v>16</v>
      </c>
      <c r="E171" t="s">
        <v>85</v>
      </c>
      <c r="F171">
        <v>56</v>
      </c>
      <c r="G171" t="s">
        <v>662</v>
      </c>
      <c r="H171">
        <v>2</v>
      </c>
      <c r="I171" s="2">
        <v>30.39</v>
      </c>
      <c r="J171">
        <v>7.91</v>
      </c>
      <c r="K171" t="s">
        <v>19</v>
      </c>
      <c r="L171" s="3">
        <v>45649</v>
      </c>
      <c r="M171" t="s">
        <v>34</v>
      </c>
      <c r="N171">
        <v>56</v>
      </c>
    </row>
    <row r="172" spans="1:14" x14ac:dyDescent="0.25">
      <c r="A172" t="s">
        <v>663</v>
      </c>
      <c r="B172" t="s">
        <v>664</v>
      </c>
      <c r="C172" t="s">
        <v>665</v>
      </c>
      <c r="D172" t="s">
        <v>16</v>
      </c>
      <c r="E172" t="s">
        <v>60</v>
      </c>
      <c r="F172">
        <v>21</v>
      </c>
      <c r="G172" t="s">
        <v>666</v>
      </c>
      <c r="H172">
        <v>1</v>
      </c>
      <c r="I172" s="2">
        <v>21.57</v>
      </c>
      <c r="J172">
        <v>5.61</v>
      </c>
      <c r="K172" t="s">
        <v>19</v>
      </c>
      <c r="L172" s="3">
        <v>45259</v>
      </c>
      <c r="M172" t="s">
        <v>48</v>
      </c>
      <c r="N172">
        <v>21</v>
      </c>
    </row>
    <row r="173" spans="1:14" x14ac:dyDescent="0.25">
      <c r="A173" t="s">
        <v>667</v>
      </c>
      <c r="B173" t="s">
        <v>668</v>
      </c>
      <c r="C173" t="s">
        <v>669</v>
      </c>
      <c r="D173" t="s">
        <v>129</v>
      </c>
      <c r="E173" t="s">
        <v>38</v>
      </c>
      <c r="F173">
        <v>59</v>
      </c>
      <c r="G173" t="s">
        <v>670</v>
      </c>
      <c r="H173">
        <v>1</v>
      </c>
      <c r="I173">
        <v>15.18</v>
      </c>
      <c r="J173">
        <v>5.16</v>
      </c>
      <c r="K173" t="s">
        <v>19</v>
      </c>
      <c r="L173" s="3">
        <v>44982</v>
      </c>
      <c r="M173" t="s">
        <v>34</v>
      </c>
      <c r="N173">
        <v>59</v>
      </c>
    </row>
    <row r="174" spans="1:14" x14ac:dyDescent="0.25">
      <c r="A174" t="s">
        <v>671</v>
      </c>
      <c r="B174" t="s">
        <v>374</v>
      </c>
      <c r="C174" s="1">
        <v>45085</v>
      </c>
      <c r="D174" t="s">
        <v>30</v>
      </c>
      <c r="E174" t="s">
        <v>85</v>
      </c>
      <c r="F174">
        <v>61</v>
      </c>
      <c r="G174" t="s">
        <v>672</v>
      </c>
      <c r="H174">
        <v>1</v>
      </c>
      <c r="I174">
        <v>27.77</v>
      </c>
      <c r="J174">
        <v>9.39</v>
      </c>
      <c r="K174" t="s">
        <v>41</v>
      </c>
      <c r="L174" s="3">
        <v>45085</v>
      </c>
      <c r="M174" t="s">
        <v>34</v>
      </c>
      <c r="N174">
        <v>61</v>
      </c>
    </row>
    <row r="175" spans="1:14" x14ac:dyDescent="0.25">
      <c r="A175" t="s">
        <v>105</v>
      </c>
      <c r="B175" t="s">
        <v>106</v>
      </c>
      <c r="C175" t="s">
        <v>107</v>
      </c>
      <c r="D175" t="s">
        <v>51</v>
      </c>
      <c r="E175" t="s">
        <v>38</v>
      </c>
      <c r="F175">
        <v>21</v>
      </c>
      <c r="G175" t="s">
        <v>108</v>
      </c>
      <c r="H175">
        <v>2</v>
      </c>
      <c r="I175">
        <v>54.5</v>
      </c>
      <c r="J175">
        <v>28.76</v>
      </c>
      <c r="K175" t="s">
        <v>41</v>
      </c>
      <c r="L175" s="3">
        <v>45441</v>
      </c>
      <c r="M175" t="s">
        <v>34</v>
      </c>
      <c r="N175">
        <v>21</v>
      </c>
    </row>
    <row r="176" spans="1:14" x14ac:dyDescent="0.25">
      <c r="A176" t="s">
        <v>673</v>
      </c>
      <c r="B176" t="s">
        <v>461</v>
      </c>
      <c r="C176" s="3">
        <v>44985</v>
      </c>
      <c r="D176" t="s">
        <v>129</v>
      </c>
      <c r="E176" t="s">
        <v>31</v>
      </c>
      <c r="F176">
        <v>71</v>
      </c>
      <c r="G176" t="s">
        <v>674</v>
      </c>
      <c r="H176">
        <v>1</v>
      </c>
      <c r="I176">
        <v>9.1300000000000008</v>
      </c>
      <c r="J176">
        <v>3.76</v>
      </c>
      <c r="K176" t="s">
        <v>19</v>
      </c>
      <c r="L176" s="3">
        <v>44985</v>
      </c>
      <c r="M176" t="s">
        <v>34</v>
      </c>
      <c r="N176">
        <v>71</v>
      </c>
    </row>
    <row r="177" spans="1:14" x14ac:dyDescent="0.25">
      <c r="A177" t="s">
        <v>675</v>
      </c>
      <c r="B177" t="s">
        <v>676</v>
      </c>
      <c r="C177" t="s">
        <v>677</v>
      </c>
      <c r="D177" t="s">
        <v>51</v>
      </c>
      <c r="E177" t="s">
        <v>85</v>
      </c>
      <c r="F177">
        <v>65</v>
      </c>
      <c r="G177" t="s">
        <v>337</v>
      </c>
      <c r="H177">
        <v>1</v>
      </c>
      <c r="I177">
        <v>25.47</v>
      </c>
      <c r="J177">
        <v>12.82</v>
      </c>
      <c r="K177" t="s">
        <v>41</v>
      </c>
      <c r="L177" s="3">
        <v>45164</v>
      </c>
      <c r="M177" t="s">
        <v>34</v>
      </c>
      <c r="N177">
        <v>65</v>
      </c>
    </row>
    <row r="178" spans="1:14" x14ac:dyDescent="0.25">
      <c r="A178" t="s">
        <v>678</v>
      </c>
      <c r="B178" t="s">
        <v>679</v>
      </c>
      <c r="C178" s="1">
        <v>45392</v>
      </c>
      <c r="D178" t="s">
        <v>30</v>
      </c>
      <c r="E178" t="s">
        <v>65</v>
      </c>
      <c r="F178">
        <v>61</v>
      </c>
      <c r="G178" t="s">
        <v>680</v>
      </c>
      <c r="H178">
        <v>3</v>
      </c>
      <c r="I178">
        <v>46.58</v>
      </c>
      <c r="J178">
        <v>19.399999999999999</v>
      </c>
      <c r="K178" t="s">
        <v>41</v>
      </c>
      <c r="L178" s="3">
        <v>45392</v>
      </c>
      <c r="M178" t="s">
        <v>48</v>
      </c>
      <c r="N178">
        <v>61</v>
      </c>
    </row>
    <row r="179" spans="1:14" x14ac:dyDescent="0.25">
      <c r="A179" t="s">
        <v>681</v>
      </c>
      <c r="B179" t="s">
        <v>682</v>
      </c>
      <c r="C179" s="1">
        <v>45579</v>
      </c>
      <c r="D179" t="s">
        <v>30</v>
      </c>
      <c r="E179" t="s">
        <v>85</v>
      </c>
      <c r="F179">
        <v>67</v>
      </c>
      <c r="G179" t="s">
        <v>683</v>
      </c>
      <c r="H179">
        <v>1</v>
      </c>
      <c r="I179">
        <v>32.93</v>
      </c>
      <c r="J179">
        <v>17.39</v>
      </c>
      <c r="K179" t="s">
        <v>19</v>
      </c>
      <c r="L179" s="3">
        <v>45579</v>
      </c>
      <c r="M179" t="s">
        <v>34</v>
      </c>
      <c r="N179">
        <v>67</v>
      </c>
    </row>
    <row r="180" spans="1:14" x14ac:dyDescent="0.25">
      <c r="A180" t="s">
        <v>684</v>
      </c>
      <c r="B180" t="s">
        <v>685</v>
      </c>
      <c r="C180" s="1">
        <v>45633</v>
      </c>
      <c r="D180" t="s">
        <v>51</v>
      </c>
      <c r="E180" t="s">
        <v>34</v>
      </c>
      <c r="F180">
        <v>66</v>
      </c>
      <c r="G180" t="s">
        <v>686</v>
      </c>
      <c r="H180">
        <v>2</v>
      </c>
      <c r="I180" t="s">
        <v>687</v>
      </c>
      <c r="J180" t="s">
        <v>688</v>
      </c>
      <c r="K180" t="s">
        <v>19</v>
      </c>
      <c r="L180" s="3">
        <v>45633</v>
      </c>
      <c r="M180" t="s">
        <v>34</v>
      </c>
      <c r="N180">
        <v>66</v>
      </c>
    </row>
    <row r="181" spans="1:14" x14ac:dyDescent="0.25">
      <c r="A181" t="s">
        <v>689</v>
      </c>
      <c r="B181" t="s">
        <v>690</v>
      </c>
      <c r="C181" t="s">
        <v>691</v>
      </c>
      <c r="D181" t="s">
        <v>16</v>
      </c>
      <c r="E181" t="s">
        <v>132</v>
      </c>
      <c r="F181">
        <v>68</v>
      </c>
      <c r="G181" t="s">
        <v>692</v>
      </c>
      <c r="H181">
        <v>2</v>
      </c>
      <c r="I181">
        <v>20.11</v>
      </c>
      <c r="J181">
        <v>7.21</v>
      </c>
      <c r="K181" t="s">
        <v>19</v>
      </c>
      <c r="L181" s="3">
        <v>45172</v>
      </c>
      <c r="M181" t="s">
        <v>132</v>
      </c>
      <c r="N181">
        <v>68</v>
      </c>
    </row>
    <row r="182" spans="1:14" x14ac:dyDescent="0.25">
      <c r="A182" t="s">
        <v>693</v>
      </c>
      <c r="B182" t="s">
        <v>487</v>
      </c>
      <c r="C182" s="1">
        <v>45218</v>
      </c>
      <c r="D182" t="s">
        <v>129</v>
      </c>
      <c r="E182" t="s">
        <v>31</v>
      </c>
      <c r="F182">
        <v>20</v>
      </c>
      <c r="G182" t="s">
        <v>694</v>
      </c>
      <c r="H182">
        <v>2</v>
      </c>
      <c r="I182" t="s">
        <v>25</v>
      </c>
      <c r="J182">
        <v>4.29</v>
      </c>
      <c r="K182" t="s">
        <v>41</v>
      </c>
      <c r="L182" s="3">
        <v>45218</v>
      </c>
      <c r="M182" t="s">
        <v>34</v>
      </c>
      <c r="N182">
        <v>20</v>
      </c>
    </row>
    <row r="183" spans="1:14" x14ac:dyDescent="0.25">
      <c r="A183" t="s">
        <v>695</v>
      </c>
      <c r="B183" t="s">
        <v>696</v>
      </c>
      <c r="C183" t="s">
        <v>697</v>
      </c>
      <c r="D183" t="s">
        <v>30</v>
      </c>
      <c r="E183" t="s">
        <v>65</v>
      </c>
      <c r="F183">
        <v>28</v>
      </c>
      <c r="G183" t="s">
        <v>698</v>
      </c>
      <c r="H183">
        <v>2</v>
      </c>
      <c r="I183" s="2">
        <v>61.81</v>
      </c>
      <c r="J183" t="s">
        <v>699</v>
      </c>
      <c r="K183" t="s">
        <v>19</v>
      </c>
      <c r="L183" s="3">
        <v>45233</v>
      </c>
      <c r="M183" t="s">
        <v>48</v>
      </c>
      <c r="N183">
        <v>28</v>
      </c>
    </row>
    <row r="184" spans="1:14" x14ac:dyDescent="0.25">
      <c r="A184" t="s">
        <v>700</v>
      </c>
      <c r="B184" t="s">
        <v>668</v>
      </c>
      <c r="C184" t="s">
        <v>701</v>
      </c>
      <c r="D184" t="s">
        <v>16</v>
      </c>
      <c r="E184" t="s">
        <v>85</v>
      </c>
      <c r="F184">
        <v>32</v>
      </c>
      <c r="G184" t="s">
        <v>420</v>
      </c>
      <c r="H184">
        <v>1</v>
      </c>
      <c r="I184">
        <v>13.48</v>
      </c>
      <c r="J184">
        <v>4.38</v>
      </c>
      <c r="K184" t="s">
        <v>41</v>
      </c>
      <c r="L184" s="3">
        <v>45341</v>
      </c>
      <c r="M184" t="s">
        <v>34</v>
      </c>
      <c r="N184">
        <v>32</v>
      </c>
    </row>
    <row r="185" spans="1:14" x14ac:dyDescent="0.25">
      <c r="A185" t="s">
        <v>702</v>
      </c>
      <c r="B185" t="s">
        <v>330</v>
      </c>
      <c r="C185" s="1">
        <v>45275</v>
      </c>
      <c r="D185" t="s">
        <v>51</v>
      </c>
      <c r="E185" t="s">
        <v>65</v>
      </c>
      <c r="F185">
        <v>66</v>
      </c>
      <c r="G185" t="s">
        <v>703</v>
      </c>
      <c r="H185">
        <v>3</v>
      </c>
      <c r="I185" t="s">
        <v>704</v>
      </c>
      <c r="J185" t="s">
        <v>705</v>
      </c>
      <c r="K185" t="s">
        <v>19</v>
      </c>
      <c r="L185" s="3">
        <v>45275</v>
      </c>
      <c r="M185" t="s">
        <v>48</v>
      </c>
      <c r="N185">
        <v>66</v>
      </c>
    </row>
    <row r="186" spans="1:14" x14ac:dyDescent="0.25">
      <c r="A186" t="s">
        <v>706</v>
      </c>
      <c r="B186" t="s">
        <v>707</v>
      </c>
      <c r="C186" t="s">
        <v>708</v>
      </c>
      <c r="D186" t="s">
        <v>30</v>
      </c>
      <c r="E186" t="s">
        <v>45</v>
      </c>
      <c r="F186">
        <v>45</v>
      </c>
      <c r="G186" t="s">
        <v>709</v>
      </c>
      <c r="H186">
        <v>1</v>
      </c>
      <c r="I186">
        <v>20.43</v>
      </c>
      <c r="J186">
        <v>11.84</v>
      </c>
      <c r="K186" t="s">
        <v>19</v>
      </c>
      <c r="L186" s="3">
        <v>45128</v>
      </c>
      <c r="M186" t="s">
        <v>48</v>
      </c>
      <c r="N186">
        <v>45</v>
      </c>
    </row>
    <row r="187" spans="1:14" x14ac:dyDescent="0.25">
      <c r="A187" t="s">
        <v>710</v>
      </c>
      <c r="B187" t="s">
        <v>194</v>
      </c>
      <c r="C187" s="1">
        <v>45302</v>
      </c>
      <c r="D187" t="s">
        <v>129</v>
      </c>
      <c r="E187" t="s">
        <v>65</v>
      </c>
      <c r="F187">
        <v>70</v>
      </c>
      <c r="G187" t="s">
        <v>711</v>
      </c>
      <c r="H187">
        <v>2</v>
      </c>
      <c r="I187">
        <v>11.48</v>
      </c>
      <c r="J187" t="s">
        <v>712</v>
      </c>
      <c r="K187" t="s">
        <v>41</v>
      </c>
      <c r="L187" s="3">
        <v>45302</v>
      </c>
      <c r="M187" t="s">
        <v>48</v>
      </c>
      <c r="N187">
        <v>70</v>
      </c>
    </row>
    <row r="188" spans="1:14" x14ac:dyDescent="0.25">
      <c r="A188" t="s">
        <v>713</v>
      </c>
      <c r="B188" t="s">
        <v>551</v>
      </c>
      <c r="C188" s="3">
        <v>44965</v>
      </c>
      <c r="D188" t="s">
        <v>129</v>
      </c>
      <c r="F188">
        <v>53</v>
      </c>
      <c r="G188" t="s">
        <v>714</v>
      </c>
      <c r="H188">
        <v>1</v>
      </c>
      <c r="I188">
        <v>2.2200000000000002</v>
      </c>
      <c r="J188" t="s">
        <v>715</v>
      </c>
      <c r="K188" t="s">
        <v>19</v>
      </c>
      <c r="L188" s="3">
        <v>44965</v>
      </c>
      <c r="M188" t="s">
        <v>20</v>
      </c>
      <c r="N188">
        <v>53</v>
      </c>
    </row>
    <row r="189" spans="1:14" x14ac:dyDescent="0.25">
      <c r="A189" t="s">
        <v>716</v>
      </c>
      <c r="B189" t="s">
        <v>717</v>
      </c>
      <c r="C189" s="1">
        <v>45012</v>
      </c>
      <c r="D189" t="s">
        <v>30</v>
      </c>
      <c r="E189" t="s">
        <v>45</v>
      </c>
      <c r="F189">
        <v>32</v>
      </c>
      <c r="G189" t="s">
        <v>718</v>
      </c>
      <c r="H189">
        <v>1</v>
      </c>
      <c r="I189">
        <v>19.809999999999999</v>
      </c>
      <c r="J189" t="s">
        <v>719</v>
      </c>
      <c r="K189" t="s">
        <v>41</v>
      </c>
      <c r="L189" s="3">
        <v>45012</v>
      </c>
      <c r="M189" t="s">
        <v>48</v>
      </c>
      <c r="N189">
        <v>32</v>
      </c>
    </row>
    <row r="190" spans="1:14" x14ac:dyDescent="0.25">
      <c r="A190" t="s">
        <v>720</v>
      </c>
      <c r="B190" t="s">
        <v>121</v>
      </c>
      <c r="C190" t="s">
        <v>721</v>
      </c>
      <c r="D190" t="s">
        <v>129</v>
      </c>
      <c r="E190" t="s">
        <v>65</v>
      </c>
      <c r="F190">
        <v>46</v>
      </c>
      <c r="G190" t="s">
        <v>722</v>
      </c>
      <c r="H190">
        <v>1</v>
      </c>
      <c r="I190" t="s">
        <v>723</v>
      </c>
      <c r="J190">
        <v>3.17</v>
      </c>
      <c r="K190" t="s">
        <v>41</v>
      </c>
      <c r="L190" s="3">
        <v>45196</v>
      </c>
      <c r="M190" t="s">
        <v>48</v>
      </c>
      <c r="N190">
        <v>46</v>
      </c>
    </row>
    <row r="191" spans="1:14" x14ac:dyDescent="0.25">
      <c r="A191" t="s">
        <v>724</v>
      </c>
      <c r="B191" t="s">
        <v>725</v>
      </c>
      <c r="C191" t="s">
        <v>726</v>
      </c>
      <c r="D191" t="s">
        <v>24</v>
      </c>
      <c r="E191" t="s">
        <v>48</v>
      </c>
      <c r="F191">
        <v>71</v>
      </c>
      <c r="G191" t="s">
        <v>727</v>
      </c>
      <c r="H191">
        <v>3</v>
      </c>
      <c r="I191">
        <v>28.19</v>
      </c>
      <c r="J191" t="s">
        <v>728</v>
      </c>
      <c r="K191" t="s">
        <v>19</v>
      </c>
      <c r="L191" s="3">
        <v>45192</v>
      </c>
      <c r="M191" t="s">
        <v>48</v>
      </c>
      <c r="N191">
        <v>71</v>
      </c>
    </row>
    <row r="192" spans="1:14" x14ac:dyDescent="0.25">
      <c r="A192" t="s">
        <v>729</v>
      </c>
      <c r="B192" t="s">
        <v>276</v>
      </c>
      <c r="C192" t="s">
        <v>730</v>
      </c>
      <c r="D192" t="s">
        <v>129</v>
      </c>
      <c r="E192" t="s">
        <v>48</v>
      </c>
      <c r="F192">
        <v>66</v>
      </c>
      <c r="G192" t="s">
        <v>731</v>
      </c>
      <c r="H192">
        <v>1</v>
      </c>
      <c r="I192" s="2">
        <v>13.44</v>
      </c>
      <c r="J192" t="s">
        <v>732</v>
      </c>
      <c r="K192" t="s">
        <v>19</v>
      </c>
      <c r="L192" s="3">
        <v>45185</v>
      </c>
      <c r="M192" t="s">
        <v>48</v>
      </c>
      <c r="N192">
        <v>66</v>
      </c>
    </row>
    <row r="193" spans="1:14" x14ac:dyDescent="0.25">
      <c r="A193" t="s">
        <v>733</v>
      </c>
      <c r="B193" t="s">
        <v>322</v>
      </c>
      <c r="C193" t="s">
        <v>734</v>
      </c>
      <c r="D193" t="s">
        <v>30</v>
      </c>
      <c r="E193" t="s">
        <v>25</v>
      </c>
      <c r="F193">
        <v>17</v>
      </c>
      <c r="G193" t="s">
        <v>735</v>
      </c>
      <c r="H193">
        <v>1</v>
      </c>
      <c r="I193">
        <v>15.3</v>
      </c>
      <c r="J193">
        <v>7.34</v>
      </c>
      <c r="K193" t="s">
        <v>41</v>
      </c>
      <c r="L193" s="3">
        <v>45267</v>
      </c>
      <c r="M193" t="s">
        <v>20</v>
      </c>
      <c r="N193">
        <v>17</v>
      </c>
    </row>
    <row r="194" spans="1:14" x14ac:dyDescent="0.25">
      <c r="A194" t="s">
        <v>736</v>
      </c>
      <c r="B194" t="s">
        <v>43</v>
      </c>
      <c r="C194" s="3">
        <v>45069</v>
      </c>
      <c r="D194" t="s">
        <v>16</v>
      </c>
      <c r="E194" t="s">
        <v>34</v>
      </c>
      <c r="F194">
        <v>40</v>
      </c>
      <c r="G194" t="s">
        <v>737</v>
      </c>
      <c r="H194">
        <v>4</v>
      </c>
      <c r="I194" t="s">
        <v>738</v>
      </c>
      <c r="J194">
        <v>12.43</v>
      </c>
      <c r="K194" t="s">
        <v>41</v>
      </c>
      <c r="L194" s="3">
        <v>45069</v>
      </c>
      <c r="M194" t="s">
        <v>34</v>
      </c>
      <c r="N194">
        <v>40</v>
      </c>
    </row>
    <row r="195" spans="1:14" x14ac:dyDescent="0.25">
      <c r="A195" t="s">
        <v>739</v>
      </c>
      <c r="B195" t="s">
        <v>234</v>
      </c>
      <c r="C195" s="1">
        <v>45190</v>
      </c>
      <c r="D195" t="s">
        <v>24</v>
      </c>
      <c r="E195" t="s">
        <v>45</v>
      </c>
      <c r="F195">
        <v>70</v>
      </c>
      <c r="G195" t="s">
        <v>740</v>
      </c>
      <c r="H195">
        <v>2</v>
      </c>
      <c r="I195">
        <v>16.23</v>
      </c>
      <c r="J195">
        <v>3.68</v>
      </c>
      <c r="K195" t="s">
        <v>41</v>
      </c>
      <c r="L195" s="3">
        <v>45190</v>
      </c>
      <c r="M195" t="s">
        <v>48</v>
      </c>
      <c r="N195">
        <v>70</v>
      </c>
    </row>
    <row r="196" spans="1:14" x14ac:dyDescent="0.25">
      <c r="A196" t="s">
        <v>741</v>
      </c>
      <c r="B196" t="s">
        <v>742</v>
      </c>
      <c r="C196" t="s">
        <v>743</v>
      </c>
      <c r="D196" t="s">
        <v>16</v>
      </c>
      <c r="E196" t="s">
        <v>38</v>
      </c>
      <c r="F196">
        <v>56</v>
      </c>
      <c r="G196" t="s">
        <v>744</v>
      </c>
      <c r="H196">
        <v>1</v>
      </c>
      <c r="I196" t="s">
        <v>745</v>
      </c>
      <c r="J196" t="s">
        <v>746</v>
      </c>
      <c r="K196" t="s">
        <v>19</v>
      </c>
      <c r="L196" s="3">
        <v>45652</v>
      </c>
      <c r="M196" t="s">
        <v>34</v>
      </c>
      <c r="N196">
        <v>56</v>
      </c>
    </row>
    <row r="197" spans="1:14" x14ac:dyDescent="0.25">
      <c r="A197" t="s">
        <v>747</v>
      </c>
      <c r="B197" t="s">
        <v>310</v>
      </c>
      <c r="C197" t="s">
        <v>748</v>
      </c>
      <c r="D197" t="s">
        <v>16</v>
      </c>
      <c r="E197" t="s">
        <v>65</v>
      </c>
      <c r="F197">
        <v>50</v>
      </c>
      <c r="G197" t="s">
        <v>627</v>
      </c>
      <c r="H197">
        <v>2</v>
      </c>
      <c r="I197">
        <v>44.47</v>
      </c>
      <c r="J197">
        <v>19.21</v>
      </c>
      <c r="K197" t="s">
        <v>19</v>
      </c>
      <c r="L197" s="3">
        <v>45025</v>
      </c>
      <c r="M197" t="s">
        <v>48</v>
      </c>
      <c r="N197">
        <v>50</v>
      </c>
    </row>
    <row r="198" spans="1:14" x14ac:dyDescent="0.25">
      <c r="A198" t="s">
        <v>749</v>
      </c>
      <c r="B198" t="s">
        <v>594</v>
      </c>
      <c r="C198" t="s">
        <v>750</v>
      </c>
      <c r="D198" t="s">
        <v>24</v>
      </c>
      <c r="E198" t="s">
        <v>31</v>
      </c>
      <c r="F198">
        <v>20</v>
      </c>
      <c r="G198" t="s">
        <v>751</v>
      </c>
      <c r="H198">
        <v>1</v>
      </c>
      <c r="I198" s="2">
        <v>10.5</v>
      </c>
      <c r="J198">
        <v>5.61</v>
      </c>
      <c r="K198" t="s">
        <v>19</v>
      </c>
      <c r="L198" s="3">
        <v>45482</v>
      </c>
      <c r="M198" t="s">
        <v>34</v>
      </c>
      <c r="N198">
        <v>20</v>
      </c>
    </row>
    <row r="199" spans="1:14" x14ac:dyDescent="0.25">
      <c r="A199" t="s">
        <v>752</v>
      </c>
      <c r="B199" t="s">
        <v>370</v>
      </c>
      <c r="C199" t="s">
        <v>753</v>
      </c>
      <c r="D199" t="s">
        <v>24</v>
      </c>
      <c r="E199" t="s">
        <v>31</v>
      </c>
      <c r="F199">
        <v>43</v>
      </c>
      <c r="G199" t="s">
        <v>754</v>
      </c>
      <c r="H199">
        <v>1</v>
      </c>
      <c r="I199" s="2">
        <v>15.26</v>
      </c>
      <c r="J199">
        <v>6.54</v>
      </c>
      <c r="K199" t="s">
        <v>41</v>
      </c>
      <c r="L199" s="3">
        <v>45024</v>
      </c>
      <c r="M199" t="s">
        <v>34</v>
      </c>
      <c r="N199">
        <v>43</v>
      </c>
    </row>
    <row r="200" spans="1:14" x14ac:dyDescent="0.25">
      <c r="A200" t="s">
        <v>755</v>
      </c>
      <c r="B200" t="s">
        <v>756</v>
      </c>
      <c r="C200" s="1">
        <v>45518</v>
      </c>
      <c r="D200" t="s">
        <v>129</v>
      </c>
      <c r="E200" t="s">
        <v>65</v>
      </c>
      <c r="F200">
        <v>27</v>
      </c>
      <c r="G200" t="s">
        <v>424</v>
      </c>
      <c r="H200">
        <v>3</v>
      </c>
      <c r="I200">
        <v>58.12</v>
      </c>
      <c r="J200">
        <v>20.5</v>
      </c>
      <c r="K200" t="s">
        <v>41</v>
      </c>
      <c r="L200" s="3">
        <v>45518</v>
      </c>
      <c r="M200" t="s">
        <v>48</v>
      </c>
      <c r="N200">
        <v>27</v>
      </c>
    </row>
    <row r="201" spans="1:14" x14ac:dyDescent="0.25">
      <c r="A201" t="s">
        <v>757</v>
      </c>
      <c r="B201" t="s">
        <v>637</v>
      </c>
      <c r="C201" s="1">
        <v>44940</v>
      </c>
      <c r="D201" t="s">
        <v>24</v>
      </c>
      <c r="E201" t="s">
        <v>31</v>
      </c>
      <c r="F201" t="s">
        <v>25</v>
      </c>
      <c r="G201" t="s">
        <v>758</v>
      </c>
      <c r="H201">
        <v>1</v>
      </c>
      <c r="I201">
        <v>22.63</v>
      </c>
      <c r="J201">
        <v>6.97</v>
      </c>
      <c r="K201" t="s">
        <v>41</v>
      </c>
      <c r="L201" s="3">
        <v>44940</v>
      </c>
      <c r="M201" t="s">
        <v>34</v>
      </c>
    </row>
    <row r="202" spans="1:14" x14ac:dyDescent="0.25">
      <c r="A202" t="s">
        <v>759</v>
      </c>
      <c r="B202" t="s">
        <v>102</v>
      </c>
      <c r="C202" t="s">
        <v>760</v>
      </c>
      <c r="D202" t="s">
        <v>51</v>
      </c>
      <c r="E202" t="s">
        <v>38</v>
      </c>
      <c r="F202">
        <v>37</v>
      </c>
      <c r="G202" t="s">
        <v>216</v>
      </c>
      <c r="H202">
        <v>4</v>
      </c>
      <c r="I202" t="s">
        <v>761</v>
      </c>
      <c r="J202">
        <v>26.87</v>
      </c>
      <c r="K202" t="s">
        <v>41</v>
      </c>
      <c r="L202" s="3">
        <v>45182</v>
      </c>
      <c r="M202" t="s">
        <v>34</v>
      </c>
      <c r="N202">
        <v>37</v>
      </c>
    </row>
    <row r="203" spans="1:14" x14ac:dyDescent="0.25">
      <c r="A203" t="s">
        <v>762</v>
      </c>
      <c r="B203" t="s">
        <v>763</v>
      </c>
      <c r="C203" t="s">
        <v>764</v>
      </c>
      <c r="D203" t="s">
        <v>24</v>
      </c>
      <c r="E203" t="s">
        <v>38</v>
      </c>
      <c r="F203">
        <v>22</v>
      </c>
      <c r="G203" t="s">
        <v>765</v>
      </c>
      <c r="H203">
        <v>1</v>
      </c>
      <c r="I203" s="2">
        <v>21.87</v>
      </c>
      <c r="J203">
        <v>9.59</v>
      </c>
      <c r="K203" t="s">
        <v>19</v>
      </c>
      <c r="L203" s="3">
        <v>45205</v>
      </c>
      <c r="M203" t="s">
        <v>34</v>
      </c>
      <c r="N203">
        <v>22</v>
      </c>
    </row>
    <row r="204" spans="1:14" x14ac:dyDescent="0.25">
      <c r="A204" t="s">
        <v>766</v>
      </c>
      <c r="B204" t="s">
        <v>73</v>
      </c>
      <c r="C204" t="s">
        <v>177</v>
      </c>
      <c r="D204" t="s">
        <v>16</v>
      </c>
      <c r="E204" t="s">
        <v>70</v>
      </c>
      <c r="F204" t="s">
        <v>25</v>
      </c>
      <c r="G204" t="s">
        <v>767</v>
      </c>
      <c r="H204">
        <v>3</v>
      </c>
      <c r="I204" s="2">
        <v>109.58</v>
      </c>
      <c r="J204">
        <v>56.94</v>
      </c>
      <c r="K204" t="s">
        <v>41</v>
      </c>
      <c r="L204" s="3">
        <v>45235</v>
      </c>
      <c r="M204" t="s">
        <v>20</v>
      </c>
    </row>
    <row r="205" spans="1:14" x14ac:dyDescent="0.25">
      <c r="A205" t="s">
        <v>768</v>
      </c>
      <c r="B205" t="s">
        <v>622</v>
      </c>
      <c r="C205" t="s">
        <v>769</v>
      </c>
      <c r="D205" t="s">
        <v>24</v>
      </c>
      <c r="E205" t="s">
        <v>65</v>
      </c>
      <c r="F205">
        <v>50</v>
      </c>
      <c r="G205" t="s">
        <v>770</v>
      </c>
      <c r="H205">
        <v>1</v>
      </c>
      <c r="I205">
        <v>14.9</v>
      </c>
      <c r="J205">
        <v>7.77</v>
      </c>
      <c r="K205" t="s">
        <v>41</v>
      </c>
      <c r="L205" s="3">
        <v>45544</v>
      </c>
      <c r="M205" t="s">
        <v>48</v>
      </c>
      <c r="N205">
        <v>50</v>
      </c>
    </row>
    <row r="206" spans="1:14" x14ac:dyDescent="0.25">
      <c r="A206" t="s">
        <v>771</v>
      </c>
      <c r="B206" t="s">
        <v>772</v>
      </c>
      <c r="C206" s="1">
        <v>45376</v>
      </c>
      <c r="D206" t="s">
        <v>24</v>
      </c>
      <c r="E206" t="s">
        <v>85</v>
      </c>
      <c r="F206">
        <v>63</v>
      </c>
      <c r="G206" t="s">
        <v>773</v>
      </c>
      <c r="H206">
        <v>1</v>
      </c>
      <c r="I206" t="s">
        <v>774</v>
      </c>
      <c r="J206">
        <v>3.16</v>
      </c>
      <c r="K206" t="s">
        <v>41</v>
      </c>
      <c r="L206" s="3">
        <v>45376</v>
      </c>
      <c r="M206" t="s">
        <v>34</v>
      </c>
      <c r="N206">
        <v>63</v>
      </c>
    </row>
    <row r="207" spans="1:14" x14ac:dyDescent="0.25">
      <c r="A207" t="s">
        <v>775</v>
      </c>
      <c r="B207" t="s">
        <v>776</v>
      </c>
      <c r="C207" t="s">
        <v>777</v>
      </c>
      <c r="D207" t="s">
        <v>16</v>
      </c>
      <c r="E207" t="s">
        <v>31</v>
      </c>
      <c r="F207">
        <v>31</v>
      </c>
      <c r="G207" t="s">
        <v>778</v>
      </c>
      <c r="H207">
        <v>2</v>
      </c>
      <c r="I207" s="2">
        <v>52.23</v>
      </c>
      <c r="J207">
        <v>17.18</v>
      </c>
      <c r="K207" t="s">
        <v>19</v>
      </c>
      <c r="L207" s="3">
        <v>45425</v>
      </c>
      <c r="M207" t="s">
        <v>34</v>
      </c>
      <c r="N207">
        <v>31</v>
      </c>
    </row>
    <row r="208" spans="1:14" x14ac:dyDescent="0.25">
      <c r="A208" t="s">
        <v>779</v>
      </c>
      <c r="B208" t="s">
        <v>780</v>
      </c>
      <c r="C208" t="s">
        <v>781</v>
      </c>
      <c r="D208" t="s">
        <v>16</v>
      </c>
      <c r="E208" t="s">
        <v>60</v>
      </c>
      <c r="F208">
        <v>74</v>
      </c>
      <c r="G208" t="s">
        <v>100</v>
      </c>
      <c r="H208">
        <v>1</v>
      </c>
      <c r="I208">
        <v>18.12</v>
      </c>
      <c r="J208">
        <v>9.09</v>
      </c>
      <c r="K208" t="s">
        <v>19</v>
      </c>
      <c r="L208" s="3">
        <v>45138</v>
      </c>
      <c r="M208" t="s">
        <v>48</v>
      </c>
      <c r="N208">
        <v>74</v>
      </c>
    </row>
    <row r="209" spans="1:14" x14ac:dyDescent="0.25">
      <c r="A209" t="s">
        <v>782</v>
      </c>
      <c r="B209" t="s">
        <v>783</v>
      </c>
      <c r="C209" t="s">
        <v>784</v>
      </c>
      <c r="D209" t="s">
        <v>24</v>
      </c>
      <c r="E209" t="s">
        <v>60</v>
      </c>
      <c r="F209">
        <v>70</v>
      </c>
      <c r="G209" t="s">
        <v>785</v>
      </c>
      <c r="H209">
        <v>1</v>
      </c>
      <c r="I209">
        <v>16.64</v>
      </c>
      <c r="J209">
        <v>8.65</v>
      </c>
      <c r="K209" t="s">
        <v>19</v>
      </c>
      <c r="L209" s="3">
        <v>45156</v>
      </c>
      <c r="M209" t="s">
        <v>48</v>
      </c>
      <c r="N209">
        <v>70</v>
      </c>
    </row>
    <row r="210" spans="1:14" x14ac:dyDescent="0.25">
      <c r="A210" t="s">
        <v>786</v>
      </c>
      <c r="B210" t="s">
        <v>787</v>
      </c>
      <c r="C210" t="s">
        <v>788</v>
      </c>
      <c r="D210" t="s">
        <v>30</v>
      </c>
      <c r="E210" t="s">
        <v>85</v>
      </c>
      <c r="F210">
        <v>14</v>
      </c>
      <c r="G210" t="s">
        <v>789</v>
      </c>
      <c r="H210">
        <v>2</v>
      </c>
      <c r="I210" s="2">
        <v>57.34</v>
      </c>
      <c r="J210" t="s">
        <v>790</v>
      </c>
      <c r="K210" t="s">
        <v>19</v>
      </c>
      <c r="L210" s="3">
        <v>44969</v>
      </c>
      <c r="M210" t="s">
        <v>34</v>
      </c>
      <c r="N210">
        <v>14</v>
      </c>
    </row>
    <row r="211" spans="1:14" x14ac:dyDescent="0.25">
      <c r="A211" t="s">
        <v>791</v>
      </c>
      <c r="B211" t="s">
        <v>792</v>
      </c>
      <c r="C211" t="s">
        <v>793</v>
      </c>
      <c r="D211" t="s">
        <v>129</v>
      </c>
      <c r="E211" t="s">
        <v>65</v>
      </c>
      <c r="F211">
        <v>65</v>
      </c>
      <c r="G211" t="s">
        <v>595</v>
      </c>
      <c r="H211">
        <v>1</v>
      </c>
      <c r="I211" s="2">
        <v>17.739999999999998</v>
      </c>
      <c r="J211">
        <v>4.43</v>
      </c>
      <c r="K211" t="s">
        <v>41</v>
      </c>
      <c r="L211" s="3">
        <v>45426</v>
      </c>
      <c r="M211" t="s">
        <v>48</v>
      </c>
      <c r="N211">
        <v>65</v>
      </c>
    </row>
    <row r="212" spans="1:14" x14ac:dyDescent="0.25">
      <c r="A212" t="s">
        <v>794</v>
      </c>
      <c r="B212" t="s">
        <v>795</v>
      </c>
      <c r="C212" s="1">
        <v>45018</v>
      </c>
      <c r="D212" t="s">
        <v>51</v>
      </c>
      <c r="E212" t="s">
        <v>25</v>
      </c>
      <c r="F212">
        <v>35</v>
      </c>
      <c r="G212" t="s">
        <v>796</v>
      </c>
      <c r="H212">
        <v>3</v>
      </c>
      <c r="I212">
        <v>104.84</v>
      </c>
      <c r="J212" t="s">
        <v>797</v>
      </c>
      <c r="K212" t="s">
        <v>41</v>
      </c>
      <c r="L212" s="3">
        <v>45018</v>
      </c>
      <c r="M212" t="s">
        <v>20</v>
      </c>
      <c r="N212">
        <v>35</v>
      </c>
    </row>
    <row r="213" spans="1:14" x14ac:dyDescent="0.25">
      <c r="A213" t="s">
        <v>798</v>
      </c>
      <c r="B213" t="s">
        <v>411</v>
      </c>
      <c r="C213" t="s">
        <v>799</v>
      </c>
      <c r="D213" t="s">
        <v>51</v>
      </c>
      <c r="E213" t="s">
        <v>45</v>
      </c>
      <c r="F213">
        <v>69</v>
      </c>
      <c r="G213" t="s">
        <v>800</v>
      </c>
      <c r="H213">
        <v>4</v>
      </c>
      <c r="I213" t="s">
        <v>801</v>
      </c>
      <c r="J213">
        <v>51.53</v>
      </c>
      <c r="K213" t="s">
        <v>19</v>
      </c>
      <c r="L213" s="3">
        <v>45450</v>
      </c>
      <c r="M213" t="s">
        <v>48</v>
      </c>
      <c r="N213">
        <v>69</v>
      </c>
    </row>
    <row r="214" spans="1:14" x14ac:dyDescent="0.25">
      <c r="A214" t="s">
        <v>802</v>
      </c>
      <c r="B214" t="s">
        <v>803</v>
      </c>
      <c r="C214" t="s">
        <v>804</v>
      </c>
      <c r="D214" t="s">
        <v>129</v>
      </c>
      <c r="E214" t="s">
        <v>31</v>
      </c>
      <c r="F214">
        <v>62</v>
      </c>
      <c r="G214" t="s">
        <v>805</v>
      </c>
      <c r="H214">
        <v>1</v>
      </c>
      <c r="I214">
        <v>7.62</v>
      </c>
      <c r="J214" t="s">
        <v>806</v>
      </c>
      <c r="K214" t="s">
        <v>19</v>
      </c>
      <c r="L214" s="3">
        <v>45524</v>
      </c>
      <c r="M214" t="s">
        <v>34</v>
      </c>
      <c r="N214">
        <v>62</v>
      </c>
    </row>
    <row r="215" spans="1:14" x14ac:dyDescent="0.25">
      <c r="A215" t="s">
        <v>807</v>
      </c>
      <c r="B215" t="s">
        <v>808</v>
      </c>
      <c r="C215" t="s">
        <v>809</v>
      </c>
      <c r="D215" t="s">
        <v>24</v>
      </c>
      <c r="E215" t="s">
        <v>70</v>
      </c>
      <c r="F215">
        <v>70</v>
      </c>
      <c r="G215" t="s">
        <v>810</v>
      </c>
      <c r="H215">
        <v>1</v>
      </c>
      <c r="I215">
        <v>23.7</v>
      </c>
      <c r="J215" t="s">
        <v>811</v>
      </c>
      <c r="K215" t="s">
        <v>41</v>
      </c>
      <c r="L215" s="3">
        <v>45009</v>
      </c>
      <c r="M215" t="s">
        <v>20</v>
      </c>
      <c r="N215">
        <v>70</v>
      </c>
    </row>
    <row r="216" spans="1:14" x14ac:dyDescent="0.25">
      <c r="A216" t="s">
        <v>812</v>
      </c>
      <c r="B216" t="s">
        <v>813</v>
      </c>
      <c r="C216" t="s">
        <v>814</v>
      </c>
      <c r="D216" t="s">
        <v>51</v>
      </c>
      <c r="E216" t="s">
        <v>31</v>
      </c>
      <c r="F216">
        <v>17</v>
      </c>
      <c r="G216" t="s">
        <v>290</v>
      </c>
      <c r="H216">
        <v>1</v>
      </c>
      <c r="I216">
        <v>54.64</v>
      </c>
      <c r="J216">
        <v>23.3</v>
      </c>
      <c r="K216" t="s">
        <v>41</v>
      </c>
      <c r="L216" s="3">
        <v>45468</v>
      </c>
      <c r="M216" t="s">
        <v>34</v>
      </c>
      <c r="N216">
        <v>17</v>
      </c>
    </row>
    <row r="217" spans="1:14" x14ac:dyDescent="0.25">
      <c r="A217" t="s">
        <v>815</v>
      </c>
      <c r="B217" t="s">
        <v>816</v>
      </c>
      <c r="C217" t="s">
        <v>522</v>
      </c>
      <c r="D217" t="s">
        <v>16</v>
      </c>
      <c r="E217" t="s">
        <v>38</v>
      </c>
      <c r="F217">
        <v>51</v>
      </c>
      <c r="G217" t="s">
        <v>817</v>
      </c>
      <c r="H217">
        <v>1</v>
      </c>
      <c r="I217" s="2">
        <v>17.28</v>
      </c>
      <c r="J217">
        <v>7.53</v>
      </c>
      <c r="K217" t="s">
        <v>19</v>
      </c>
      <c r="L217" s="3">
        <v>45212</v>
      </c>
      <c r="M217" t="s">
        <v>34</v>
      </c>
      <c r="N217">
        <v>51</v>
      </c>
    </row>
    <row r="218" spans="1:14" x14ac:dyDescent="0.25">
      <c r="A218" t="s">
        <v>818</v>
      </c>
      <c r="B218" t="s">
        <v>819</v>
      </c>
      <c r="C218" t="s">
        <v>820</v>
      </c>
      <c r="D218" t="s">
        <v>24</v>
      </c>
      <c r="F218">
        <v>59</v>
      </c>
      <c r="G218" t="s">
        <v>572</v>
      </c>
      <c r="H218">
        <v>1</v>
      </c>
      <c r="I218" s="2">
        <v>36.65</v>
      </c>
      <c r="J218">
        <v>17.63</v>
      </c>
      <c r="K218" t="s">
        <v>19</v>
      </c>
      <c r="L218" s="3">
        <v>45649</v>
      </c>
      <c r="M218" t="s">
        <v>20</v>
      </c>
      <c r="N218">
        <v>59</v>
      </c>
    </row>
    <row r="219" spans="1:14" x14ac:dyDescent="0.25">
      <c r="A219" t="s">
        <v>821</v>
      </c>
      <c r="B219" t="s">
        <v>198</v>
      </c>
      <c r="C219" t="s">
        <v>822</v>
      </c>
      <c r="D219" t="s">
        <v>30</v>
      </c>
      <c r="E219" t="s">
        <v>38</v>
      </c>
      <c r="F219">
        <v>30</v>
      </c>
      <c r="G219" t="s">
        <v>754</v>
      </c>
      <c r="H219">
        <v>1</v>
      </c>
      <c r="I219">
        <v>19.29</v>
      </c>
      <c r="J219">
        <v>8.33</v>
      </c>
      <c r="K219" t="s">
        <v>41</v>
      </c>
      <c r="L219" s="3">
        <v>45638</v>
      </c>
      <c r="M219" t="s">
        <v>34</v>
      </c>
      <c r="N219">
        <v>30</v>
      </c>
    </row>
    <row r="220" spans="1:14" x14ac:dyDescent="0.25">
      <c r="A220" t="s">
        <v>823</v>
      </c>
      <c r="B220" t="s">
        <v>461</v>
      </c>
      <c r="C220" s="1">
        <v>45448</v>
      </c>
      <c r="D220" t="s">
        <v>51</v>
      </c>
      <c r="F220">
        <v>38</v>
      </c>
      <c r="G220" t="s">
        <v>824</v>
      </c>
      <c r="H220">
        <v>3</v>
      </c>
      <c r="I220">
        <v>186.48</v>
      </c>
      <c r="J220">
        <v>70.08</v>
      </c>
      <c r="K220" t="s">
        <v>41</v>
      </c>
      <c r="L220" s="3">
        <v>45448</v>
      </c>
      <c r="M220" t="s">
        <v>20</v>
      </c>
      <c r="N220">
        <v>38</v>
      </c>
    </row>
    <row r="221" spans="1:14" x14ac:dyDescent="0.25">
      <c r="A221" t="s">
        <v>825</v>
      </c>
      <c r="B221" t="s">
        <v>426</v>
      </c>
      <c r="C221" s="3">
        <v>44946</v>
      </c>
      <c r="D221" t="s">
        <v>129</v>
      </c>
      <c r="E221" t="s">
        <v>85</v>
      </c>
      <c r="F221">
        <v>15</v>
      </c>
      <c r="G221" t="s">
        <v>826</v>
      </c>
      <c r="H221">
        <v>1</v>
      </c>
      <c r="I221" s="2">
        <v>11.78</v>
      </c>
      <c r="J221">
        <v>3.28</v>
      </c>
      <c r="K221" t="s">
        <v>41</v>
      </c>
      <c r="L221" s="3">
        <v>44946</v>
      </c>
      <c r="M221" t="s">
        <v>34</v>
      </c>
      <c r="N221">
        <v>15</v>
      </c>
    </row>
    <row r="222" spans="1:14" x14ac:dyDescent="0.25">
      <c r="A222" t="s">
        <v>827</v>
      </c>
      <c r="B222" t="s">
        <v>510</v>
      </c>
      <c r="C222" s="1">
        <v>45649</v>
      </c>
      <c r="D222" t="s">
        <v>24</v>
      </c>
      <c r="E222" t="s">
        <v>48</v>
      </c>
      <c r="F222">
        <v>24</v>
      </c>
      <c r="G222" t="s">
        <v>828</v>
      </c>
      <c r="H222">
        <v>1</v>
      </c>
      <c r="I222" s="2">
        <v>32.99</v>
      </c>
      <c r="J222">
        <v>10.119999999999999</v>
      </c>
      <c r="K222" t="s">
        <v>19</v>
      </c>
      <c r="L222" s="3">
        <v>45649</v>
      </c>
      <c r="M222" t="s">
        <v>48</v>
      </c>
      <c r="N222">
        <v>24</v>
      </c>
    </row>
    <row r="223" spans="1:14" x14ac:dyDescent="0.25">
      <c r="A223" t="s">
        <v>829</v>
      </c>
      <c r="B223" t="s">
        <v>370</v>
      </c>
      <c r="C223" t="s">
        <v>830</v>
      </c>
      <c r="D223" t="s">
        <v>51</v>
      </c>
      <c r="E223" t="s">
        <v>48</v>
      </c>
      <c r="F223">
        <v>60</v>
      </c>
      <c r="G223" t="s">
        <v>831</v>
      </c>
      <c r="H223">
        <v>1</v>
      </c>
      <c r="I223">
        <v>37</v>
      </c>
      <c r="J223" t="s">
        <v>832</v>
      </c>
      <c r="K223" t="s">
        <v>41</v>
      </c>
      <c r="L223" s="3">
        <v>45330</v>
      </c>
      <c r="M223" t="s">
        <v>48</v>
      </c>
      <c r="N223">
        <v>60</v>
      </c>
    </row>
    <row r="224" spans="1:14" x14ac:dyDescent="0.25">
      <c r="A224" t="s">
        <v>833</v>
      </c>
      <c r="B224" t="s">
        <v>834</v>
      </c>
      <c r="C224" s="3">
        <v>45480</v>
      </c>
      <c r="D224" t="s">
        <v>24</v>
      </c>
      <c r="E224" t="s">
        <v>34</v>
      </c>
      <c r="F224">
        <v>71</v>
      </c>
      <c r="G224" t="s">
        <v>137</v>
      </c>
      <c r="H224">
        <v>2</v>
      </c>
      <c r="I224">
        <v>40.4</v>
      </c>
      <c r="J224" t="s">
        <v>835</v>
      </c>
      <c r="K224" t="s">
        <v>41</v>
      </c>
      <c r="L224" s="3">
        <v>45480</v>
      </c>
      <c r="M224" t="s">
        <v>34</v>
      </c>
      <c r="N224">
        <v>71</v>
      </c>
    </row>
    <row r="225" spans="1:14" x14ac:dyDescent="0.25">
      <c r="A225" t="s">
        <v>836</v>
      </c>
      <c r="B225" t="s">
        <v>837</v>
      </c>
      <c r="C225" s="1">
        <v>45120</v>
      </c>
      <c r="D225" t="s">
        <v>16</v>
      </c>
      <c r="E225" t="s">
        <v>45</v>
      </c>
      <c r="F225">
        <v>67</v>
      </c>
      <c r="G225" t="s">
        <v>838</v>
      </c>
      <c r="H225">
        <v>1</v>
      </c>
      <c r="I225" s="2">
        <v>17.18</v>
      </c>
      <c r="J225">
        <v>7.62</v>
      </c>
      <c r="K225" t="s">
        <v>41</v>
      </c>
      <c r="L225" s="3">
        <v>45120</v>
      </c>
      <c r="M225" t="s">
        <v>48</v>
      </c>
      <c r="N225">
        <v>67</v>
      </c>
    </row>
    <row r="226" spans="1:14" x14ac:dyDescent="0.25">
      <c r="A226" t="s">
        <v>839</v>
      </c>
      <c r="B226" t="s">
        <v>840</v>
      </c>
      <c r="C226" t="s">
        <v>841</v>
      </c>
      <c r="D226" t="s">
        <v>51</v>
      </c>
      <c r="E226" t="s">
        <v>85</v>
      </c>
      <c r="F226">
        <v>40</v>
      </c>
      <c r="G226" t="s">
        <v>842</v>
      </c>
      <c r="H226">
        <v>4</v>
      </c>
      <c r="I226" s="2">
        <v>50.59</v>
      </c>
      <c r="J226">
        <v>21.25</v>
      </c>
      <c r="K226" t="s">
        <v>41</v>
      </c>
      <c r="L226" s="3">
        <v>45245</v>
      </c>
      <c r="M226" t="s">
        <v>34</v>
      </c>
      <c r="N226">
        <v>40</v>
      </c>
    </row>
    <row r="227" spans="1:14" x14ac:dyDescent="0.25">
      <c r="A227" t="s">
        <v>843</v>
      </c>
      <c r="B227" t="s">
        <v>28</v>
      </c>
      <c r="C227" t="s">
        <v>844</v>
      </c>
      <c r="D227" t="s">
        <v>30</v>
      </c>
      <c r="E227" t="s">
        <v>34</v>
      </c>
      <c r="F227">
        <v>74</v>
      </c>
      <c r="G227" t="s">
        <v>845</v>
      </c>
      <c r="H227">
        <v>1</v>
      </c>
      <c r="I227">
        <v>10.55</v>
      </c>
      <c r="J227" t="s">
        <v>846</v>
      </c>
      <c r="K227" t="s">
        <v>41</v>
      </c>
      <c r="L227" s="3">
        <v>45242</v>
      </c>
      <c r="M227" t="s">
        <v>34</v>
      </c>
      <c r="N227">
        <v>74</v>
      </c>
    </row>
    <row r="228" spans="1:14" x14ac:dyDescent="0.25">
      <c r="A228" t="s">
        <v>847</v>
      </c>
      <c r="B228" t="s">
        <v>848</v>
      </c>
      <c r="C228" t="s">
        <v>849</v>
      </c>
      <c r="D228" t="s">
        <v>30</v>
      </c>
      <c r="E228" t="s">
        <v>85</v>
      </c>
      <c r="F228">
        <v>31</v>
      </c>
      <c r="G228" t="s">
        <v>711</v>
      </c>
      <c r="H228">
        <v>3</v>
      </c>
      <c r="I228">
        <v>94.09</v>
      </c>
      <c r="J228">
        <v>34.67</v>
      </c>
      <c r="K228" t="s">
        <v>41</v>
      </c>
      <c r="L228" s="3">
        <v>45545</v>
      </c>
      <c r="M228" t="s">
        <v>34</v>
      </c>
      <c r="N228">
        <v>31</v>
      </c>
    </row>
    <row r="229" spans="1:14" x14ac:dyDescent="0.25">
      <c r="A229" t="s">
        <v>850</v>
      </c>
      <c r="B229" t="s">
        <v>566</v>
      </c>
      <c r="C229" t="s">
        <v>851</v>
      </c>
      <c r="D229" t="s">
        <v>51</v>
      </c>
      <c r="E229" t="s">
        <v>70</v>
      </c>
      <c r="F229">
        <v>24</v>
      </c>
      <c r="G229" t="s">
        <v>852</v>
      </c>
      <c r="H229">
        <v>1</v>
      </c>
      <c r="I229">
        <v>12.84</v>
      </c>
      <c r="J229">
        <v>6.5</v>
      </c>
      <c r="K229" t="s">
        <v>41</v>
      </c>
      <c r="L229" s="3">
        <v>45186</v>
      </c>
      <c r="M229" t="s">
        <v>20</v>
      </c>
      <c r="N229">
        <v>24</v>
      </c>
    </row>
    <row r="230" spans="1:14" x14ac:dyDescent="0.25">
      <c r="A230" t="s">
        <v>853</v>
      </c>
      <c r="B230" t="s">
        <v>854</v>
      </c>
      <c r="C230" s="1">
        <v>45300</v>
      </c>
      <c r="D230" t="s">
        <v>30</v>
      </c>
      <c r="E230" t="s">
        <v>85</v>
      </c>
      <c r="F230">
        <v>63</v>
      </c>
      <c r="G230" t="s">
        <v>855</v>
      </c>
      <c r="H230">
        <v>1</v>
      </c>
      <c r="I230" t="s">
        <v>856</v>
      </c>
      <c r="J230">
        <v>5.84</v>
      </c>
      <c r="K230" t="s">
        <v>41</v>
      </c>
      <c r="L230" s="3">
        <v>45300</v>
      </c>
      <c r="M230" t="s">
        <v>34</v>
      </c>
      <c r="N230">
        <v>63</v>
      </c>
    </row>
    <row r="231" spans="1:14" x14ac:dyDescent="0.25">
      <c r="A231" t="s">
        <v>857</v>
      </c>
      <c r="B231" t="s">
        <v>503</v>
      </c>
      <c r="C231" s="1">
        <v>45400</v>
      </c>
      <c r="D231" t="s">
        <v>51</v>
      </c>
      <c r="E231" t="s">
        <v>45</v>
      </c>
      <c r="F231" t="s">
        <v>435</v>
      </c>
      <c r="G231" t="s">
        <v>722</v>
      </c>
      <c r="H231">
        <v>2</v>
      </c>
      <c r="I231">
        <v>70.75</v>
      </c>
      <c r="J231">
        <v>31.1</v>
      </c>
      <c r="K231" t="s">
        <v>41</v>
      </c>
      <c r="L231" s="3">
        <v>45400</v>
      </c>
      <c r="M231" t="s">
        <v>48</v>
      </c>
    </row>
    <row r="232" spans="1:14" x14ac:dyDescent="0.25">
      <c r="A232" t="s">
        <v>858</v>
      </c>
      <c r="B232" t="s">
        <v>707</v>
      </c>
      <c r="C232" t="s">
        <v>859</v>
      </c>
      <c r="D232" t="s">
        <v>51</v>
      </c>
      <c r="E232" t="s">
        <v>65</v>
      </c>
      <c r="F232">
        <v>37</v>
      </c>
      <c r="G232" t="s">
        <v>860</v>
      </c>
      <c r="H232">
        <v>3</v>
      </c>
      <c r="I232" t="s">
        <v>861</v>
      </c>
      <c r="J232">
        <v>32.840000000000003</v>
      </c>
      <c r="K232" t="s">
        <v>19</v>
      </c>
      <c r="L232" s="3">
        <v>45285</v>
      </c>
      <c r="M232" t="s">
        <v>48</v>
      </c>
      <c r="N232">
        <v>37</v>
      </c>
    </row>
    <row r="233" spans="1:14" x14ac:dyDescent="0.25">
      <c r="A233" t="s">
        <v>862</v>
      </c>
      <c r="B233" t="s">
        <v>863</v>
      </c>
      <c r="C233" t="s">
        <v>864</v>
      </c>
      <c r="D233" t="s">
        <v>51</v>
      </c>
      <c r="E233" t="s">
        <v>865</v>
      </c>
      <c r="F233">
        <v>36</v>
      </c>
      <c r="G233" t="s">
        <v>866</v>
      </c>
      <c r="H233">
        <v>2</v>
      </c>
      <c r="I233">
        <v>31.71</v>
      </c>
      <c r="J233">
        <v>12.68</v>
      </c>
      <c r="K233" t="s">
        <v>41</v>
      </c>
      <c r="L233" s="3">
        <v>45513</v>
      </c>
      <c r="M233" t="s">
        <v>48</v>
      </c>
      <c r="N233">
        <v>36</v>
      </c>
    </row>
    <row r="234" spans="1:14" x14ac:dyDescent="0.25">
      <c r="A234" t="s">
        <v>867</v>
      </c>
      <c r="B234" t="s">
        <v>172</v>
      </c>
      <c r="C234" s="1">
        <v>45514</v>
      </c>
      <c r="D234" t="s">
        <v>30</v>
      </c>
      <c r="E234" t="s">
        <v>48</v>
      </c>
      <c r="F234">
        <v>66</v>
      </c>
      <c r="G234" t="s">
        <v>868</v>
      </c>
      <c r="H234">
        <v>2</v>
      </c>
      <c r="I234">
        <v>77.239999999999995</v>
      </c>
      <c r="J234">
        <v>22.91</v>
      </c>
      <c r="K234" t="s">
        <v>41</v>
      </c>
      <c r="L234" s="3">
        <v>45514</v>
      </c>
      <c r="M234" t="s">
        <v>48</v>
      </c>
      <c r="N234">
        <v>66</v>
      </c>
    </row>
    <row r="235" spans="1:14" x14ac:dyDescent="0.25">
      <c r="A235" t="s">
        <v>869</v>
      </c>
      <c r="B235" t="s">
        <v>870</v>
      </c>
      <c r="C235" t="s">
        <v>871</v>
      </c>
      <c r="D235" t="s">
        <v>30</v>
      </c>
      <c r="E235" t="s">
        <v>48</v>
      </c>
      <c r="F235">
        <v>63</v>
      </c>
      <c r="G235" t="s">
        <v>872</v>
      </c>
      <c r="H235">
        <v>1</v>
      </c>
      <c r="I235">
        <v>8.6</v>
      </c>
      <c r="J235" s="2">
        <v>5.0599999999999996</v>
      </c>
      <c r="K235" t="s">
        <v>19</v>
      </c>
      <c r="L235" s="3">
        <v>45578</v>
      </c>
      <c r="M235" t="s">
        <v>48</v>
      </c>
      <c r="N235">
        <v>63</v>
      </c>
    </row>
    <row r="236" spans="1:14" x14ac:dyDescent="0.25">
      <c r="A236" t="s">
        <v>873</v>
      </c>
      <c r="B236" t="s">
        <v>874</v>
      </c>
      <c r="C236" s="1">
        <v>45327</v>
      </c>
      <c r="D236" t="s">
        <v>16</v>
      </c>
      <c r="E236" t="s">
        <v>38</v>
      </c>
      <c r="F236">
        <v>66</v>
      </c>
      <c r="G236" t="s">
        <v>875</v>
      </c>
      <c r="H236">
        <v>1</v>
      </c>
      <c r="I236" s="2">
        <v>14.64</v>
      </c>
      <c r="J236">
        <v>6.74</v>
      </c>
      <c r="K236" t="s">
        <v>19</v>
      </c>
      <c r="L236" s="3">
        <v>45327</v>
      </c>
      <c r="M236" t="s">
        <v>34</v>
      </c>
      <c r="N236">
        <v>66</v>
      </c>
    </row>
    <row r="237" spans="1:14" x14ac:dyDescent="0.25">
      <c r="A237" t="s">
        <v>876</v>
      </c>
      <c r="B237" t="s">
        <v>877</v>
      </c>
      <c r="C237" t="s">
        <v>878</v>
      </c>
      <c r="D237" t="s">
        <v>30</v>
      </c>
      <c r="E237" t="s">
        <v>25</v>
      </c>
      <c r="F237">
        <v>60</v>
      </c>
      <c r="G237" t="s">
        <v>879</v>
      </c>
      <c r="H237">
        <v>1</v>
      </c>
      <c r="I237" t="s">
        <v>880</v>
      </c>
      <c r="J237" s="2">
        <v>6.03</v>
      </c>
      <c r="K237" t="s">
        <v>41</v>
      </c>
      <c r="L237" s="3">
        <v>45414</v>
      </c>
      <c r="M237" t="s">
        <v>20</v>
      </c>
      <c r="N237">
        <v>60</v>
      </c>
    </row>
    <row r="238" spans="1:14" x14ac:dyDescent="0.25">
      <c r="A238" t="s">
        <v>881</v>
      </c>
      <c r="B238" t="s">
        <v>882</v>
      </c>
      <c r="C238" s="3">
        <v>45242</v>
      </c>
      <c r="D238" t="s">
        <v>51</v>
      </c>
      <c r="E238" t="s">
        <v>65</v>
      </c>
      <c r="F238">
        <v>69</v>
      </c>
      <c r="G238" t="s">
        <v>883</v>
      </c>
      <c r="H238">
        <v>1</v>
      </c>
      <c r="I238" s="2">
        <v>20.99</v>
      </c>
      <c r="J238">
        <v>8.0399999999999991</v>
      </c>
      <c r="K238" t="s">
        <v>41</v>
      </c>
      <c r="L238" s="3">
        <v>45242</v>
      </c>
      <c r="M238" t="s">
        <v>48</v>
      </c>
      <c r="N238">
        <v>69</v>
      </c>
    </row>
    <row r="239" spans="1:14" x14ac:dyDescent="0.25">
      <c r="A239" t="s">
        <v>884</v>
      </c>
      <c r="B239" t="s">
        <v>885</v>
      </c>
      <c r="C239" t="s">
        <v>886</v>
      </c>
      <c r="D239" t="s">
        <v>51</v>
      </c>
      <c r="E239" t="s">
        <v>70</v>
      </c>
      <c r="F239" t="s">
        <v>25</v>
      </c>
      <c r="G239" t="s">
        <v>887</v>
      </c>
      <c r="H239">
        <v>1</v>
      </c>
      <c r="I239" t="s">
        <v>888</v>
      </c>
      <c r="J239" s="2">
        <v>10.91</v>
      </c>
      <c r="K239" t="s">
        <v>41</v>
      </c>
      <c r="L239" s="3">
        <v>44998</v>
      </c>
      <c r="M239" t="s">
        <v>20</v>
      </c>
    </row>
    <row r="240" spans="1:14" x14ac:dyDescent="0.25">
      <c r="A240" t="s">
        <v>889</v>
      </c>
      <c r="B240" t="s">
        <v>717</v>
      </c>
      <c r="C240" t="s">
        <v>890</v>
      </c>
      <c r="D240" t="s">
        <v>30</v>
      </c>
      <c r="E240" t="s">
        <v>70</v>
      </c>
      <c r="F240">
        <v>41</v>
      </c>
      <c r="G240" t="s">
        <v>891</v>
      </c>
      <c r="H240">
        <v>1</v>
      </c>
      <c r="I240">
        <v>10.63</v>
      </c>
      <c r="J240" s="2">
        <v>4.9800000000000004</v>
      </c>
      <c r="K240" t="s">
        <v>41</v>
      </c>
      <c r="L240" s="3">
        <v>45266</v>
      </c>
      <c r="M240" t="s">
        <v>20</v>
      </c>
      <c r="N240">
        <v>41</v>
      </c>
    </row>
    <row r="241" spans="1:14" x14ac:dyDescent="0.25">
      <c r="A241" t="s">
        <v>892</v>
      </c>
      <c r="B241" t="s">
        <v>803</v>
      </c>
      <c r="C241" t="s">
        <v>893</v>
      </c>
      <c r="D241" t="s">
        <v>16</v>
      </c>
      <c r="E241" t="s">
        <v>85</v>
      </c>
      <c r="F241">
        <v>17</v>
      </c>
      <c r="G241" t="s">
        <v>894</v>
      </c>
      <c r="H241">
        <v>1</v>
      </c>
      <c r="I241" s="2">
        <v>14.69</v>
      </c>
      <c r="J241">
        <v>8.6999999999999993</v>
      </c>
      <c r="K241" t="s">
        <v>19</v>
      </c>
      <c r="L241" s="3">
        <v>45009</v>
      </c>
      <c r="M241" t="s">
        <v>34</v>
      </c>
      <c r="N241">
        <v>17</v>
      </c>
    </row>
    <row r="242" spans="1:14" x14ac:dyDescent="0.25">
      <c r="A242" t="s">
        <v>895</v>
      </c>
      <c r="B242" t="s">
        <v>896</v>
      </c>
      <c r="C242" s="3">
        <v>45656</v>
      </c>
      <c r="D242" t="s">
        <v>16</v>
      </c>
      <c r="E242" t="s">
        <v>48</v>
      </c>
      <c r="F242">
        <v>37</v>
      </c>
      <c r="G242" t="s">
        <v>845</v>
      </c>
      <c r="H242">
        <v>1</v>
      </c>
      <c r="I242">
        <v>41.13</v>
      </c>
      <c r="J242" t="s">
        <v>897</v>
      </c>
      <c r="K242" t="s">
        <v>19</v>
      </c>
      <c r="L242" s="3">
        <v>45656</v>
      </c>
      <c r="M242" t="s">
        <v>48</v>
      </c>
      <c r="N242">
        <v>37</v>
      </c>
    </row>
    <row r="243" spans="1:14" x14ac:dyDescent="0.25">
      <c r="A243" t="s">
        <v>898</v>
      </c>
      <c r="B243" t="s">
        <v>899</v>
      </c>
      <c r="C243" t="s">
        <v>900</v>
      </c>
      <c r="D243" t="s">
        <v>24</v>
      </c>
      <c r="E243" t="s">
        <v>60</v>
      </c>
      <c r="F243">
        <v>18</v>
      </c>
      <c r="G243" t="s">
        <v>901</v>
      </c>
      <c r="H243">
        <v>2</v>
      </c>
      <c r="I243">
        <v>21.2</v>
      </c>
      <c r="J243">
        <v>8.44</v>
      </c>
      <c r="K243" t="s">
        <v>19</v>
      </c>
      <c r="L243" s="3">
        <v>45477</v>
      </c>
      <c r="M243" t="s">
        <v>48</v>
      </c>
      <c r="N243">
        <v>18</v>
      </c>
    </row>
    <row r="244" spans="1:14" x14ac:dyDescent="0.25">
      <c r="A244" t="s">
        <v>902</v>
      </c>
      <c r="B244" t="s">
        <v>903</v>
      </c>
      <c r="C244" t="s">
        <v>904</v>
      </c>
      <c r="D244" t="s">
        <v>51</v>
      </c>
      <c r="E244" t="s">
        <v>65</v>
      </c>
      <c r="F244">
        <v>57</v>
      </c>
      <c r="G244" t="s">
        <v>905</v>
      </c>
      <c r="H244">
        <v>2</v>
      </c>
      <c r="J244">
        <v>67.349999999999994</v>
      </c>
      <c r="K244" t="s">
        <v>19</v>
      </c>
      <c r="L244" s="3">
        <v>45484</v>
      </c>
      <c r="M244" t="s">
        <v>48</v>
      </c>
      <c r="N244">
        <v>57</v>
      </c>
    </row>
    <row r="245" spans="1:14" x14ac:dyDescent="0.25">
      <c r="A245" t="s">
        <v>906</v>
      </c>
      <c r="B245" t="s">
        <v>188</v>
      </c>
      <c r="C245" t="s">
        <v>907</v>
      </c>
      <c r="D245" t="s">
        <v>51</v>
      </c>
      <c r="E245" t="s">
        <v>132</v>
      </c>
      <c r="F245">
        <v>42</v>
      </c>
      <c r="G245" t="s">
        <v>905</v>
      </c>
      <c r="H245">
        <v>1</v>
      </c>
      <c r="I245">
        <v>42.48</v>
      </c>
      <c r="J245" t="s">
        <v>908</v>
      </c>
      <c r="K245" t="s">
        <v>19</v>
      </c>
      <c r="L245" s="3">
        <v>45219</v>
      </c>
      <c r="M245" t="s">
        <v>132</v>
      </c>
      <c r="N245">
        <v>42</v>
      </c>
    </row>
    <row r="246" spans="1:14" x14ac:dyDescent="0.25">
      <c r="A246" t="s">
        <v>909</v>
      </c>
      <c r="B246" t="s">
        <v>118</v>
      </c>
      <c r="C246" s="1">
        <v>45305</v>
      </c>
      <c r="D246" t="s">
        <v>51</v>
      </c>
      <c r="E246" t="s">
        <v>45</v>
      </c>
      <c r="F246">
        <v>19</v>
      </c>
      <c r="G246" t="s">
        <v>303</v>
      </c>
      <c r="H246">
        <v>2</v>
      </c>
      <c r="I246">
        <v>63.93</v>
      </c>
      <c r="J246">
        <v>26.48</v>
      </c>
      <c r="K246" t="s">
        <v>41</v>
      </c>
      <c r="L246" s="3">
        <v>45305</v>
      </c>
      <c r="M246" t="s">
        <v>48</v>
      </c>
      <c r="N246">
        <v>19</v>
      </c>
    </row>
    <row r="247" spans="1:14" x14ac:dyDescent="0.25">
      <c r="A247" t="s">
        <v>910</v>
      </c>
      <c r="B247" t="s">
        <v>911</v>
      </c>
      <c r="C247" t="s">
        <v>912</v>
      </c>
      <c r="D247" t="s">
        <v>24</v>
      </c>
      <c r="E247" t="s">
        <v>85</v>
      </c>
      <c r="F247">
        <v>64</v>
      </c>
      <c r="G247" t="s">
        <v>913</v>
      </c>
      <c r="H247">
        <v>1</v>
      </c>
      <c r="I247" s="2">
        <v>5.09</v>
      </c>
      <c r="J247" t="s">
        <v>914</v>
      </c>
      <c r="K247" t="s">
        <v>19</v>
      </c>
      <c r="L247" s="3">
        <v>45395</v>
      </c>
      <c r="M247" t="s">
        <v>34</v>
      </c>
      <c r="N247">
        <v>64</v>
      </c>
    </row>
    <row r="248" spans="1:14" x14ac:dyDescent="0.25">
      <c r="A248" t="s">
        <v>915</v>
      </c>
      <c r="B248" t="s">
        <v>172</v>
      </c>
      <c r="C248" t="s">
        <v>916</v>
      </c>
      <c r="D248" t="s">
        <v>129</v>
      </c>
      <c r="E248" t="s">
        <v>132</v>
      </c>
      <c r="F248">
        <v>31</v>
      </c>
      <c r="G248" t="s">
        <v>917</v>
      </c>
      <c r="H248">
        <v>2</v>
      </c>
      <c r="I248">
        <v>25.83</v>
      </c>
      <c r="J248" s="2">
        <v>9.3800000000000008</v>
      </c>
      <c r="K248" t="s">
        <v>41</v>
      </c>
      <c r="L248" s="3">
        <v>45170</v>
      </c>
      <c r="M248" t="s">
        <v>132</v>
      </c>
      <c r="N248">
        <v>31</v>
      </c>
    </row>
    <row r="249" spans="1:14" x14ac:dyDescent="0.25">
      <c r="A249" t="s">
        <v>918</v>
      </c>
      <c r="B249" t="s">
        <v>919</v>
      </c>
      <c r="C249" s="1">
        <v>45112</v>
      </c>
      <c r="D249" t="s">
        <v>16</v>
      </c>
      <c r="E249" t="s">
        <v>132</v>
      </c>
      <c r="F249">
        <v>17</v>
      </c>
      <c r="G249" t="s">
        <v>920</v>
      </c>
      <c r="H249">
        <v>1</v>
      </c>
      <c r="I249">
        <v>15.51</v>
      </c>
      <c r="J249">
        <v>7.72</v>
      </c>
      <c r="K249" t="s">
        <v>19</v>
      </c>
      <c r="L249" s="3">
        <v>45112</v>
      </c>
      <c r="M249" t="s">
        <v>132</v>
      </c>
      <c r="N249">
        <v>17</v>
      </c>
    </row>
    <row r="250" spans="1:14" x14ac:dyDescent="0.25">
      <c r="A250" t="s">
        <v>921</v>
      </c>
      <c r="B250" t="s">
        <v>234</v>
      </c>
      <c r="C250" s="3">
        <v>45567</v>
      </c>
      <c r="D250" t="s">
        <v>24</v>
      </c>
      <c r="E250" t="s">
        <v>38</v>
      </c>
      <c r="F250">
        <v>38</v>
      </c>
      <c r="G250" t="s">
        <v>922</v>
      </c>
      <c r="H250">
        <v>2</v>
      </c>
      <c r="I250" s="2">
        <v>9.84</v>
      </c>
      <c r="J250" s="2">
        <v>2.72</v>
      </c>
      <c r="K250" t="s">
        <v>19</v>
      </c>
      <c r="L250" s="3">
        <v>45567</v>
      </c>
      <c r="M250" t="s">
        <v>34</v>
      </c>
      <c r="N250">
        <v>38</v>
      </c>
    </row>
    <row r="251" spans="1:14" x14ac:dyDescent="0.25">
      <c r="A251" t="s">
        <v>923</v>
      </c>
      <c r="B251" t="s">
        <v>924</v>
      </c>
      <c r="C251" s="1">
        <v>45047</v>
      </c>
      <c r="D251" t="s">
        <v>51</v>
      </c>
      <c r="E251" t="s">
        <v>65</v>
      </c>
      <c r="F251">
        <v>65</v>
      </c>
      <c r="G251" t="s">
        <v>925</v>
      </c>
      <c r="H251">
        <v>2</v>
      </c>
      <c r="I251">
        <v>85.47</v>
      </c>
      <c r="J251" s="2">
        <v>48.27</v>
      </c>
      <c r="K251" t="s">
        <v>19</v>
      </c>
      <c r="L251" s="3">
        <v>45047</v>
      </c>
      <c r="M251" t="s">
        <v>48</v>
      </c>
      <c r="N251">
        <v>65</v>
      </c>
    </row>
    <row r="252" spans="1:14" x14ac:dyDescent="0.25">
      <c r="A252" t="s">
        <v>926</v>
      </c>
      <c r="B252" t="s">
        <v>180</v>
      </c>
      <c r="C252" t="s">
        <v>927</v>
      </c>
      <c r="D252" t="s">
        <v>30</v>
      </c>
      <c r="E252" t="s">
        <v>25</v>
      </c>
      <c r="F252">
        <v>45</v>
      </c>
      <c r="G252" t="s">
        <v>303</v>
      </c>
      <c r="H252">
        <v>2</v>
      </c>
      <c r="I252" t="s">
        <v>928</v>
      </c>
      <c r="J252" s="2">
        <v>28.56</v>
      </c>
      <c r="K252" t="s">
        <v>19</v>
      </c>
      <c r="L252" s="3">
        <v>45421</v>
      </c>
      <c r="M252" t="s">
        <v>20</v>
      </c>
      <c r="N252">
        <v>45</v>
      </c>
    </row>
    <row r="253" spans="1:14" x14ac:dyDescent="0.25">
      <c r="A253" t="s">
        <v>929</v>
      </c>
      <c r="B253" t="s">
        <v>930</v>
      </c>
      <c r="C253" s="1">
        <v>44928</v>
      </c>
      <c r="D253" t="s">
        <v>30</v>
      </c>
      <c r="E253" t="s">
        <v>865</v>
      </c>
      <c r="F253">
        <v>73</v>
      </c>
      <c r="G253" t="s">
        <v>931</v>
      </c>
      <c r="H253">
        <v>1</v>
      </c>
      <c r="I253">
        <v>25.71</v>
      </c>
      <c r="J253">
        <v>8.5</v>
      </c>
      <c r="K253" t="s">
        <v>41</v>
      </c>
      <c r="L253" s="3">
        <v>44928</v>
      </c>
      <c r="M253" t="s">
        <v>48</v>
      </c>
      <c r="N253">
        <v>73</v>
      </c>
    </row>
    <row r="254" spans="1:14" x14ac:dyDescent="0.25">
      <c r="A254" t="s">
        <v>932</v>
      </c>
      <c r="B254" t="s">
        <v>933</v>
      </c>
      <c r="C254" s="1">
        <v>45026</v>
      </c>
      <c r="D254" t="s">
        <v>30</v>
      </c>
      <c r="E254" t="s">
        <v>38</v>
      </c>
      <c r="F254">
        <v>75</v>
      </c>
      <c r="G254" t="s">
        <v>541</v>
      </c>
      <c r="H254">
        <v>1</v>
      </c>
      <c r="I254">
        <v>8.94</v>
      </c>
      <c r="J254" t="s">
        <v>25</v>
      </c>
      <c r="K254" t="s">
        <v>41</v>
      </c>
      <c r="L254" s="3">
        <v>45026</v>
      </c>
      <c r="M254" t="s">
        <v>34</v>
      </c>
      <c r="N254">
        <v>75</v>
      </c>
    </row>
    <row r="255" spans="1:14" x14ac:dyDescent="0.25">
      <c r="A255" t="s">
        <v>934</v>
      </c>
      <c r="B255" t="s">
        <v>558</v>
      </c>
      <c r="C255" s="3">
        <v>45213</v>
      </c>
      <c r="D255" t="s">
        <v>24</v>
      </c>
      <c r="E255" t="s">
        <v>45</v>
      </c>
      <c r="F255">
        <v>72</v>
      </c>
      <c r="G255" t="s">
        <v>935</v>
      </c>
      <c r="H255">
        <v>1</v>
      </c>
      <c r="I255">
        <v>26.59</v>
      </c>
      <c r="J255" t="s">
        <v>936</v>
      </c>
      <c r="K255" t="s">
        <v>19</v>
      </c>
      <c r="L255" s="3">
        <v>45213</v>
      </c>
      <c r="M255" t="s">
        <v>48</v>
      </c>
      <c r="N255">
        <v>72</v>
      </c>
    </row>
    <row r="256" spans="1:14" x14ac:dyDescent="0.25">
      <c r="A256" t="s">
        <v>937</v>
      </c>
      <c r="B256" t="s">
        <v>419</v>
      </c>
      <c r="C256" s="3">
        <v>44985</v>
      </c>
      <c r="D256" t="s">
        <v>30</v>
      </c>
      <c r="E256" t="s">
        <v>85</v>
      </c>
      <c r="F256">
        <v>48</v>
      </c>
      <c r="G256" t="s">
        <v>938</v>
      </c>
      <c r="H256">
        <v>2</v>
      </c>
      <c r="I256">
        <v>28.4</v>
      </c>
      <c r="J256" t="s">
        <v>939</v>
      </c>
      <c r="K256" t="s">
        <v>41</v>
      </c>
      <c r="L256" s="3">
        <v>44985</v>
      </c>
      <c r="M256" t="s">
        <v>34</v>
      </c>
      <c r="N256">
        <v>48</v>
      </c>
    </row>
    <row r="257" spans="1:14" x14ac:dyDescent="0.25">
      <c r="A257" t="s">
        <v>940</v>
      </c>
      <c r="B257" t="s">
        <v>941</v>
      </c>
      <c r="C257" s="1">
        <v>44972</v>
      </c>
      <c r="D257" t="s">
        <v>24</v>
      </c>
      <c r="E257" t="s">
        <v>70</v>
      </c>
      <c r="F257">
        <v>46</v>
      </c>
      <c r="G257" t="s">
        <v>942</v>
      </c>
      <c r="H257">
        <v>-1</v>
      </c>
      <c r="I257">
        <v>-18.12</v>
      </c>
      <c r="J257">
        <v>-6.83</v>
      </c>
      <c r="K257" t="s">
        <v>41</v>
      </c>
      <c r="L257" s="3">
        <v>44972</v>
      </c>
      <c r="M257" t="s">
        <v>20</v>
      </c>
      <c r="N257">
        <v>46</v>
      </c>
    </row>
    <row r="258" spans="1:14" x14ac:dyDescent="0.25">
      <c r="A258" t="s">
        <v>943</v>
      </c>
      <c r="B258" t="s">
        <v>944</v>
      </c>
      <c r="C258" s="1">
        <v>45143</v>
      </c>
      <c r="D258" t="s">
        <v>24</v>
      </c>
      <c r="E258" t="s">
        <v>38</v>
      </c>
      <c r="F258">
        <v>19</v>
      </c>
      <c r="G258" t="s">
        <v>945</v>
      </c>
      <c r="H258">
        <v>1</v>
      </c>
      <c r="I258" s="2">
        <v>21.57</v>
      </c>
      <c r="J258" s="2">
        <v>10.46</v>
      </c>
      <c r="K258" t="s">
        <v>41</v>
      </c>
      <c r="L258" s="3">
        <v>45143</v>
      </c>
      <c r="M258" t="s">
        <v>34</v>
      </c>
      <c r="N258">
        <v>19</v>
      </c>
    </row>
    <row r="259" spans="1:14" x14ac:dyDescent="0.25">
      <c r="A259" t="s">
        <v>946</v>
      </c>
      <c r="B259" t="s">
        <v>947</v>
      </c>
      <c r="C259" t="s">
        <v>948</v>
      </c>
      <c r="D259" t="s">
        <v>30</v>
      </c>
      <c r="E259" t="s">
        <v>65</v>
      </c>
      <c r="F259">
        <v>33</v>
      </c>
      <c r="G259" t="s">
        <v>949</v>
      </c>
      <c r="H259">
        <v>2</v>
      </c>
      <c r="I259">
        <v>58.56</v>
      </c>
      <c r="J259" t="s">
        <v>25</v>
      </c>
      <c r="K259" t="s">
        <v>41</v>
      </c>
      <c r="L259" s="3">
        <v>45027</v>
      </c>
      <c r="M259" t="s">
        <v>48</v>
      </c>
      <c r="N259">
        <v>33</v>
      </c>
    </row>
    <row r="260" spans="1:14" x14ac:dyDescent="0.25">
      <c r="A260" t="s">
        <v>950</v>
      </c>
      <c r="B260" t="s">
        <v>783</v>
      </c>
      <c r="C260" s="1">
        <v>45296</v>
      </c>
      <c r="D260" t="s">
        <v>129</v>
      </c>
      <c r="E260" t="s">
        <v>85</v>
      </c>
      <c r="F260">
        <v>75</v>
      </c>
      <c r="G260" t="s">
        <v>951</v>
      </c>
      <c r="H260">
        <v>1</v>
      </c>
      <c r="I260">
        <v>2.2999999999999998</v>
      </c>
      <c r="J260" t="s">
        <v>952</v>
      </c>
      <c r="K260" t="s">
        <v>19</v>
      </c>
      <c r="L260" s="3">
        <v>45296</v>
      </c>
      <c r="M260" t="s">
        <v>34</v>
      </c>
      <c r="N260">
        <v>75</v>
      </c>
    </row>
    <row r="261" spans="1:14" x14ac:dyDescent="0.25">
      <c r="A261" t="s">
        <v>953</v>
      </c>
      <c r="B261" t="s">
        <v>292</v>
      </c>
      <c r="C261" s="3">
        <v>45652</v>
      </c>
      <c r="D261" t="s">
        <v>129</v>
      </c>
      <c r="E261" t="s">
        <v>38</v>
      </c>
      <c r="F261">
        <v>75</v>
      </c>
      <c r="G261" t="s">
        <v>954</v>
      </c>
      <c r="H261">
        <v>1</v>
      </c>
      <c r="I261">
        <v>5.35</v>
      </c>
      <c r="J261" s="2">
        <v>2.67</v>
      </c>
      <c r="K261" t="s">
        <v>19</v>
      </c>
      <c r="L261" s="3">
        <v>45652</v>
      </c>
      <c r="M261" t="s">
        <v>34</v>
      </c>
      <c r="N261">
        <v>75</v>
      </c>
    </row>
    <row r="262" spans="1:14" x14ac:dyDescent="0.25">
      <c r="A262" t="s">
        <v>955</v>
      </c>
      <c r="B262" t="s">
        <v>956</v>
      </c>
      <c r="C262" t="s">
        <v>957</v>
      </c>
      <c r="D262" t="s">
        <v>16</v>
      </c>
      <c r="E262" t="s">
        <v>34</v>
      </c>
      <c r="F262">
        <v>14</v>
      </c>
      <c r="G262" t="s">
        <v>958</v>
      </c>
      <c r="H262">
        <v>1</v>
      </c>
      <c r="I262" s="2">
        <v>7.7</v>
      </c>
      <c r="J262" s="2">
        <v>2.77</v>
      </c>
      <c r="K262" t="s">
        <v>19</v>
      </c>
      <c r="L262" s="3">
        <v>45459</v>
      </c>
      <c r="M262" t="s">
        <v>34</v>
      </c>
      <c r="N262">
        <v>14</v>
      </c>
    </row>
    <row r="263" spans="1:14" x14ac:dyDescent="0.25">
      <c r="A263" t="s">
        <v>959</v>
      </c>
      <c r="B263" t="s">
        <v>93</v>
      </c>
      <c r="C263" s="3">
        <v>45650</v>
      </c>
      <c r="D263" t="s">
        <v>30</v>
      </c>
      <c r="E263" t="s">
        <v>65</v>
      </c>
      <c r="F263" t="s">
        <v>173</v>
      </c>
      <c r="G263" t="s">
        <v>960</v>
      </c>
      <c r="H263">
        <v>2</v>
      </c>
      <c r="I263">
        <v>93.45</v>
      </c>
      <c r="J263">
        <v>40.78</v>
      </c>
      <c r="K263" t="s">
        <v>41</v>
      </c>
      <c r="L263" s="3">
        <v>45650</v>
      </c>
      <c r="M263" t="s">
        <v>48</v>
      </c>
      <c r="N263">
        <v>30</v>
      </c>
    </row>
    <row r="264" spans="1:14" x14ac:dyDescent="0.25">
      <c r="A264" t="s">
        <v>961</v>
      </c>
      <c r="B264" t="s">
        <v>390</v>
      </c>
      <c r="C264" s="3">
        <v>45393</v>
      </c>
      <c r="D264" t="s">
        <v>30</v>
      </c>
      <c r="E264" t="s">
        <v>31</v>
      </c>
      <c r="F264">
        <v>58</v>
      </c>
      <c r="G264" t="s">
        <v>962</v>
      </c>
      <c r="H264">
        <v>2</v>
      </c>
      <c r="I264">
        <v>25.04</v>
      </c>
      <c r="J264">
        <v>6.81</v>
      </c>
      <c r="K264" t="s">
        <v>19</v>
      </c>
      <c r="L264" s="3">
        <v>45393</v>
      </c>
      <c r="M264" t="s">
        <v>34</v>
      </c>
      <c r="N264">
        <v>58</v>
      </c>
    </row>
    <row r="265" spans="1:14" x14ac:dyDescent="0.25">
      <c r="A265" t="s">
        <v>963</v>
      </c>
      <c r="B265" t="s">
        <v>854</v>
      </c>
      <c r="C265" t="s">
        <v>964</v>
      </c>
      <c r="D265" t="s">
        <v>30</v>
      </c>
      <c r="E265" t="s">
        <v>45</v>
      </c>
      <c r="F265">
        <v>41</v>
      </c>
      <c r="G265" t="s">
        <v>541</v>
      </c>
      <c r="H265">
        <v>2</v>
      </c>
      <c r="I265" t="s">
        <v>965</v>
      </c>
      <c r="J265" t="s">
        <v>966</v>
      </c>
      <c r="K265" t="s">
        <v>19</v>
      </c>
      <c r="L265" s="3">
        <v>45260</v>
      </c>
      <c r="M265" t="s">
        <v>48</v>
      </c>
      <c r="N265">
        <v>41</v>
      </c>
    </row>
    <row r="266" spans="1:14" x14ac:dyDescent="0.25">
      <c r="A266" t="s">
        <v>967</v>
      </c>
      <c r="B266" t="s">
        <v>808</v>
      </c>
      <c r="C266" t="s">
        <v>968</v>
      </c>
      <c r="D266" t="s">
        <v>51</v>
      </c>
      <c r="E266" t="s">
        <v>65</v>
      </c>
      <c r="F266">
        <v>46</v>
      </c>
      <c r="G266" t="s">
        <v>969</v>
      </c>
      <c r="H266">
        <v>2</v>
      </c>
      <c r="I266">
        <v>30.08</v>
      </c>
      <c r="J266">
        <v>10.06</v>
      </c>
      <c r="K266" t="s">
        <v>41</v>
      </c>
      <c r="L266" s="3">
        <v>45635</v>
      </c>
      <c r="M266" t="s">
        <v>48</v>
      </c>
      <c r="N266">
        <v>46</v>
      </c>
    </row>
    <row r="267" spans="1:14" x14ac:dyDescent="0.25">
      <c r="A267" t="s">
        <v>862</v>
      </c>
      <c r="B267" t="s">
        <v>679</v>
      </c>
      <c r="C267" t="s">
        <v>864</v>
      </c>
      <c r="D267" t="s">
        <v>51</v>
      </c>
      <c r="E267" t="s">
        <v>48</v>
      </c>
      <c r="F267">
        <v>36</v>
      </c>
      <c r="G267" t="s">
        <v>970</v>
      </c>
      <c r="H267">
        <v>2</v>
      </c>
      <c r="I267">
        <v>31.71</v>
      </c>
      <c r="J267">
        <v>12.68</v>
      </c>
      <c r="K267" t="s">
        <v>41</v>
      </c>
      <c r="L267" s="3">
        <v>45513</v>
      </c>
      <c r="M267" t="s">
        <v>48</v>
      </c>
      <c r="N267">
        <v>36</v>
      </c>
    </row>
    <row r="268" spans="1:14" x14ac:dyDescent="0.25">
      <c r="A268" t="s">
        <v>971</v>
      </c>
      <c r="B268" t="s">
        <v>972</v>
      </c>
      <c r="C268" t="s">
        <v>973</v>
      </c>
      <c r="D268" t="s">
        <v>129</v>
      </c>
      <c r="E268" t="s">
        <v>31</v>
      </c>
      <c r="F268">
        <v>29</v>
      </c>
      <c r="G268" t="s">
        <v>974</v>
      </c>
      <c r="H268">
        <v>1</v>
      </c>
      <c r="I268" t="s">
        <v>975</v>
      </c>
      <c r="J268">
        <v>2.35</v>
      </c>
      <c r="K268" t="s">
        <v>41</v>
      </c>
      <c r="L268" s="3">
        <v>45137</v>
      </c>
      <c r="M268" t="s">
        <v>34</v>
      </c>
      <c r="N268">
        <v>29</v>
      </c>
    </row>
    <row r="269" spans="1:14" x14ac:dyDescent="0.25">
      <c r="A269" t="s">
        <v>976</v>
      </c>
      <c r="B269" t="s">
        <v>977</v>
      </c>
      <c r="C269" t="s">
        <v>978</v>
      </c>
      <c r="D269" t="s">
        <v>129</v>
      </c>
      <c r="E269" t="s">
        <v>65</v>
      </c>
      <c r="F269">
        <v>21</v>
      </c>
      <c r="G269" t="s">
        <v>979</v>
      </c>
      <c r="H269">
        <v>2</v>
      </c>
      <c r="I269">
        <v>22.87</v>
      </c>
      <c r="J269">
        <v>8.41</v>
      </c>
      <c r="K269" t="s">
        <v>19</v>
      </c>
      <c r="L269" s="3">
        <v>45342</v>
      </c>
      <c r="M269" t="s">
        <v>48</v>
      </c>
      <c r="N269">
        <v>21</v>
      </c>
    </row>
    <row r="270" spans="1:14" x14ac:dyDescent="0.25">
      <c r="A270" t="s">
        <v>980</v>
      </c>
      <c r="B270" t="s">
        <v>981</v>
      </c>
      <c r="C270" s="1">
        <v>45602</v>
      </c>
      <c r="D270" t="s">
        <v>129</v>
      </c>
      <c r="E270" t="s">
        <v>25</v>
      </c>
      <c r="F270">
        <v>67</v>
      </c>
      <c r="G270" t="s">
        <v>982</v>
      </c>
      <c r="H270">
        <v>1</v>
      </c>
      <c r="I270">
        <v>26.24</v>
      </c>
      <c r="J270">
        <v>14.03</v>
      </c>
      <c r="K270" t="s">
        <v>19</v>
      </c>
      <c r="L270" s="3">
        <v>45602</v>
      </c>
      <c r="M270" t="s">
        <v>20</v>
      </c>
      <c r="N270">
        <v>67</v>
      </c>
    </row>
    <row r="271" spans="1:14" x14ac:dyDescent="0.25">
      <c r="A271" t="s">
        <v>983</v>
      </c>
      <c r="B271" t="s">
        <v>956</v>
      </c>
      <c r="C271" t="s">
        <v>984</v>
      </c>
      <c r="D271" t="s">
        <v>129</v>
      </c>
      <c r="E271" t="s">
        <v>34</v>
      </c>
      <c r="F271">
        <v>34</v>
      </c>
      <c r="G271" t="s">
        <v>985</v>
      </c>
      <c r="H271">
        <v>1</v>
      </c>
      <c r="I271" t="s">
        <v>986</v>
      </c>
      <c r="J271" t="s">
        <v>987</v>
      </c>
      <c r="K271" t="s">
        <v>19</v>
      </c>
      <c r="L271" s="3">
        <v>45031</v>
      </c>
      <c r="M271" t="s">
        <v>34</v>
      </c>
      <c r="N271">
        <v>34</v>
      </c>
    </row>
    <row r="272" spans="1:14" x14ac:dyDescent="0.25">
      <c r="A272" t="s">
        <v>988</v>
      </c>
      <c r="B272" t="s">
        <v>989</v>
      </c>
      <c r="C272" s="3">
        <v>44985</v>
      </c>
      <c r="D272" t="s">
        <v>30</v>
      </c>
      <c r="E272" t="s">
        <v>25</v>
      </c>
      <c r="F272">
        <v>26</v>
      </c>
      <c r="G272" t="s">
        <v>990</v>
      </c>
      <c r="H272">
        <v>1</v>
      </c>
      <c r="I272">
        <v>17.14</v>
      </c>
      <c r="J272">
        <v>7.11</v>
      </c>
      <c r="K272" t="s">
        <v>19</v>
      </c>
      <c r="L272" s="3">
        <v>44985</v>
      </c>
      <c r="M272" t="s">
        <v>20</v>
      </c>
      <c r="N272">
        <v>26</v>
      </c>
    </row>
    <row r="273" spans="1:14" x14ac:dyDescent="0.25">
      <c r="A273" t="s">
        <v>991</v>
      </c>
      <c r="B273" t="s">
        <v>877</v>
      </c>
      <c r="C273" s="3">
        <v>44952</v>
      </c>
      <c r="D273" t="s">
        <v>30</v>
      </c>
      <c r="E273" t="s">
        <v>34</v>
      </c>
      <c r="F273">
        <v>23</v>
      </c>
      <c r="G273" t="s">
        <v>992</v>
      </c>
      <c r="H273">
        <v>2</v>
      </c>
      <c r="I273">
        <v>25.72</v>
      </c>
      <c r="J273" t="s">
        <v>993</v>
      </c>
      <c r="K273" t="s">
        <v>19</v>
      </c>
      <c r="L273" s="3">
        <v>44952</v>
      </c>
      <c r="M273" t="s">
        <v>34</v>
      </c>
      <c r="N273">
        <v>23</v>
      </c>
    </row>
    <row r="274" spans="1:14" x14ac:dyDescent="0.25">
      <c r="A274" t="s">
        <v>994</v>
      </c>
      <c r="B274" t="s">
        <v>237</v>
      </c>
      <c r="C274" t="s">
        <v>995</v>
      </c>
      <c r="D274" t="s">
        <v>30</v>
      </c>
      <c r="E274" t="s">
        <v>60</v>
      </c>
      <c r="F274">
        <v>28</v>
      </c>
      <c r="G274" t="s">
        <v>996</v>
      </c>
      <c r="H274">
        <v>4</v>
      </c>
      <c r="I274">
        <v>134.85</v>
      </c>
      <c r="J274" s="2">
        <v>52.43</v>
      </c>
      <c r="K274" t="s">
        <v>19</v>
      </c>
      <c r="L274" s="3">
        <v>45040</v>
      </c>
      <c r="M274" t="s">
        <v>48</v>
      </c>
      <c r="N274">
        <v>28</v>
      </c>
    </row>
    <row r="275" spans="1:14" x14ac:dyDescent="0.25">
      <c r="A275" t="s">
        <v>476</v>
      </c>
      <c r="B275" t="s">
        <v>477</v>
      </c>
      <c r="C275" s="3">
        <v>45598</v>
      </c>
      <c r="D275" t="s">
        <v>129</v>
      </c>
      <c r="E275" t="s">
        <v>38</v>
      </c>
      <c r="F275">
        <v>37</v>
      </c>
      <c r="G275" t="s">
        <v>478</v>
      </c>
      <c r="H275">
        <v>1</v>
      </c>
      <c r="I275">
        <v>4.4800000000000004</v>
      </c>
      <c r="J275">
        <v>1.65</v>
      </c>
      <c r="K275" t="s">
        <v>41</v>
      </c>
      <c r="L275" s="3">
        <v>45598</v>
      </c>
      <c r="M275" t="s">
        <v>34</v>
      </c>
      <c r="N275">
        <v>37</v>
      </c>
    </row>
    <row r="276" spans="1:14" x14ac:dyDescent="0.25">
      <c r="A276" t="s">
        <v>997</v>
      </c>
      <c r="B276" t="s">
        <v>899</v>
      </c>
      <c r="C276" s="1">
        <v>45322</v>
      </c>
      <c r="D276" t="s">
        <v>51</v>
      </c>
      <c r="E276" t="s">
        <v>38</v>
      </c>
      <c r="F276">
        <v>62</v>
      </c>
      <c r="G276" t="s">
        <v>998</v>
      </c>
      <c r="H276">
        <v>1</v>
      </c>
      <c r="I276" s="2">
        <v>17.57</v>
      </c>
      <c r="J276">
        <v>8.64</v>
      </c>
      <c r="K276" t="s">
        <v>19</v>
      </c>
      <c r="L276" s="3">
        <v>45322</v>
      </c>
      <c r="M276" t="s">
        <v>34</v>
      </c>
      <c r="N276">
        <v>62</v>
      </c>
    </row>
    <row r="277" spans="1:14" x14ac:dyDescent="0.25">
      <c r="A277" t="s">
        <v>999</v>
      </c>
      <c r="B277" t="s">
        <v>1000</v>
      </c>
      <c r="C277" t="s">
        <v>1001</v>
      </c>
      <c r="D277" t="s">
        <v>30</v>
      </c>
      <c r="E277" t="s">
        <v>65</v>
      </c>
      <c r="F277">
        <v>15</v>
      </c>
      <c r="G277" t="s">
        <v>1002</v>
      </c>
      <c r="H277">
        <v>2</v>
      </c>
      <c r="I277">
        <v>58.21</v>
      </c>
      <c r="J277" t="s">
        <v>1003</v>
      </c>
      <c r="K277" t="s">
        <v>41</v>
      </c>
      <c r="L277" s="3">
        <v>45220</v>
      </c>
      <c r="M277" t="s">
        <v>48</v>
      </c>
      <c r="N277">
        <v>15</v>
      </c>
    </row>
    <row r="278" spans="1:14" x14ac:dyDescent="0.25">
      <c r="A278" t="s">
        <v>1004</v>
      </c>
      <c r="B278" t="s">
        <v>73</v>
      </c>
      <c r="C278" t="s">
        <v>1005</v>
      </c>
      <c r="D278" t="s">
        <v>51</v>
      </c>
      <c r="E278" t="s">
        <v>65</v>
      </c>
      <c r="F278">
        <v>58</v>
      </c>
      <c r="G278" t="s">
        <v>1006</v>
      </c>
      <c r="H278">
        <v>2</v>
      </c>
      <c r="I278" s="2">
        <v>95.03</v>
      </c>
      <c r="J278" s="2">
        <v>32.799999999999997</v>
      </c>
      <c r="K278" t="s">
        <v>41</v>
      </c>
      <c r="L278" s="3">
        <v>45453</v>
      </c>
      <c r="M278" t="s">
        <v>48</v>
      </c>
      <c r="N278">
        <v>58</v>
      </c>
    </row>
    <row r="279" spans="1:14" x14ac:dyDescent="0.25">
      <c r="A279" t="s">
        <v>1007</v>
      </c>
      <c r="B279" t="s">
        <v>521</v>
      </c>
      <c r="C279" s="1">
        <v>45044</v>
      </c>
      <c r="D279" t="s">
        <v>129</v>
      </c>
      <c r="E279" t="s">
        <v>38</v>
      </c>
      <c r="F279">
        <v>37</v>
      </c>
      <c r="G279" t="s">
        <v>1008</v>
      </c>
      <c r="H279">
        <v>1</v>
      </c>
      <c r="I279">
        <v>20.62</v>
      </c>
      <c r="J279" t="s">
        <v>1009</v>
      </c>
      <c r="K279" t="s">
        <v>19</v>
      </c>
      <c r="L279" s="3">
        <v>45044</v>
      </c>
      <c r="M279" t="s">
        <v>34</v>
      </c>
      <c r="N279">
        <v>37</v>
      </c>
    </row>
    <row r="280" spans="1:14" x14ac:dyDescent="0.25">
      <c r="A280" t="s">
        <v>1010</v>
      </c>
      <c r="B280" t="s">
        <v>1011</v>
      </c>
      <c r="C280" t="s">
        <v>1012</v>
      </c>
      <c r="D280" t="s">
        <v>30</v>
      </c>
      <c r="E280" t="s">
        <v>85</v>
      </c>
      <c r="F280">
        <v>62</v>
      </c>
      <c r="G280" t="s">
        <v>1013</v>
      </c>
      <c r="H280">
        <v>3</v>
      </c>
      <c r="I280">
        <v>74.48</v>
      </c>
      <c r="J280">
        <v>50.64</v>
      </c>
      <c r="K280" t="s">
        <v>41</v>
      </c>
      <c r="L280" s="3">
        <v>45143</v>
      </c>
      <c r="M280" t="s">
        <v>34</v>
      </c>
      <c r="N280">
        <v>62</v>
      </c>
    </row>
    <row r="281" spans="1:14" x14ac:dyDescent="0.25">
      <c r="A281" t="s">
        <v>1014</v>
      </c>
      <c r="B281" t="s">
        <v>266</v>
      </c>
      <c r="C281" t="s">
        <v>1015</v>
      </c>
      <c r="D281" t="s">
        <v>30</v>
      </c>
      <c r="F281">
        <v>56</v>
      </c>
      <c r="G281" t="s">
        <v>1016</v>
      </c>
      <c r="H281">
        <v>2</v>
      </c>
      <c r="I281" s="2">
        <v>63.83</v>
      </c>
      <c r="J281" s="2">
        <v>32</v>
      </c>
      <c r="K281" t="s">
        <v>41</v>
      </c>
      <c r="L281" s="3">
        <v>45191</v>
      </c>
      <c r="M281" t="s">
        <v>20</v>
      </c>
      <c r="N281">
        <v>56</v>
      </c>
    </row>
    <row r="282" spans="1:14" x14ac:dyDescent="0.25">
      <c r="A282" t="s">
        <v>1017</v>
      </c>
      <c r="B282" t="s">
        <v>282</v>
      </c>
      <c r="C282" t="s">
        <v>1018</v>
      </c>
      <c r="D282" t="s">
        <v>24</v>
      </c>
      <c r="E282" t="s">
        <v>60</v>
      </c>
      <c r="F282">
        <v>56</v>
      </c>
      <c r="G282" t="s">
        <v>1019</v>
      </c>
      <c r="H282">
        <v>-3</v>
      </c>
      <c r="I282">
        <v>-26.82</v>
      </c>
      <c r="J282" s="2">
        <v>-27.68</v>
      </c>
      <c r="K282" t="s">
        <v>19</v>
      </c>
      <c r="L282" s="3">
        <v>45322</v>
      </c>
      <c r="M282" t="s">
        <v>48</v>
      </c>
      <c r="N282">
        <v>56</v>
      </c>
    </row>
    <row r="283" spans="1:14" x14ac:dyDescent="0.25">
      <c r="A283" t="s">
        <v>1020</v>
      </c>
      <c r="B283" t="s">
        <v>237</v>
      </c>
      <c r="C283" t="s">
        <v>1021</v>
      </c>
      <c r="D283" t="s">
        <v>16</v>
      </c>
      <c r="E283" t="s">
        <v>60</v>
      </c>
      <c r="F283">
        <v>31</v>
      </c>
      <c r="G283" t="s">
        <v>1022</v>
      </c>
      <c r="H283">
        <v>1</v>
      </c>
      <c r="I283">
        <v>11.56</v>
      </c>
      <c r="J283" t="s">
        <v>1023</v>
      </c>
      <c r="K283" t="s">
        <v>41</v>
      </c>
      <c r="L283" s="3">
        <v>45536</v>
      </c>
      <c r="M283" t="s">
        <v>48</v>
      </c>
      <c r="N283">
        <v>31</v>
      </c>
    </row>
    <row r="284" spans="1:14" x14ac:dyDescent="0.25">
      <c r="A284" t="s">
        <v>1024</v>
      </c>
      <c r="B284" t="s">
        <v>633</v>
      </c>
      <c r="C284" t="s">
        <v>1025</v>
      </c>
      <c r="D284" t="s">
        <v>30</v>
      </c>
      <c r="E284" t="s">
        <v>34</v>
      </c>
      <c r="F284">
        <v>19</v>
      </c>
      <c r="G284" t="s">
        <v>1026</v>
      </c>
      <c r="H284">
        <v>4</v>
      </c>
      <c r="I284">
        <v>98.59</v>
      </c>
      <c r="J284" s="2">
        <v>26.37</v>
      </c>
      <c r="K284" t="s">
        <v>41</v>
      </c>
      <c r="L284" s="3">
        <v>45592</v>
      </c>
      <c r="M284" t="s">
        <v>34</v>
      </c>
      <c r="N284">
        <v>19</v>
      </c>
    </row>
    <row r="285" spans="1:14" x14ac:dyDescent="0.25">
      <c r="A285" t="s">
        <v>1027</v>
      </c>
      <c r="B285" t="s">
        <v>411</v>
      </c>
      <c r="C285" s="1">
        <v>45269</v>
      </c>
      <c r="D285" t="s">
        <v>16</v>
      </c>
      <c r="E285" t="s">
        <v>60</v>
      </c>
      <c r="F285">
        <v>13</v>
      </c>
      <c r="G285" t="s">
        <v>1028</v>
      </c>
      <c r="H285">
        <v>5</v>
      </c>
      <c r="I285">
        <v>181.01</v>
      </c>
      <c r="J285">
        <v>94.41</v>
      </c>
      <c r="K285" t="s">
        <v>19</v>
      </c>
      <c r="L285" s="3">
        <v>45269</v>
      </c>
      <c r="M285" t="s">
        <v>48</v>
      </c>
      <c r="N285">
        <v>13</v>
      </c>
    </row>
    <row r="286" spans="1:14" x14ac:dyDescent="0.25">
      <c r="A286" t="s">
        <v>1029</v>
      </c>
      <c r="B286" t="s">
        <v>1030</v>
      </c>
      <c r="C286" s="1">
        <v>45535</v>
      </c>
      <c r="D286" t="s">
        <v>24</v>
      </c>
      <c r="E286" t="s">
        <v>65</v>
      </c>
      <c r="F286">
        <v>52</v>
      </c>
      <c r="G286" t="s">
        <v>1031</v>
      </c>
      <c r="H286">
        <v>1</v>
      </c>
      <c r="I286" t="s">
        <v>1032</v>
      </c>
      <c r="J286" s="2">
        <v>6.92</v>
      </c>
      <c r="K286" t="s">
        <v>19</v>
      </c>
      <c r="L286" s="3">
        <v>45535</v>
      </c>
      <c r="M286" t="s">
        <v>48</v>
      </c>
      <c r="N286">
        <v>52</v>
      </c>
    </row>
    <row r="287" spans="1:14" x14ac:dyDescent="0.25">
      <c r="A287" t="s">
        <v>1033</v>
      </c>
      <c r="B287" t="s">
        <v>383</v>
      </c>
      <c r="C287" s="1">
        <v>44969</v>
      </c>
      <c r="D287" t="s">
        <v>129</v>
      </c>
      <c r="E287" t="s">
        <v>34</v>
      </c>
      <c r="F287">
        <v>27</v>
      </c>
      <c r="G287" t="s">
        <v>528</v>
      </c>
      <c r="H287">
        <v>2</v>
      </c>
      <c r="I287" s="2">
        <v>23.09</v>
      </c>
      <c r="J287">
        <v>8.6199999999999992</v>
      </c>
      <c r="K287" t="s">
        <v>41</v>
      </c>
      <c r="L287" s="3">
        <v>44969</v>
      </c>
      <c r="M287" t="s">
        <v>34</v>
      </c>
      <c r="N287">
        <v>27</v>
      </c>
    </row>
    <row r="288" spans="1:14" x14ac:dyDescent="0.25">
      <c r="A288" t="s">
        <v>1034</v>
      </c>
      <c r="B288" t="s">
        <v>977</v>
      </c>
      <c r="C288" t="s">
        <v>1035</v>
      </c>
      <c r="D288" t="s">
        <v>129</v>
      </c>
      <c r="E288" t="s">
        <v>34</v>
      </c>
      <c r="F288">
        <v>26</v>
      </c>
      <c r="G288" t="s">
        <v>1036</v>
      </c>
      <c r="H288">
        <v>1</v>
      </c>
      <c r="I288">
        <v>11.7</v>
      </c>
      <c r="J288">
        <v>6.23</v>
      </c>
      <c r="K288" t="s">
        <v>41</v>
      </c>
      <c r="L288" s="3">
        <v>44991</v>
      </c>
      <c r="M288" t="s">
        <v>34</v>
      </c>
      <c r="N288">
        <v>26</v>
      </c>
    </row>
    <row r="289" spans="1:14" x14ac:dyDescent="0.25">
      <c r="A289" t="s">
        <v>1037</v>
      </c>
      <c r="B289" t="s">
        <v>207</v>
      </c>
      <c r="C289" t="s">
        <v>1018</v>
      </c>
      <c r="D289" t="s">
        <v>129</v>
      </c>
      <c r="E289" t="s">
        <v>34</v>
      </c>
      <c r="F289" t="s">
        <v>173</v>
      </c>
      <c r="G289" t="s">
        <v>1038</v>
      </c>
      <c r="H289">
        <v>1</v>
      </c>
      <c r="I289">
        <v>7.97</v>
      </c>
      <c r="J289">
        <v>2.2000000000000002</v>
      </c>
      <c r="K289" t="s">
        <v>41</v>
      </c>
      <c r="L289" s="3">
        <v>45322</v>
      </c>
      <c r="M289" t="s">
        <v>34</v>
      </c>
      <c r="N289">
        <v>30</v>
      </c>
    </row>
    <row r="290" spans="1:14" x14ac:dyDescent="0.25">
      <c r="A290" t="s">
        <v>1039</v>
      </c>
      <c r="B290" t="s">
        <v>422</v>
      </c>
      <c r="C290" s="1">
        <v>45150</v>
      </c>
      <c r="D290" t="s">
        <v>51</v>
      </c>
      <c r="E290" t="s">
        <v>31</v>
      </c>
      <c r="F290">
        <v>31</v>
      </c>
      <c r="G290" t="s">
        <v>1040</v>
      </c>
      <c r="H290">
        <v>1</v>
      </c>
      <c r="I290" t="s">
        <v>1041</v>
      </c>
      <c r="J290">
        <v>2.88</v>
      </c>
      <c r="K290" t="s">
        <v>19</v>
      </c>
      <c r="L290" s="3">
        <v>45150</v>
      </c>
      <c r="M290" t="s">
        <v>34</v>
      </c>
      <c r="N290">
        <v>31</v>
      </c>
    </row>
    <row r="291" spans="1:14" x14ac:dyDescent="0.25">
      <c r="A291" t="s">
        <v>656</v>
      </c>
      <c r="B291" t="s">
        <v>657</v>
      </c>
      <c r="C291" s="1">
        <v>45215</v>
      </c>
      <c r="D291" t="s">
        <v>16</v>
      </c>
      <c r="E291" t="s">
        <v>45</v>
      </c>
      <c r="F291">
        <v>66</v>
      </c>
      <c r="G291" t="s">
        <v>658</v>
      </c>
      <c r="H291">
        <v>2</v>
      </c>
      <c r="I291">
        <v>10.86</v>
      </c>
      <c r="J291" s="2">
        <v>4.8099999999999996</v>
      </c>
      <c r="K291" t="s">
        <v>41</v>
      </c>
      <c r="L291" s="3">
        <v>45215</v>
      </c>
      <c r="M291" t="s">
        <v>48</v>
      </c>
      <c r="N291">
        <v>66</v>
      </c>
    </row>
    <row r="292" spans="1:14" x14ac:dyDescent="0.25">
      <c r="A292" t="s">
        <v>1042</v>
      </c>
      <c r="B292" t="s">
        <v>539</v>
      </c>
      <c r="C292" t="s">
        <v>1043</v>
      </c>
      <c r="D292" t="s">
        <v>51</v>
      </c>
      <c r="E292" t="s">
        <v>34</v>
      </c>
      <c r="F292">
        <v>18</v>
      </c>
      <c r="G292" t="s">
        <v>1044</v>
      </c>
      <c r="H292">
        <v>1</v>
      </c>
      <c r="I292" t="s">
        <v>1045</v>
      </c>
      <c r="J292" t="s">
        <v>1046</v>
      </c>
      <c r="K292" t="s">
        <v>19</v>
      </c>
      <c r="L292" s="3">
        <v>45122</v>
      </c>
      <c r="M292" t="s">
        <v>34</v>
      </c>
      <c r="N292">
        <v>18</v>
      </c>
    </row>
    <row r="293" spans="1:14" x14ac:dyDescent="0.25">
      <c r="A293" t="s">
        <v>1047</v>
      </c>
      <c r="B293" t="s">
        <v>819</v>
      </c>
      <c r="C293" s="1">
        <v>45076</v>
      </c>
      <c r="D293" t="s">
        <v>129</v>
      </c>
      <c r="E293" t="s">
        <v>85</v>
      </c>
      <c r="F293">
        <v>16</v>
      </c>
      <c r="G293" t="s">
        <v>1048</v>
      </c>
      <c r="H293">
        <v>1</v>
      </c>
      <c r="I293">
        <v>4.22</v>
      </c>
      <c r="J293">
        <v>2.39</v>
      </c>
      <c r="K293" t="s">
        <v>41</v>
      </c>
      <c r="L293" s="3">
        <v>45076</v>
      </c>
      <c r="M293" t="s">
        <v>34</v>
      </c>
      <c r="N293">
        <v>16</v>
      </c>
    </row>
    <row r="294" spans="1:14" x14ac:dyDescent="0.25">
      <c r="A294" t="s">
        <v>1049</v>
      </c>
      <c r="B294" t="s">
        <v>1050</v>
      </c>
      <c r="C294" s="1">
        <v>45463</v>
      </c>
      <c r="D294" t="s">
        <v>51</v>
      </c>
      <c r="E294" t="s">
        <v>25</v>
      </c>
      <c r="F294">
        <v>20</v>
      </c>
      <c r="G294" t="s">
        <v>1051</v>
      </c>
      <c r="H294">
        <v>1</v>
      </c>
      <c r="I294">
        <v>18.989999999999998</v>
      </c>
      <c r="J294" s="2">
        <v>7.99</v>
      </c>
      <c r="K294" t="s">
        <v>41</v>
      </c>
      <c r="L294" s="3">
        <v>45463</v>
      </c>
      <c r="M294" t="s">
        <v>20</v>
      </c>
      <c r="N294">
        <v>20</v>
      </c>
    </row>
    <row r="295" spans="1:14" x14ac:dyDescent="0.25">
      <c r="A295" t="s">
        <v>1052</v>
      </c>
      <c r="B295" t="s">
        <v>783</v>
      </c>
      <c r="C295" s="1">
        <v>45390</v>
      </c>
      <c r="D295" t="s">
        <v>30</v>
      </c>
      <c r="E295" t="s">
        <v>45</v>
      </c>
      <c r="F295">
        <v>32</v>
      </c>
      <c r="G295" t="s">
        <v>1053</v>
      </c>
      <c r="H295">
        <v>-2</v>
      </c>
      <c r="I295" t="s">
        <v>1054</v>
      </c>
      <c r="J295" s="2">
        <v>-20.48</v>
      </c>
      <c r="K295" t="s">
        <v>41</v>
      </c>
      <c r="L295" s="3">
        <v>45390</v>
      </c>
      <c r="M295" t="s">
        <v>48</v>
      </c>
      <c r="N295">
        <v>32</v>
      </c>
    </row>
    <row r="296" spans="1:14" x14ac:dyDescent="0.25">
      <c r="A296" t="s">
        <v>1055</v>
      </c>
      <c r="B296" t="s">
        <v>717</v>
      </c>
      <c r="C296" t="s">
        <v>1056</v>
      </c>
      <c r="D296" t="s">
        <v>30</v>
      </c>
      <c r="E296" t="s">
        <v>60</v>
      </c>
      <c r="F296">
        <v>20</v>
      </c>
      <c r="G296" t="s">
        <v>1057</v>
      </c>
      <c r="H296">
        <v>4</v>
      </c>
      <c r="I296" s="2">
        <v>26.37</v>
      </c>
      <c r="J296" t="s">
        <v>25</v>
      </c>
      <c r="K296" t="s">
        <v>19</v>
      </c>
      <c r="L296" s="3">
        <v>45011</v>
      </c>
      <c r="M296" t="s">
        <v>48</v>
      </c>
      <c r="N296">
        <v>20</v>
      </c>
    </row>
    <row r="297" spans="1:14" x14ac:dyDescent="0.25">
      <c r="A297" t="s">
        <v>1058</v>
      </c>
      <c r="B297" t="s">
        <v>1059</v>
      </c>
      <c r="C297" s="1">
        <v>45093</v>
      </c>
      <c r="D297" t="s">
        <v>30</v>
      </c>
      <c r="E297" t="s">
        <v>65</v>
      </c>
      <c r="F297">
        <v>36</v>
      </c>
      <c r="G297" t="s">
        <v>1060</v>
      </c>
      <c r="H297">
        <v>1</v>
      </c>
      <c r="I297">
        <v>41.88</v>
      </c>
      <c r="J297">
        <v>17.52</v>
      </c>
      <c r="K297" t="s">
        <v>41</v>
      </c>
      <c r="L297" s="3">
        <v>45093</v>
      </c>
      <c r="M297" t="s">
        <v>48</v>
      </c>
      <c r="N297">
        <v>36</v>
      </c>
    </row>
    <row r="298" spans="1:14" x14ac:dyDescent="0.25">
      <c r="A298" t="s">
        <v>1061</v>
      </c>
      <c r="B298" t="s">
        <v>1062</v>
      </c>
      <c r="C298" s="1">
        <v>44983</v>
      </c>
      <c r="D298" t="s">
        <v>129</v>
      </c>
      <c r="F298" t="s">
        <v>1063</v>
      </c>
      <c r="G298" t="s">
        <v>1064</v>
      </c>
      <c r="H298">
        <v>1</v>
      </c>
      <c r="I298" s="2">
        <v>18.55</v>
      </c>
      <c r="J298">
        <v>8.19</v>
      </c>
      <c r="K298" t="s">
        <v>41</v>
      </c>
      <c r="L298" s="3">
        <v>44983</v>
      </c>
      <c r="M298" t="s">
        <v>20</v>
      </c>
      <c r="N298">
        <v>18</v>
      </c>
    </row>
    <row r="299" spans="1:14" x14ac:dyDescent="0.25">
      <c r="A299" t="s">
        <v>1065</v>
      </c>
      <c r="B299" t="s">
        <v>1066</v>
      </c>
      <c r="C299" s="3">
        <v>45015</v>
      </c>
      <c r="D299" t="s">
        <v>51</v>
      </c>
      <c r="E299" t="s">
        <v>60</v>
      </c>
      <c r="F299">
        <v>38</v>
      </c>
      <c r="G299" t="s">
        <v>1067</v>
      </c>
      <c r="H299">
        <v>3</v>
      </c>
      <c r="I299" s="2">
        <v>108.94</v>
      </c>
      <c r="J299">
        <v>52.32</v>
      </c>
      <c r="K299" t="s">
        <v>19</v>
      </c>
      <c r="L299" s="3">
        <v>45015</v>
      </c>
      <c r="M299" t="s">
        <v>48</v>
      </c>
      <c r="N299">
        <v>38</v>
      </c>
    </row>
    <row r="300" spans="1:14" x14ac:dyDescent="0.25">
      <c r="A300" t="s">
        <v>1068</v>
      </c>
      <c r="B300" t="s">
        <v>816</v>
      </c>
      <c r="C300" s="3">
        <v>45311</v>
      </c>
      <c r="D300" t="s">
        <v>24</v>
      </c>
      <c r="E300" t="s">
        <v>48</v>
      </c>
      <c r="F300">
        <v>61</v>
      </c>
      <c r="G300" t="s">
        <v>1069</v>
      </c>
      <c r="H300">
        <v>1</v>
      </c>
      <c r="I300">
        <v>33.97</v>
      </c>
      <c r="J300" s="2">
        <v>15.44</v>
      </c>
      <c r="K300" t="s">
        <v>19</v>
      </c>
      <c r="L300" s="3">
        <v>45311</v>
      </c>
      <c r="M300" t="s">
        <v>48</v>
      </c>
      <c r="N300">
        <v>61</v>
      </c>
    </row>
    <row r="301" spans="1:14" x14ac:dyDescent="0.25">
      <c r="A301" t="s">
        <v>1070</v>
      </c>
      <c r="B301" t="s">
        <v>896</v>
      </c>
      <c r="C301" s="3">
        <v>45528</v>
      </c>
      <c r="D301" t="s">
        <v>51</v>
      </c>
      <c r="E301" t="s">
        <v>25</v>
      </c>
      <c r="F301">
        <v>71</v>
      </c>
      <c r="G301" t="s">
        <v>1071</v>
      </c>
      <c r="H301">
        <v>1</v>
      </c>
      <c r="I301" t="s">
        <v>1072</v>
      </c>
      <c r="J301" s="2">
        <v>13.83</v>
      </c>
      <c r="K301" t="s">
        <v>19</v>
      </c>
      <c r="L301" s="3">
        <v>45528</v>
      </c>
      <c r="M301" t="s">
        <v>20</v>
      </c>
      <c r="N301">
        <v>71</v>
      </c>
    </row>
    <row r="302" spans="1:14" x14ac:dyDescent="0.25">
      <c r="A302" t="s">
        <v>1073</v>
      </c>
      <c r="B302" t="s">
        <v>1074</v>
      </c>
      <c r="C302" s="1">
        <v>45352</v>
      </c>
      <c r="D302" t="s">
        <v>30</v>
      </c>
      <c r="E302" t="s">
        <v>48</v>
      </c>
      <c r="F302">
        <v>13</v>
      </c>
      <c r="G302" t="s">
        <v>1075</v>
      </c>
      <c r="H302">
        <v>1</v>
      </c>
      <c r="I302">
        <v>35.24</v>
      </c>
      <c r="J302">
        <v>16.55</v>
      </c>
      <c r="K302" t="s">
        <v>41</v>
      </c>
      <c r="L302" s="3">
        <v>45352</v>
      </c>
      <c r="M302" t="s">
        <v>48</v>
      </c>
      <c r="N302">
        <v>13</v>
      </c>
    </row>
    <row r="303" spans="1:14" x14ac:dyDescent="0.25">
      <c r="A303" t="s">
        <v>1076</v>
      </c>
      <c r="B303" t="s">
        <v>50</v>
      </c>
      <c r="C303" s="3">
        <v>45271</v>
      </c>
      <c r="D303" t="s">
        <v>51</v>
      </c>
      <c r="E303" t="s">
        <v>31</v>
      </c>
      <c r="F303">
        <v>59</v>
      </c>
      <c r="G303" t="s">
        <v>1077</v>
      </c>
      <c r="H303">
        <v>3</v>
      </c>
      <c r="I303" t="s">
        <v>1078</v>
      </c>
      <c r="J303">
        <v>34.89</v>
      </c>
      <c r="K303" t="s">
        <v>41</v>
      </c>
      <c r="L303" s="3">
        <v>45271</v>
      </c>
      <c r="M303" t="s">
        <v>34</v>
      </c>
      <c r="N303">
        <v>59</v>
      </c>
    </row>
    <row r="304" spans="1:14" x14ac:dyDescent="0.25">
      <c r="A304" t="s">
        <v>1079</v>
      </c>
      <c r="B304" t="s">
        <v>1080</v>
      </c>
      <c r="C304" s="1">
        <v>45332</v>
      </c>
      <c r="D304" t="s">
        <v>16</v>
      </c>
      <c r="E304" t="s">
        <v>31</v>
      </c>
      <c r="F304">
        <v>24</v>
      </c>
      <c r="G304" t="s">
        <v>1081</v>
      </c>
      <c r="H304">
        <v>4</v>
      </c>
      <c r="I304">
        <v>81.92</v>
      </c>
      <c r="J304">
        <v>33.159999999999997</v>
      </c>
      <c r="K304" t="s">
        <v>41</v>
      </c>
      <c r="L304" s="3">
        <v>45332</v>
      </c>
      <c r="M304" t="s">
        <v>34</v>
      </c>
      <c r="N304">
        <v>24</v>
      </c>
    </row>
    <row r="305" spans="1:14" x14ac:dyDescent="0.25">
      <c r="A305" t="s">
        <v>1082</v>
      </c>
      <c r="B305" t="s">
        <v>487</v>
      </c>
      <c r="C305" s="3">
        <v>45314</v>
      </c>
      <c r="D305" t="s">
        <v>129</v>
      </c>
      <c r="E305" t="s">
        <v>60</v>
      </c>
      <c r="F305">
        <v>23</v>
      </c>
      <c r="G305" t="s">
        <v>1083</v>
      </c>
      <c r="H305">
        <v>2</v>
      </c>
      <c r="I305" s="2">
        <v>41.51</v>
      </c>
      <c r="J305">
        <v>19.32</v>
      </c>
      <c r="K305" t="s">
        <v>19</v>
      </c>
      <c r="L305" s="3">
        <v>45314</v>
      </c>
      <c r="M305" t="s">
        <v>48</v>
      </c>
      <c r="N305">
        <v>23</v>
      </c>
    </row>
    <row r="306" spans="1:14" x14ac:dyDescent="0.25">
      <c r="A306" t="s">
        <v>1084</v>
      </c>
      <c r="B306" t="s">
        <v>335</v>
      </c>
      <c r="C306" s="3">
        <v>45178</v>
      </c>
      <c r="D306" t="s">
        <v>24</v>
      </c>
      <c r="E306" t="s">
        <v>38</v>
      </c>
      <c r="F306">
        <v>15</v>
      </c>
      <c r="G306" t="s">
        <v>872</v>
      </c>
      <c r="H306">
        <v>4</v>
      </c>
      <c r="I306" t="s">
        <v>1085</v>
      </c>
      <c r="J306">
        <v>45.53</v>
      </c>
      <c r="K306" t="s">
        <v>19</v>
      </c>
      <c r="L306" s="3">
        <v>45178</v>
      </c>
      <c r="M306" t="s">
        <v>34</v>
      </c>
      <c r="N306">
        <v>15</v>
      </c>
    </row>
    <row r="307" spans="1:14" x14ac:dyDescent="0.25">
      <c r="A307" t="s">
        <v>1086</v>
      </c>
      <c r="B307" t="s">
        <v>102</v>
      </c>
      <c r="C307" t="s">
        <v>1087</v>
      </c>
      <c r="D307" t="s">
        <v>51</v>
      </c>
      <c r="E307" t="s">
        <v>85</v>
      </c>
      <c r="F307">
        <v>15</v>
      </c>
      <c r="G307" t="s">
        <v>1088</v>
      </c>
      <c r="H307">
        <v>1</v>
      </c>
      <c r="I307" t="s">
        <v>1089</v>
      </c>
      <c r="J307" s="2">
        <v>13.76</v>
      </c>
      <c r="K307" t="s">
        <v>41</v>
      </c>
      <c r="L307" s="3">
        <v>45331</v>
      </c>
      <c r="M307" t="s">
        <v>34</v>
      </c>
      <c r="N307">
        <v>15</v>
      </c>
    </row>
    <row r="308" spans="1:14" x14ac:dyDescent="0.25">
      <c r="A308" t="s">
        <v>1090</v>
      </c>
      <c r="B308" t="s">
        <v>1091</v>
      </c>
      <c r="C308" t="s">
        <v>1092</v>
      </c>
      <c r="D308" t="s">
        <v>129</v>
      </c>
      <c r="E308" t="s">
        <v>60</v>
      </c>
      <c r="F308">
        <v>36</v>
      </c>
      <c r="G308" t="s">
        <v>1093</v>
      </c>
      <c r="H308">
        <v>1</v>
      </c>
      <c r="I308" s="2">
        <v>7.46</v>
      </c>
      <c r="J308">
        <v>4.12</v>
      </c>
      <c r="K308" t="s">
        <v>19</v>
      </c>
      <c r="L308" s="3">
        <v>45574</v>
      </c>
      <c r="M308" t="s">
        <v>48</v>
      </c>
      <c r="N308">
        <v>36</v>
      </c>
    </row>
    <row r="309" spans="1:14" x14ac:dyDescent="0.25">
      <c r="A309" t="s">
        <v>1094</v>
      </c>
      <c r="B309" t="s">
        <v>1095</v>
      </c>
      <c r="C309" t="s">
        <v>1096</v>
      </c>
      <c r="D309" t="s">
        <v>24</v>
      </c>
      <c r="E309" t="s">
        <v>38</v>
      </c>
      <c r="F309">
        <v>13</v>
      </c>
      <c r="G309" t="s">
        <v>1097</v>
      </c>
      <c r="H309">
        <v>1</v>
      </c>
      <c r="I309">
        <v>21.84</v>
      </c>
      <c r="J309" t="s">
        <v>1098</v>
      </c>
      <c r="K309" t="s">
        <v>41</v>
      </c>
      <c r="L309" s="3">
        <v>45606</v>
      </c>
      <c r="M309" t="s">
        <v>34</v>
      </c>
      <c r="N309">
        <v>13</v>
      </c>
    </row>
    <row r="310" spans="1:14" x14ac:dyDescent="0.25">
      <c r="A310" t="s">
        <v>1099</v>
      </c>
      <c r="B310" t="s">
        <v>441</v>
      </c>
      <c r="C310" s="1">
        <v>45321</v>
      </c>
      <c r="D310" t="s">
        <v>16</v>
      </c>
      <c r="E310" t="s">
        <v>25</v>
      </c>
      <c r="F310">
        <v>53</v>
      </c>
      <c r="G310" t="s">
        <v>1100</v>
      </c>
      <c r="H310">
        <v>1</v>
      </c>
      <c r="I310" s="2">
        <v>16.25</v>
      </c>
      <c r="J310" t="s">
        <v>1101</v>
      </c>
      <c r="K310" t="s">
        <v>41</v>
      </c>
      <c r="L310" s="3">
        <v>45321</v>
      </c>
      <c r="M310" t="s">
        <v>20</v>
      </c>
      <c r="N310">
        <v>53</v>
      </c>
    </row>
    <row r="311" spans="1:14" x14ac:dyDescent="0.25">
      <c r="A311" t="s">
        <v>1102</v>
      </c>
      <c r="B311" t="s">
        <v>1103</v>
      </c>
      <c r="C311" s="1">
        <v>44947</v>
      </c>
      <c r="D311" t="s">
        <v>129</v>
      </c>
      <c r="E311" t="s">
        <v>48</v>
      </c>
      <c r="F311" t="s">
        <v>173</v>
      </c>
      <c r="G311" t="s">
        <v>1104</v>
      </c>
      <c r="H311">
        <v>-2</v>
      </c>
      <c r="I311" t="s">
        <v>1105</v>
      </c>
      <c r="J311">
        <v>-5.73</v>
      </c>
      <c r="K311" t="s">
        <v>19</v>
      </c>
      <c r="L311" s="3">
        <v>44947</v>
      </c>
      <c r="M311" t="s">
        <v>48</v>
      </c>
      <c r="N311">
        <v>30</v>
      </c>
    </row>
    <row r="312" spans="1:14" x14ac:dyDescent="0.25">
      <c r="A312" t="s">
        <v>1106</v>
      </c>
      <c r="B312" t="s">
        <v>387</v>
      </c>
      <c r="C312" t="s">
        <v>1107</v>
      </c>
      <c r="D312" t="s">
        <v>24</v>
      </c>
      <c r="E312" t="s">
        <v>60</v>
      </c>
      <c r="F312">
        <v>45</v>
      </c>
      <c r="G312" t="s">
        <v>1108</v>
      </c>
      <c r="H312">
        <v>1</v>
      </c>
      <c r="I312">
        <v>15.63</v>
      </c>
      <c r="J312" s="2">
        <v>7.12</v>
      </c>
      <c r="K312" t="s">
        <v>19</v>
      </c>
      <c r="L312" s="3">
        <v>45039</v>
      </c>
      <c r="M312" t="s">
        <v>48</v>
      </c>
      <c r="N312">
        <v>45</v>
      </c>
    </row>
    <row r="313" spans="1:14" x14ac:dyDescent="0.25">
      <c r="A313" t="s">
        <v>1109</v>
      </c>
      <c r="B313" t="s">
        <v>1110</v>
      </c>
      <c r="C313" s="1">
        <v>45144</v>
      </c>
      <c r="D313" t="s">
        <v>16</v>
      </c>
      <c r="E313" t="s">
        <v>48</v>
      </c>
      <c r="F313">
        <v>36</v>
      </c>
      <c r="G313" t="s">
        <v>1111</v>
      </c>
      <c r="H313">
        <v>3</v>
      </c>
      <c r="I313">
        <v>33.51</v>
      </c>
      <c r="J313" t="s">
        <v>1112</v>
      </c>
      <c r="K313" t="s">
        <v>41</v>
      </c>
      <c r="L313" s="3">
        <v>45144</v>
      </c>
      <c r="M313" t="s">
        <v>48</v>
      </c>
      <c r="N313">
        <v>36</v>
      </c>
    </row>
    <row r="314" spans="1:14" x14ac:dyDescent="0.25">
      <c r="A314" t="s">
        <v>1113</v>
      </c>
      <c r="B314" t="s">
        <v>977</v>
      </c>
      <c r="C314" t="s">
        <v>1018</v>
      </c>
      <c r="D314" t="s">
        <v>51</v>
      </c>
      <c r="E314" t="s">
        <v>34</v>
      </c>
      <c r="F314">
        <v>32</v>
      </c>
      <c r="G314" t="s">
        <v>1114</v>
      </c>
      <c r="H314">
        <v>1</v>
      </c>
      <c r="I314" s="2">
        <v>31.06</v>
      </c>
      <c r="J314">
        <v>15.59</v>
      </c>
      <c r="K314" t="s">
        <v>19</v>
      </c>
      <c r="L314" s="3">
        <v>45322</v>
      </c>
      <c r="M314" t="s">
        <v>34</v>
      </c>
      <c r="N314">
        <v>32</v>
      </c>
    </row>
    <row r="315" spans="1:14" x14ac:dyDescent="0.25">
      <c r="A315" t="s">
        <v>1115</v>
      </c>
      <c r="B315" t="s">
        <v>466</v>
      </c>
      <c r="C315" s="1">
        <v>45479</v>
      </c>
      <c r="D315" t="s">
        <v>30</v>
      </c>
      <c r="E315" t="s">
        <v>60</v>
      </c>
      <c r="F315">
        <v>18</v>
      </c>
      <c r="G315" t="s">
        <v>1116</v>
      </c>
      <c r="H315">
        <v>2</v>
      </c>
      <c r="I315" s="2">
        <v>44.49</v>
      </c>
      <c r="J315" s="2">
        <v>16.809999999999999</v>
      </c>
      <c r="K315" t="s">
        <v>41</v>
      </c>
      <c r="L315" s="3">
        <v>45479</v>
      </c>
      <c r="M315" t="s">
        <v>48</v>
      </c>
      <c r="N315">
        <v>18</v>
      </c>
    </row>
    <row r="316" spans="1:14" x14ac:dyDescent="0.25">
      <c r="A316" t="s">
        <v>1117</v>
      </c>
      <c r="B316" t="s">
        <v>1118</v>
      </c>
      <c r="C316" t="s">
        <v>1119</v>
      </c>
      <c r="D316" t="s">
        <v>24</v>
      </c>
      <c r="E316" t="s">
        <v>34</v>
      </c>
      <c r="F316">
        <v>41</v>
      </c>
      <c r="G316" t="s">
        <v>384</v>
      </c>
      <c r="H316">
        <v>6</v>
      </c>
      <c r="I316" s="2">
        <v>46.77</v>
      </c>
      <c r="J316">
        <v>25.65</v>
      </c>
      <c r="K316" t="s">
        <v>19</v>
      </c>
      <c r="L316" s="3">
        <v>45112</v>
      </c>
      <c r="M316" t="s">
        <v>34</v>
      </c>
      <c r="N316">
        <v>41</v>
      </c>
    </row>
    <row r="317" spans="1:14" x14ac:dyDescent="0.25">
      <c r="A317" t="s">
        <v>1120</v>
      </c>
      <c r="B317" t="s">
        <v>1121</v>
      </c>
      <c r="C317" t="s">
        <v>1122</v>
      </c>
      <c r="D317" t="s">
        <v>24</v>
      </c>
      <c r="E317" t="s">
        <v>38</v>
      </c>
      <c r="F317" t="s">
        <v>173</v>
      </c>
      <c r="G317" t="s">
        <v>1123</v>
      </c>
      <c r="H317">
        <v>2</v>
      </c>
      <c r="I317">
        <v>35.159999999999997</v>
      </c>
      <c r="J317" t="s">
        <v>1124</v>
      </c>
      <c r="K317" t="s">
        <v>19</v>
      </c>
      <c r="L317" s="3">
        <v>45396</v>
      </c>
      <c r="M317" t="s">
        <v>34</v>
      </c>
      <c r="N317">
        <v>30</v>
      </c>
    </row>
    <row r="318" spans="1:14" x14ac:dyDescent="0.25">
      <c r="A318" t="s">
        <v>1125</v>
      </c>
      <c r="B318" t="s">
        <v>1126</v>
      </c>
      <c r="C318" s="3">
        <v>45214</v>
      </c>
      <c r="D318" t="s">
        <v>129</v>
      </c>
      <c r="E318" t="s">
        <v>25</v>
      </c>
      <c r="F318" t="s">
        <v>1063</v>
      </c>
      <c r="G318" t="s">
        <v>1127</v>
      </c>
      <c r="H318">
        <v>1</v>
      </c>
      <c r="I318">
        <v>5.88</v>
      </c>
      <c r="J318" t="s">
        <v>1128</v>
      </c>
      <c r="K318" t="s">
        <v>19</v>
      </c>
      <c r="L318" s="3">
        <v>45214</v>
      </c>
      <c r="M318" t="s">
        <v>20</v>
      </c>
      <c r="N318">
        <v>18</v>
      </c>
    </row>
    <row r="319" spans="1:14" x14ac:dyDescent="0.25">
      <c r="A319" t="s">
        <v>1129</v>
      </c>
      <c r="B319" t="s">
        <v>1130</v>
      </c>
      <c r="C319" s="1">
        <v>45289</v>
      </c>
      <c r="D319" t="s">
        <v>129</v>
      </c>
      <c r="E319" t="s">
        <v>34</v>
      </c>
      <c r="F319">
        <v>57</v>
      </c>
      <c r="G319" t="s">
        <v>1131</v>
      </c>
      <c r="H319">
        <v>2</v>
      </c>
      <c r="I319" t="s">
        <v>1132</v>
      </c>
      <c r="J319">
        <v>12.27</v>
      </c>
      <c r="K319" t="s">
        <v>19</v>
      </c>
      <c r="L319" s="3">
        <v>45289</v>
      </c>
      <c r="M319" t="s">
        <v>34</v>
      </c>
      <c r="N319">
        <v>57</v>
      </c>
    </row>
    <row r="320" spans="1:14" x14ac:dyDescent="0.25">
      <c r="A320" t="s">
        <v>1133</v>
      </c>
      <c r="B320" t="s">
        <v>493</v>
      </c>
      <c r="C320" t="s">
        <v>1134</v>
      </c>
      <c r="D320" t="s">
        <v>30</v>
      </c>
      <c r="E320" t="s">
        <v>132</v>
      </c>
      <c r="F320" t="s">
        <v>435</v>
      </c>
      <c r="G320" t="s">
        <v>1135</v>
      </c>
      <c r="H320">
        <v>1</v>
      </c>
      <c r="I320">
        <v>35.64</v>
      </c>
      <c r="J320">
        <v>18.64</v>
      </c>
      <c r="K320" t="s">
        <v>41</v>
      </c>
      <c r="L320" s="3">
        <v>45453</v>
      </c>
      <c r="M320" t="s">
        <v>132</v>
      </c>
    </row>
    <row r="321" spans="1:14" x14ac:dyDescent="0.25">
      <c r="A321" t="s">
        <v>1136</v>
      </c>
      <c r="B321" t="s">
        <v>1137</v>
      </c>
      <c r="C321" s="1">
        <v>45390</v>
      </c>
      <c r="D321" t="s">
        <v>30</v>
      </c>
      <c r="E321" t="s">
        <v>34</v>
      </c>
      <c r="F321">
        <v>14</v>
      </c>
      <c r="G321" t="s">
        <v>1138</v>
      </c>
      <c r="H321">
        <v>1</v>
      </c>
      <c r="I321">
        <v>28.77</v>
      </c>
      <c r="J321" t="s">
        <v>1139</v>
      </c>
      <c r="K321" t="s">
        <v>41</v>
      </c>
      <c r="L321" s="3">
        <v>45390</v>
      </c>
      <c r="M321" t="s">
        <v>34</v>
      </c>
      <c r="N321">
        <v>14</v>
      </c>
    </row>
    <row r="322" spans="1:14" x14ac:dyDescent="0.25">
      <c r="A322" t="s">
        <v>1140</v>
      </c>
      <c r="B322" t="s">
        <v>1141</v>
      </c>
      <c r="C322" s="3">
        <v>45531</v>
      </c>
      <c r="D322" t="s">
        <v>24</v>
      </c>
      <c r="E322" t="s">
        <v>48</v>
      </c>
      <c r="F322">
        <v>61</v>
      </c>
      <c r="G322" t="s">
        <v>1142</v>
      </c>
      <c r="H322">
        <v>3</v>
      </c>
      <c r="I322" t="s">
        <v>1143</v>
      </c>
      <c r="J322">
        <v>11.21</v>
      </c>
      <c r="K322" t="s">
        <v>41</v>
      </c>
      <c r="L322" s="3">
        <v>45531</v>
      </c>
      <c r="M322" t="s">
        <v>48</v>
      </c>
      <c r="N322">
        <v>61</v>
      </c>
    </row>
    <row r="323" spans="1:14" x14ac:dyDescent="0.25">
      <c r="A323" t="s">
        <v>1144</v>
      </c>
      <c r="B323" t="s">
        <v>1145</v>
      </c>
      <c r="C323" t="s">
        <v>1146</v>
      </c>
      <c r="D323" t="s">
        <v>16</v>
      </c>
      <c r="E323" t="s">
        <v>48</v>
      </c>
      <c r="F323">
        <v>25</v>
      </c>
      <c r="G323" t="s">
        <v>1147</v>
      </c>
      <c r="H323">
        <v>1</v>
      </c>
      <c r="I323" t="s">
        <v>1148</v>
      </c>
      <c r="J323" s="2">
        <v>20.03</v>
      </c>
      <c r="K323" t="s">
        <v>19</v>
      </c>
      <c r="L323" s="3">
        <v>45652</v>
      </c>
      <c r="M323" t="s">
        <v>48</v>
      </c>
      <c r="N323">
        <v>25</v>
      </c>
    </row>
    <row r="324" spans="1:14" x14ac:dyDescent="0.25">
      <c r="A324" t="s">
        <v>1149</v>
      </c>
      <c r="B324" t="s">
        <v>450</v>
      </c>
      <c r="C324" t="s">
        <v>1150</v>
      </c>
      <c r="D324" t="s">
        <v>24</v>
      </c>
      <c r="E324" t="s">
        <v>65</v>
      </c>
      <c r="F324">
        <v>15</v>
      </c>
      <c r="G324" t="s">
        <v>1151</v>
      </c>
      <c r="H324">
        <v>1</v>
      </c>
      <c r="I324">
        <v>30.71</v>
      </c>
      <c r="J324">
        <v>9.5500000000000007</v>
      </c>
      <c r="K324" t="s">
        <v>41</v>
      </c>
      <c r="L324" s="3">
        <v>45474</v>
      </c>
      <c r="M324" t="s">
        <v>48</v>
      </c>
      <c r="N324">
        <v>15</v>
      </c>
    </row>
    <row r="325" spans="1:14" x14ac:dyDescent="0.25">
      <c r="A325" t="s">
        <v>1152</v>
      </c>
      <c r="B325" t="s">
        <v>507</v>
      </c>
      <c r="C325" t="s">
        <v>1153</v>
      </c>
      <c r="D325" t="s">
        <v>30</v>
      </c>
      <c r="E325" t="s">
        <v>65</v>
      </c>
      <c r="F325">
        <v>59</v>
      </c>
      <c r="G325" t="s">
        <v>1154</v>
      </c>
      <c r="H325">
        <v>2</v>
      </c>
      <c r="I325">
        <v>29.99</v>
      </c>
      <c r="J325" t="s">
        <v>1155</v>
      </c>
      <c r="K325" t="s">
        <v>41</v>
      </c>
      <c r="L325" s="3">
        <v>45413</v>
      </c>
      <c r="M325" t="s">
        <v>48</v>
      </c>
      <c r="N325">
        <v>59</v>
      </c>
    </row>
    <row r="326" spans="1:14" x14ac:dyDescent="0.25">
      <c r="A326" t="s">
        <v>1156</v>
      </c>
      <c r="B326" t="s">
        <v>1157</v>
      </c>
      <c r="C326" t="s">
        <v>1158</v>
      </c>
      <c r="D326" t="s">
        <v>30</v>
      </c>
      <c r="E326" t="s">
        <v>85</v>
      </c>
      <c r="F326">
        <v>32</v>
      </c>
      <c r="G326" t="s">
        <v>442</v>
      </c>
      <c r="H326">
        <v>2</v>
      </c>
      <c r="I326" s="2">
        <v>83.98</v>
      </c>
      <c r="J326">
        <v>27.75</v>
      </c>
      <c r="K326" t="s">
        <v>19</v>
      </c>
      <c r="L326" s="3">
        <v>45138</v>
      </c>
      <c r="M326" t="s">
        <v>34</v>
      </c>
      <c r="N326">
        <v>32</v>
      </c>
    </row>
    <row r="327" spans="1:14" x14ac:dyDescent="0.25">
      <c r="A327" t="s">
        <v>1159</v>
      </c>
      <c r="B327" t="s">
        <v>1160</v>
      </c>
      <c r="C327" t="s">
        <v>1161</v>
      </c>
      <c r="D327" t="s">
        <v>16</v>
      </c>
      <c r="E327" t="s">
        <v>31</v>
      </c>
      <c r="F327">
        <v>34</v>
      </c>
      <c r="G327" t="s">
        <v>1162</v>
      </c>
      <c r="H327">
        <v>1</v>
      </c>
      <c r="I327">
        <v>15.7</v>
      </c>
      <c r="J327" t="s">
        <v>1163</v>
      </c>
      <c r="K327" t="s">
        <v>41</v>
      </c>
      <c r="L327" s="3">
        <v>45067</v>
      </c>
      <c r="M327" t="s">
        <v>34</v>
      </c>
      <c r="N327">
        <v>34</v>
      </c>
    </row>
    <row r="328" spans="1:14" x14ac:dyDescent="0.25">
      <c r="A328" t="s">
        <v>1164</v>
      </c>
      <c r="B328" t="s">
        <v>1157</v>
      </c>
      <c r="C328" t="s">
        <v>1165</v>
      </c>
      <c r="D328" t="s">
        <v>129</v>
      </c>
      <c r="E328" t="s">
        <v>132</v>
      </c>
      <c r="F328">
        <v>61</v>
      </c>
      <c r="G328" t="s">
        <v>1166</v>
      </c>
      <c r="H328">
        <v>1</v>
      </c>
      <c r="I328" s="2">
        <v>2.52</v>
      </c>
      <c r="J328" t="s">
        <v>1167</v>
      </c>
      <c r="K328" t="s">
        <v>41</v>
      </c>
      <c r="L328" s="3">
        <v>45631</v>
      </c>
      <c r="M328" t="s">
        <v>132</v>
      </c>
      <c r="N328">
        <v>61</v>
      </c>
    </row>
    <row r="329" spans="1:14" x14ac:dyDescent="0.25">
      <c r="A329" t="s">
        <v>1168</v>
      </c>
      <c r="B329" t="s">
        <v>1169</v>
      </c>
      <c r="C329" t="s">
        <v>788</v>
      </c>
      <c r="D329" t="s">
        <v>30</v>
      </c>
      <c r="E329" t="s">
        <v>31</v>
      </c>
      <c r="F329">
        <v>30</v>
      </c>
      <c r="G329" t="s">
        <v>612</v>
      </c>
      <c r="H329">
        <v>4</v>
      </c>
      <c r="I329">
        <v>156.93</v>
      </c>
      <c r="J329">
        <v>59.74</v>
      </c>
      <c r="K329" t="s">
        <v>19</v>
      </c>
      <c r="L329" s="3">
        <v>44969</v>
      </c>
      <c r="M329" t="s">
        <v>34</v>
      </c>
      <c r="N329">
        <v>30</v>
      </c>
    </row>
    <row r="330" spans="1:14" x14ac:dyDescent="0.25">
      <c r="A330" t="s">
        <v>1170</v>
      </c>
      <c r="B330" t="s">
        <v>725</v>
      </c>
      <c r="C330" s="1">
        <v>45412</v>
      </c>
      <c r="D330" t="s">
        <v>129</v>
      </c>
      <c r="E330" t="s">
        <v>48</v>
      </c>
      <c r="F330">
        <v>61</v>
      </c>
      <c r="G330" t="s">
        <v>1171</v>
      </c>
      <c r="H330">
        <v>1</v>
      </c>
      <c r="I330">
        <v>6.11</v>
      </c>
      <c r="J330">
        <v>3.02</v>
      </c>
      <c r="K330" t="s">
        <v>19</v>
      </c>
      <c r="L330" s="3">
        <v>45412</v>
      </c>
      <c r="M330" t="s">
        <v>48</v>
      </c>
      <c r="N330">
        <v>61</v>
      </c>
    </row>
    <row r="331" spans="1:14" x14ac:dyDescent="0.25">
      <c r="A331" t="s">
        <v>1172</v>
      </c>
      <c r="B331" t="s">
        <v>1173</v>
      </c>
      <c r="C331" t="s">
        <v>1174</v>
      </c>
      <c r="D331" t="s">
        <v>16</v>
      </c>
      <c r="E331" t="s">
        <v>38</v>
      </c>
      <c r="F331">
        <v>65</v>
      </c>
      <c r="G331" t="s">
        <v>1175</v>
      </c>
      <c r="H331">
        <v>1</v>
      </c>
      <c r="I331">
        <v>17.63</v>
      </c>
      <c r="J331">
        <v>7.94</v>
      </c>
      <c r="K331" t="s">
        <v>41</v>
      </c>
      <c r="L331" s="3">
        <v>45581</v>
      </c>
      <c r="M331" t="s">
        <v>34</v>
      </c>
      <c r="N331">
        <v>65</v>
      </c>
    </row>
    <row r="332" spans="1:14" x14ac:dyDescent="0.25">
      <c r="A332" t="s">
        <v>1176</v>
      </c>
      <c r="B332" t="s">
        <v>405</v>
      </c>
      <c r="C332" s="3">
        <v>45164</v>
      </c>
      <c r="D332" t="s">
        <v>30</v>
      </c>
      <c r="E332" t="s">
        <v>45</v>
      </c>
      <c r="F332">
        <v>30</v>
      </c>
      <c r="G332" t="s">
        <v>1177</v>
      </c>
      <c r="H332">
        <v>1</v>
      </c>
      <c r="I332">
        <v>34.11</v>
      </c>
      <c r="J332">
        <v>11.55</v>
      </c>
      <c r="K332" t="s">
        <v>19</v>
      </c>
      <c r="L332" s="3">
        <v>45164</v>
      </c>
      <c r="M332" t="s">
        <v>48</v>
      </c>
      <c r="N332">
        <v>30</v>
      </c>
    </row>
    <row r="333" spans="1:14" x14ac:dyDescent="0.25">
      <c r="A333" t="s">
        <v>1178</v>
      </c>
      <c r="B333" t="s">
        <v>660</v>
      </c>
      <c r="C333" s="1">
        <v>45188</v>
      </c>
      <c r="D333" t="s">
        <v>16</v>
      </c>
      <c r="E333" t="s">
        <v>65</v>
      </c>
      <c r="F333">
        <v>32</v>
      </c>
      <c r="G333" t="s">
        <v>1179</v>
      </c>
      <c r="H333">
        <v>1</v>
      </c>
      <c r="I333">
        <v>6.83</v>
      </c>
      <c r="J333">
        <v>2.2400000000000002</v>
      </c>
      <c r="K333" t="s">
        <v>41</v>
      </c>
      <c r="L333" s="3">
        <v>45188</v>
      </c>
      <c r="M333" t="s">
        <v>48</v>
      </c>
      <c r="N333">
        <v>32</v>
      </c>
    </row>
    <row r="334" spans="1:14" x14ac:dyDescent="0.25">
      <c r="A334" t="s">
        <v>1180</v>
      </c>
      <c r="B334" t="s">
        <v>1181</v>
      </c>
      <c r="C334" t="s">
        <v>1182</v>
      </c>
      <c r="D334" t="s">
        <v>16</v>
      </c>
      <c r="E334" t="s">
        <v>45</v>
      </c>
      <c r="F334">
        <v>36</v>
      </c>
      <c r="G334" t="s">
        <v>1183</v>
      </c>
      <c r="H334">
        <v>5</v>
      </c>
      <c r="I334">
        <v>57.62</v>
      </c>
      <c r="J334" s="2">
        <v>22.92</v>
      </c>
      <c r="K334" t="s">
        <v>19</v>
      </c>
      <c r="L334" s="3">
        <v>45297</v>
      </c>
      <c r="M334" t="s">
        <v>48</v>
      </c>
      <c r="N334">
        <v>36</v>
      </c>
    </row>
    <row r="335" spans="1:14" x14ac:dyDescent="0.25">
      <c r="A335" t="s">
        <v>1184</v>
      </c>
      <c r="B335" t="s">
        <v>408</v>
      </c>
      <c r="C335" t="s">
        <v>1185</v>
      </c>
      <c r="D335" t="s">
        <v>51</v>
      </c>
      <c r="E335" t="s">
        <v>38</v>
      </c>
      <c r="F335">
        <v>68</v>
      </c>
      <c r="G335" t="s">
        <v>1186</v>
      </c>
      <c r="H335">
        <v>1</v>
      </c>
      <c r="I335">
        <v>25.8</v>
      </c>
      <c r="J335">
        <v>12.2</v>
      </c>
      <c r="K335" t="s">
        <v>19</v>
      </c>
      <c r="L335" s="3">
        <v>45171</v>
      </c>
      <c r="M335" t="s">
        <v>34</v>
      </c>
      <c r="N335">
        <v>68</v>
      </c>
    </row>
    <row r="336" spans="1:14" x14ac:dyDescent="0.25">
      <c r="A336" t="s">
        <v>1187</v>
      </c>
      <c r="B336" t="s">
        <v>1188</v>
      </c>
      <c r="C336" t="s">
        <v>1189</v>
      </c>
      <c r="D336" t="s">
        <v>24</v>
      </c>
      <c r="E336" t="s">
        <v>34</v>
      </c>
      <c r="F336">
        <v>42</v>
      </c>
      <c r="G336" t="s">
        <v>1190</v>
      </c>
      <c r="H336">
        <v>1</v>
      </c>
      <c r="I336">
        <v>27.36</v>
      </c>
      <c r="J336">
        <v>17.350000000000001</v>
      </c>
      <c r="K336" t="s">
        <v>41</v>
      </c>
      <c r="L336" s="3">
        <v>45029</v>
      </c>
      <c r="M336" t="s">
        <v>34</v>
      </c>
      <c r="N336">
        <v>42</v>
      </c>
    </row>
    <row r="337" spans="1:14" x14ac:dyDescent="0.25">
      <c r="A337" t="s">
        <v>1191</v>
      </c>
      <c r="B337" t="s">
        <v>1192</v>
      </c>
      <c r="C337" s="3">
        <v>45073</v>
      </c>
      <c r="D337" t="s">
        <v>30</v>
      </c>
      <c r="F337" t="s">
        <v>75</v>
      </c>
      <c r="G337" t="s">
        <v>192</v>
      </c>
      <c r="H337">
        <v>1</v>
      </c>
      <c r="I337" s="2">
        <v>29.37</v>
      </c>
      <c r="J337" s="2">
        <v>9.5</v>
      </c>
      <c r="K337" t="s">
        <v>41</v>
      </c>
      <c r="L337" s="3">
        <v>45073</v>
      </c>
      <c r="M337" t="s">
        <v>20</v>
      </c>
      <c r="N337">
        <v>20</v>
      </c>
    </row>
    <row r="338" spans="1:14" x14ac:dyDescent="0.25">
      <c r="A338" t="s">
        <v>1193</v>
      </c>
      <c r="B338" t="s">
        <v>1173</v>
      </c>
      <c r="C338" t="s">
        <v>1194</v>
      </c>
      <c r="D338" t="s">
        <v>16</v>
      </c>
      <c r="E338" t="s">
        <v>25</v>
      </c>
      <c r="F338">
        <v>67</v>
      </c>
      <c r="G338" t="s">
        <v>1195</v>
      </c>
      <c r="H338">
        <v>1</v>
      </c>
      <c r="I338">
        <v>27.07</v>
      </c>
      <c r="J338">
        <v>13.84</v>
      </c>
      <c r="K338" t="s">
        <v>41</v>
      </c>
      <c r="L338" s="3">
        <v>45086</v>
      </c>
      <c r="M338" t="s">
        <v>20</v>
      </c>
      <c r="N338">
        <v>67</v>
      </c>
    </row>
    <row r="339" spans="1:14" x14ac:dyDescent="0.25">
      <c r="A339" t="s">
        <v>1196</v>
      </c>
      <c r="B339" t="s">
        <v>279</v>
      </c>
      <c r="C339" s="1">
        <v>45423</v>
      </c>
      <c r="D339" t="s">
        <v>129</v>
      </c>
      <c r="E339" t="s">
        <v>60</v>
      </c>
      <c r="G339" t="s">
        <v>1197</v>
      </c>
      <c r="H339">
        <v>1</v>
      </c>
      <c r="I339">
        <v>5.51</v>
      </c>
      <c r="J339">
        <v>2.7</v>
      </c>
      <c r="K339" t="s">
        <v>41</v>
      </c>
      <c r="L339" s="3">
        <v>45423</v>
      </c>
      <c r="M339" t="s">
        <v>48</v>
      </c>
    </row>
    <row r="340" spans="1:14" x14ac:dyDescent="0.25">
      <c r="A340" t="s">
        <v>1198</v>
      </c>
      <c r="B340" t="s">
        <v>1199</v>
      </c>
      <c r="C340" s="1">
        <v>45304</v>
      </c>
      <c r="D340" t="s">
        <v>129</v>
      </c>
      <c r="E340" t="s">
        <v>45</v>
      </c>
      <c r="F340">
        <v>14</v>
      </c>
      <c r="G340" t="s">
        <v>1200</v>
      </c>
      <c r="H340">
        <v>1</v>
      </c>
      <c r="I340">
        <v>12.99</v>
      </c>
      <c r="J340">
        <v>4.99</v>
      </c>
      <c r="K340" t="s">
        <v>19</v>
      </c>
      <c r="L340" s="3">
        <v>45304</v>
      </c>
      <c r="M340" t="s">
        <v>48</v>
      </c>
      <c r="N340">
        <v>14</v>
      </c>
    </row>
    <row r="341" spans="1:14" x14ac:dyDescent="0.25">
      <c r="A341" t="s">
        <v>1201</v>
      </c>
      <c r="B341" t="s">
        <v>1202</v>
      </c>
      <c r="C341" t="s">
        <v>446</v>
      </c>
      <c r="D341" t="s">
        <v>51</v>
      </c>
      <c r="E341" t="s">
        <v>48</v>
      </c>
      <c r="F341">
        <v>22</v>
      </c>
      <c r="G341" t="s">
        <v>1203</v>
      </c>
      <c r="H341">
        <v>-2</v>
      </c>
      <c r="I341">
        <v>-59.71</v>
      </c>
      <c r="J341">
        <v>-18.190000000000001</v>
      </c>
      <c r="K341" t="s">
        <v>41</v>
      </c>
      <c r="L341" s="3">
        <v>45478</v>
      </c>
      <c r="M341" t="s">
        <v>48</v>
      </c>
      <c r="N341">
        <v>22</v>
      </c>
    </row>
    <row r="342" spans="1:14" x14ac:dyDescent="0.25">
      <c r="A342" t="s">
        <v>1204</v>
      </c>
      <c r="B342" t="s">
        <v>1205</v>
      </c>
      <c r="C342" s="1">
        <v>45580</v>
      </c>
      <c r="D342" t="s">
        <v>24</v>
      </c>
      <c r="E342" t="s">
        <v>31</v>
      </c>
      <c r="F342">
        <v>44</v>
      </c>
      <c r="G342" t="s">
        <v>1206</v>
      </c>
      <c r="H342">
        <v>4</v>
      </c>
      <c r="I342">
        <v>63.6</v>
      </c>
      <c r="J342">
        <v>32.21</v>
      </c>
      <c r="K342" t="s">
        <v>41</v>
      </c>
      <c r="L342" s="3">
        <v>45580</v>
      </c>
      <c r="M342" t="s">
        <v>34</v>
      </c>
      <c r="N342">
        <v>44</v>
      </c>
    </row>
    <row r="343" spans="1:14" x14ac:dyDescent="0.25">
      <c r="A343" t="s">
        <v>1207</v>
      </c>
      <c r="B343" t="s">
        <v>121</v>
      </c>
      <c r="C343" t="s">
        <v>1208</v>
      </c>
      <c r="D343" t="s">
        <v>16</v>
      </c>
      <c r="E343" t="s">
        <v>60</v>
      </c>
      <c r="F343">
        <v>35</v>
      </c>
      <c r="G343" t="s">
        <v>1209</v>
      </c>
      <c r="H343">
        <v>2</v>
      </c>
      <c r="I343" t="s">
        <v>1210</v>
      </c>
      <c r="J343" s="2">
        <v>19.77</v>
      </c>
      <c r="K343" t="s">
        <v>41</v>
      </c>
      <c r="L343" s="3">
        <v>45243</v>
      </c>
      <c r="M343" t="s">
        <v>48</v>
      </c>
      <c r="N343">
        <v>35</v>
      </c>
    </row>
    <row r="344" spans="1:14" x14ac:dyDescent="0.25">
      <c r="A344" t="s">
        <v>1211</v>
      </c>
      <c r="B344" t="s">
        <v>1212</v>
      </c>
      <c r="C344" t="s">
        <v>1213</v>
      </c>
      <c r="D344" t="s">
        <v>16</v>
      </c>
      <c r="E344" t="s">
        <v>45</v>
      </c>
      <c r="F344">
        <v>61</v>
      </c>
      <c r="G344" t="s">
        <v>1214</v>
      </c>
      <c r="H344">
        <v>4</v>
      </c>
      <c r="I344">
        <v>22.26</v>
      </c>
      <c r="J344">
        <v>9.26</v>
      </c>
      <c r="K344" t="s">
        <v>41</v>
      </c>
      <c r="L344" s="3">
        <v>45028</v>
      </c>
      <c r="M344" t="s">
        <v>48</v>
      </c>
      <c r="N344">
        <v>61</v>
      </c>
    </row>
    <row r="345" spans="1:14" x14ac:dyDescent="0.25">
      <c r="A345" t="s">
        <v>1215</v>
      </c>
      <c r="B345" t="s">
        <v>1216</v>
      </c>
      <c r="C345" s="1">
        <v>45207</v>
      </c>
      <c r="D345" t="s">
        <v>16</v>
      </c>
      <c r="E345" t="s">
        <v>60</v>
      </c>
      <c r="F345">
        <v>72</v>
      </c>
      <c r="G345" t="s">
        <v>1217</v>
      </c>
      <c r="H345">
        <v>1</v>
      </c>
      <c r="I345" t="s">
        <v>1218</v>
      </c>
      <c r="J345">
        <v>9.2100000000000009</v>
      </c>
      <c r="K345" t="s">
        <v>41</v>
      </c>
      <c r="L345" s="3">
        <v>45207</v>
      </c>
      <c r="M345" t="s">
        <v>48</v>
      </c>
      <c r="N345">
        <v>72</v>
      </c>
    </row>
    <row r="346" spans="1:14" x14ac:dyDescent="0.25">
      <c r="A346" t="s">
        <v>1219</v>
      </c>
      <c r="B346" t="s">
        <v>1216</v>
      </c>
      <c r="C346" t="s">
        <v>1220</v>
      </c>
      <c r="D346" t="s">
        <v>16</v>
      </c>
      <c r="E346" t="s">
        <v>70</v>
      </c>
      <c r="F346">
        <v>45</v>
      </c>
      <c r="G346" t="s">
        <v>1177</v>
      </c>
      <c r="H346">
        <v>2</v>
      </c>
      <c r="I346" t="s">
        <v>1221</v>
      </c>
      <c r="J346">
        <v>13.53</v>
      </c>
      <c r="K346" t="s">
        <v>41</v>
      </c>
      <c r="L346" s="3">
        <v>45229</v>
      </c>
      <c r="M346" t="s">
        <v>20</v>
      </c>
      <c r="N346">
        <v>45</v>
      </c>
    </row>
    <row r="347" spans="1:14" x14ac:dyDescent="0.25">
      <c r="A347" t="s">
        <v>1222</v>
      </c>
      <c r="B347" t="s">
        <v>79</v>
      </c>
      <c r="C347" t="s">
        <v>1223</v>
      </c>
      <c r="D347" t="s">
        <v>51</v>
      </c>
      <c r="E347" t="s">
        <v>31</v>
      </c>
      <c r="F347">
        <v>44</v>
      </c>
      <c r="G347" t="s">
        <v>1224</v>
      </c>
      <c r="H347">
        <v>1</v>
      </c>
      <c r="I347" s="2">
        <v>14.83</v>
      </c>
      <c r="J347">
        <v>4.97</v>
      </c>
      <c r="K347" t="s">
        <v>41</v>
      </c>
      <c r="L347" s="3">
        <v>45090</v>
      </c>
      <c r="M347" t="s">
        <v>34</v>
      </c>
      <c r="N347">
        <v>44</v>
      </c>
    </row>
    <row r="348" spans="1:14" x14ac:dyDescent="0.25">
      <c r="A348" t="s">
        <v>1225</v>
      </c>
      <c r="B348" t="s">
        <v>1226</v>
      </c>
      <c r="C348" s="1">
        <v>45377</v>
      </c>
      <c r="D348" t="s">
        <v>129</v>
      </c>
      <c r="E348" t="s">
        <v>45</v>
      </c>
      <c r="F348">
        <v>32</v>
      </c>
      <c r="G348" t="s">
        <v>100</v>
      </c>
      <c r="H348">
        <v>1</v>
      </c>
      <c r="I348" t="s">
        <v>1227</v>
      </c>
      <c r="J348">
        <v>2.5099999999999998</v>
      </c>
      <c r="K348" t="s">
        <v>41</v>
      </c>
      <c r="L348" s="3">
        <v>45377</v>
      </c>
      <c r="M348" t="s">
        <v>48</v>
      </c>
      <c r="N348">
        <v>32</v>
      </c>
    </row>
    <row r="349" spans="1:14" x14ac:dyDescent="0.25">
      <c r="A349" t="s">
        <v>1228</v>
      </c>
      <c r="B349" t="s">
        <v>1229</v>
      </c>
      <c r="C349" t="s">
        <v>1230</v>
      </c>
      <c r="D349" t="s">
        <v>24</v>
      </c>
      <c r="E349" t="s">
        <v>45</v>
      </c>
      <c r="F349">
        <v>44</v>
      </c>
      <c r="G349" t="s">
        <v>796</v>
      </c>
      <c r="H349">
        <v>2</v>
      </c>
      <c r="I349" t="s">
        <v>1231</v>
      </c>
      <c r="J349">
        <v>10.41</v>
      </c>
      <c r="K349" t="s">
        <v>19</v>
      </c>
      <c r="L349" s="3">
        <v>45426</v>
      </c>
      <c r="M349" t="s">
        <v>48</v>
      </c>
      <c r="N349">
        <v>44</v>
      </c>
    </row>
    <row r="350" spans="1:14" x14ac:dyDescent="0.25">
      <c r="A350" t="s">
        <v>833</v>
      </c>
      <c r="B350" t="s">
        <v>834</v>
      </c>
      <c r="C350" s="3">
        <v>45480</v>
      </c>
      <c r="D350" t="s">
        <v>24</v>
      </c>
      <c r="E350" t="s">
        <v>34</v>
      </c>
      <c r="F350">
        <v>71</v>
      </c>
      <c r="G350" t="s">
        <v>137</v>
      </c>
      <c r="H350">
        <v>2</v>
      </c>
      <c r="I350">
        <v>40.4</v>
      </c>
      <c r="J350" t="s">
        <v>835</v>
      </c>
      <c r="K350" t="s">
        <v>41</v>
      </c>
      <c r="L350" s="3">
        <v>45480</v>
      </c>
      <c r="M350" t="s">
        <v>34</v>
      </c>
      <c r="N350">
        <v>71</v>
      </c>
    </row>
    <row r="351" spans="1:14" x14ac:dyDescent="0.25">
      <c r="A351" t="s">
        <v>1232</v>
      </c>
      <c r="B351" t="s">
        <v>1233</v>
      </c>
      <c r="C351" s="3">
        <v>44985</v>
      </c>
      <c r="D351" t="s">
        <v>51</v>
      </c>
      <c r="E351" t="s">
        <v>85</v>
      </c>
      <c r="F351">
        <v>55</v>
      </c>
      <c r="G351" t="s">
        <v>1234</v>
      </c>
      <c r="H351">
        <v>1</v>
      </c>
      <c r="I351" s="2">
        <v>11.14</v>
      </c>
      <c r="J351" s="2">
        <v>4.38</v>
      </c>
      <c r="K351" t="s">
        <v>19</v>
      </c>
      <c r="L351" s="3">
        <v>44985</v>
      </c>
      <c r="M351" t="s">
        <v>34</v>
      </c>
      <c r="N351">
        <v>55</v>
      </c>
    </row>
    <row r="352" spans="1:14" x14ac:dyDescent="0.25">
      <c r="A352" t="s">
        <v>1235</v>
      </c>
      <c r="B352" t="s">
        <v>1110</v>
      </c>
      <c r="C352" s="3">
        <v>45079</v>
      </c>
      <c r="D352" t="s">
        <v>129</v>
      </c>
      <c r="E352" t="s">
        <v>85</v>
      </c>
      <c r="F352">
        <v>51</v>
      </c>
      <c r="G352" t="s">
        <v>951</v>
      </c>
      <c r="H352">
        <v>1</v>
      </c>
      <c r="I352" s="2">
        <v>17.989999999999998</v>
      </c>
      <c r="J352" t="s">
        <v>1236</v>
      </c>
      <c r="K352" t="s">
        <v>19</v>
      </c>
      <c r="L352" s="3">
        <v>45079</v>
      </c>
      <c r="M352" t="s">
        <v>34</v>
      </c>
      <c r="N352">
        <v>51</v>
      </c>
    </row>
    <row r="353" spans="1:14" x14ac:dyDescent="0.25">
      <c r="A353" t="s">
        <v>1237</v>
      </c>
      <c r="B353" t="s">
        <v>1238</v>
      </c>
      <c r="C353" t="s">
        <v>1239</v>
      </c>
      <c r="D353" t="s">
        <v>16</v>
      </c>
      <c r="E353" t="s">
        <v>132</v>
      </c>
      <c r="F353">
        <v>27</v>
      </c>
      <c r="G353" t="s">
        <v>1240</v>
      </c>
      <c r="H353">
        <v>2</v>
      </c>
      <c r="I353">
        <v>17.850000000000001</v>
      </c>
      <c r="J353" s="2">
        <v>7.67</v>
      </c>
      <c r="K353" t="s">
        <v>41</v>
      </c>
      <c r="L353" s="3">
        <v>45076</v>
      </c>
      <c r="M353" t="s">
        <v>132</v>
      </c>
      <c r="N353">
        <v>27</v>
      </c>
    </row>
    <row r="354" spans="1:14" x14ac:dyDescent="0.25">
      <c r="A354" t="s">
        <v>1241</v>
      </c>
      <c r="B354" t="s">
        <v>314</v>
      </c>
      <c r="C354" t="s">
        <v>1242</v>
      </c>
      <c r="D354" t="s">
        <v>16</v>
      </c>
      <c r="E354" t="s">
        <v>60</v>
      </c>
      <c r="F354">
        <v>71</v>
      </c>
      <c r="G354" t="s">
        <v>1016</v>
      </c>
      <c r="H354">
        <v>2</v>
      </c>
      <c r="I354">
        <v>40.54</v>
      </c>
      <c r="J354">
        <v>16.670000000000002</v>
      </c>
      <c r="K354" t="s">
        <v>19</v>
      </c>
      <c r="L354" s="3">
        <v>45636</v>
      </c>
      <c r="M354" t="s">
        <v>48</v>
      </c>
      <c r="N354">
        <v>71</v>
      </c>
    </row>
    <row r="355" spans="1:14" x14ac:dyDescent="0.25">
      <c r="A355" t="s">
        <v>1243</v>
      </c>
      <c r="B355" t="s">
        <v>261</v>
      </c>
      <c r="C355" s="1">
        <v>45308</v>
      </c>
      <c r="D355" t="s">
        <v>129</v>
      </c>
      <c r="E355" t="s">
        <v>85</v>
      </c>
      <c r="F355">
        <v>61</v>
      </c>
      <c r="G355" t="s">
        <v>1244</v>
      </c>
      <c r="H355">
        <v>1</v>
      </c>
      <c r="I355" t="s">
        <v>1245</v>
      </c>
      <c r="J355">
        <v>5.12</v>
      </c>
      <c r="K355" t="s">
        <v>41</v>
      </c>
      <c r="L355" s="3">
        <v>45308</v>
      </c>
      <c r="M355" t="s">
        <v>34</v>
      </c>
      <c r="N355">
        <v>61</v>
      </c>
    </row>
    <row r="356" spans="1:14" x14ac:dyDescent="0.25">
      <c r="A356" t="s">
        <v>1246</v>
      </c>
      <c r="B356" t="s">
        <v>1247</v>
      </c>
      <c r="C356" t="s">
        <v>1248</v>
      </c>
      <c r="D356" t="s">
        <v>129</v>
      </c>
      <c r="E356" t="s">
        <v>31</v>
      </c>
      <c r="F356">
        <v>14</v>
      </c>
      <c r="G356" t="s">
        <v>1249</v>
      </c>
      <c r="H356">
        <v>2</v>
      </c>
      <c r="I356" t="s">
        <v>1250</v>
      </c>
      <c r="J356">
        <v>4.55</v>
      </c>
      <c r="K356" t="s">
        <v>19</v>
      </c>
      <c r="L356" s="3">
        <v>45038</v>
      </c>
      <c r="M356" t="s">
        <v>34</v>
      </c>
      <c r="N356">
        <v>14</v>
      </c>
    </row>
    <row r="357" spans="1:14" x14ac:dyDescent="0.25">
      <c r="A357" t="s">
        <v>1251</v>
      </c>
      <c r="B357" t="s">
        <v>1252</v>
      </c>
      <c r="C357" t="s">
        <v>1253</v>
      </c>
      <c r="D357" t="s">
        <v>24</v>
      </c>
      <c r="E357" t="s">
        <v>38</v>
      </c>
      <c r="F357">
        <v>20</v>
      </c>
      <c r="G357" t="s">
        <v>1254</v>
      </c>
      <c r="H357">
        <v>2</v>
      </c>
      <c r="I357" s="2">
        <v>54.77</v>
      </c>
      <c r="J357">
        <v>23.38</v>
      </c>
      <c r="K357" t="s">
        <v>19</v>
      </c>
      <c r="L357" s="3">
        <v>45450</v>
      </c>
      <c r="M357" t="s">
        <v>34</v>
      </c>
      <c r="N357">
        <v>20</v>
      </c>
    </row>
    <row r="358" spans="1:14" x14ac:dyDescent="0.25">
      <c r="A358" t="s">
        <v>1255</v>
      </c>
      <c r="B358" t="s">
        <v>1256</v>
      </c>
      <c r="C358" t="s">
        <v>1257</v>
      </c>
      <c r="D358" t="s">
        <v>30</v>
      </c>
      <c r="E358" t="s">
        <v>85</v>
      </c>
      <c r="F358">
        <v>33</v>
      </c>
      <c r="G358" t="s">
        <v>1258</v>
      </c>
      <c r="H358">
        <v>1</v>
      </c>
      <c r="I358">
        <v>11.56</v>
      </c>
      <c r="J358">
        <v>5.98</v>
      </c>
      <c r="K358" t="s">
        <v>41</v>
      </c>
      <c r="L358" s="3">
        <v>44981</v>
      </c>
      <c r="M358" t="s">
        <v>34</v>
      </c>
      <c r="N358">
        <v>33</v>
      </c>
    </row>
    <row r="359" spans="1:14" x14ac:dyDescent="0.25">
      <c r="A359" t="s">
        <v>1259</v>
      </c>
      <c r="B359" t="s">
        <v>1080</v>
      </c>
      <c r="C359" s="1">
        <v>45643</v>
      </c>
      <c r="D359" t="s">
        <v>16</v>
      </c>
      <c r="E359" t="s">
        <v>132</v>
      </c>
      <c r="F359">
        <v>19</v>
      </c>
      <c r="G359" t="s">
        <v>1260</v>
      </c>
      <c r="H359">
        <v>1</v>
      </c>
      <c r="I359">
        <v>23.52</v>
      </c>
      <c r="J359">
        <v>9.75</v>
      </c>
      <c r="K359" t="s">
        <v>41</v>
      </c>
      <c r="L359" s="3">
        <v>45643</v>
      </c>
      <c r="M359" t="s">
        <v>132</v>
      </c>
      <c r="N359">
        <v>19</v>
      </c>
    </row>
    <row r="360" spans="1:14" x14ac:dyDescent="0.25">
      <c r="A360" t="s">
        <v>1261</v>
      </c>
      <c r="B360" t="s">
        <v>1262</v>
      </c>
      <c r="C360" t="s">
        <v>1263</v>
      </c>
      <c r="D360" t="s">
        <v>24</v>
      </c>
      <c r="E360" t="s">
        <v>31</v>
      </c>
      <c r="F360">
        <v>45</v>
      </c>
      <c r="G360" t="s">
        <v>1264</v>
      </c>
      <c r="H360">
        <v>1</v>
      </c>
      <c r="I360">
        <v>6.5</v>
      </c>
      <c r="J360" t="s">
        <v>914</v>
      </c>
      <c r="K360" t="s">
        <v>19</v>
      </c>
      <c r="L360" s="3">
        <v>45460</v>
      </c>
      <c r="M360" t="s">
        <v>34</v>
      </c>
      <c r="N360">
        <v>45</v>
      </c>
    </row>
    <row r="361" spans="1:14" x14ac:dyDescent="0.25">
      <c r="A361" t="s">
        <v>1265</v>
      </c>
      <c r="B361" t="s">
        <v>514</v>
      </c>
      <c r="C361" t="s">
        <v>1266</v>
      </c>
      <c r="D361" t="s">
        <v>16</v>
      </c>
      <c r="E361" t="s">
        <v>38</v>
      </c>
      <c r="F361">
        <v>15</v>
      </c>
      <c r="G361" t="s">
        <v>1267</v>
      </c>
      <c r="H361">
        <v>2</v>
      </c>
      <c r="I361" s="2">
        <v>43.53</v>
      </c>
      <c r="J361">
        <v>22.94</v>
      </c>
      <c r="K361" t="s">
        <v>19</v>
      </c>
      <c r="L361" s="3">
        <v>45574</v>
      </c>
      <c r="M361" t="s">
        <v>34</v>
      </c>
      <c r="N361">
        <v>15</v>
      </c>
    </row>
    <row r="362" spans="1:14" x14ac:dyDescent="0.25">
      <c r="A362" t="s">
        <v>1268</v>
      </c>
      <c r="B362" t="s">
        <v>1269</v>
      </c>
      <c r="C362" t="s">
        <v>1270</v>
      </c>
      <c r="D362" t="s">
        <v>24</v>
      </c>
      <c r="E362" t="s">
        <v>60</v>
      </c>
      <c r="F362">
        <v>17</v>
      </c>
      <c r="G362" t="s">
        <v>1271</v>
      </c>
      <c r="H362">
        <v>6</v>
      </c>
      <c r="I362">
        <v>151.43</v>
      </c>
      <c r="J362">
        <v>65.27</v>
      </c>
      <c r="K362" t="s">
        <v>19</v>
      </c>
      <c r="L362" s="3">
        <v>44987</v>
      </c>
      <c r="M362" t="s">
        <v>48</v>
      </c>
      <c r="N362">
        <v>17</v>
      </c>
    </row>
    <row r="363" spans="1:14" x14ac:dyDescent="0.25">
      <c r="A363" t="s">
        <v>1272</v>
      </c>
      <c r="B363" t="s">
        <v>1273</v>
      </c>
      <c r="C363" s="1">
        <v>45081</v>
      </c>
      <c r="D363" t="s">
        <v>30</v>
      </c>
      <c r="E363" t="s">
        <v>65</v>
      </c>
      <c r="F363" t="s">
        <v>25</v>
      </c>
      <c r="G363" t="s">
        <v>1274</v>
      </c>
      <c r="H363">
        <v>-1</v>
      </c>
      <c r="I363">
        <v>-17.34</v>
      </c>
      <c r="J363">
        <v>-9.01</v>
      </c>
      <c r="K363" t="s">
        <v>41</v>
      </c>
      <c r="L363" s="3">
        <v>45081</v>
      </c>
      <c r="M363" t="s">
        <v>48</v>
      </c>
    </row>
    <row r="364" spans="1:14" x14ac:dyDescent="0.25">
      <c r="A364" t="s">
        <v>1275</v>
      </c>
      <c r="B364" t="s">
        <v>1276</v>
      </c>
      <c r="C364" s="1">
        <v>45560</v>
      </c>
      <c r="D364" t="s">
        <v>30</v>
      </c>
      <c r="E364" t="s">
        <v>85</v>
      </c>
      <c r="F364">
        <v>36</v>
      </c>
      <c r="G364" t="s">
        <v>1277</v>
      </c>
      <c r="H364">
        <v>1</v>
      </c>
      <c r="I364">
        <v>12.38</v>
      </c>
      <c r="J364">
        <v>3.49</v>
      </c>
      <c r="K364" t="s">
        <v>19</v>
      </c>
      <c r="L364" s="3">
        <v>45560</v>
      </c>
      <c r="M364" t="s">
        <v>34</v>
      </c>
      <c r="N364">
        <v>36</v>
      </c>
    </row>
    <row r="365" spans="1:14" x14ac:dyDescent="0.25">
      <c r="A365" t="s">
        <v>1278</v>
      </c>
      <c r="B365" t="s">
        <v>461</v>
      </c>
      <c r="C365" s="3">
        <v>45371</v>
      </c>
      <c r="D365" t="s">
        <v>129</v>
      </c>
      <c r="E365" t="s">
        <v>70</v>
      </c>
      <c r="F365">
        <v>48</v>
      </c>
      <c r="G365" t="s">
        <v>1279</v>
      </c>
      <c r="H365">
        <v>1</v>
      </c>
      <c r="I365" s="2">
        <v>7.62</v>
      </c>
      <c r="J365" t="s">
        <v>1280</v>
      </c>
      <c r="K365" t="s">
        <v>41</v>
      </c>
      <c r="L365" s="3">
        <v>45371</v>
      </c>
      <c r="M365" t="s">
        <v>20</v>
      </c>
      <c r="N365">
        <v>48</v>
      </c>
    </row>
    <row r="366" spans="1:14" x14ac:dyDescent="0.25">
      <c r="A366" t="s">
        <v>1281</v>
      </c>
      <c r="B366" t="s">
        <v>1282</v>
      </c>
      <c r="C366" s="3">
        <v>44985</v>
      </c>
      <c r="D366" t="s">
        <v>51</v>
      </c>
      <c r="E366" t="s">
        <v>31</v>
      </c>
      <c r="F366">
        <v>49</v>
      </c>
      <c r="G366" t="s">
        <v>1283</v>
      </c>
      <c r="H366">
        <v>1</v>
      </c>
      <c r="I366">
        <v>62.15</v>
      </c>
      <c r="J366">
        <v>28.09</v>
      </c>
      <c r="K366" t="s">
        <v>41</v>
      </c>
      <c r="L366" s="3">
        <v>44985</v>
      </c>
      <c r="M366" t="s">
        <v>34</v>
      </c>
      <c r="N366">
        <v>49</v>
      </c>
    </row>
    <row r="367" spans="1:14" x14ac:dyDescent="0.25">
      <c r="A367" t="s">
        <v>600</v>
      </c>
      <c r="B367" t="s">
        <v>215</v>
      </c>
      <c r="C367" s="3">
        <v>45299</v>
      </c>
      <c r="D367" t="s">
        <v>16</v>
      </c>
      <c r="E367" t="s">
        <v>38</v>
      </c>
      <c r="F367">
        <v>40</v>
      </c>
      <c r="G367" t="s">
        <v>320</v>
      </c>
      <c r="H367">
        <v>1</v>
      </c>
      <c r="I367">
        <v>15.14</v>
      </c>
      <c r="J367" t="s">
        <v>601</v>
      </c>
      <c r="K367" t="s">
        <v>41</v>
      </c>
      <c r="L367" s="3">
        <v>45299</v>
      </c>
      <c r="M367" t="s">
        <v>34</v>
      </c>
      <c r="N367">
        <v>40</v>
      </c>
    </row>
    <row r="368" spans="1:14" x14ac:dyDescent="0.25">
      <c r="A368" t="s">
        <v>1284</v>
      </c>
      <c r="B368" t="s">
        <v>1285</v>
      </c>
      <c r="C368" s="1">
        <v>45140</v>
      </c>
      <c r="D368" t="s">
        <v>16</v>
      </c>
      <c r="E368" t="s">
        <v>31</v>
      </c>
      <c r="F368">
        <v>70</v>
      </c>
      <c r="G368" t="s">
        <v>1286</v>
      </c>
      <c r="H368">
        <v>2</v>
      </c>
      <c r="I368">
        <v>26.81</v>
      </c>
      <c r="J368">
        <v>9.92</v>
      </c>
      <c r="K368" t="s">
        <v>41</v>
      </c>
      <c r="L368" s="3">
        <v>45140</v>
      </c>
      <c r="M368" t="s">
        <v>34</v>
      </c>
      <c r="N368">
        <v>70</v>
      </c>
    </row>
    <row r="369" spans="1:14" x14ac:dyDescent="0.25">
      <c r="A369" t="s">
        <v>1287</v>
      </c>
      <c r="B369" t="s">
        <v>1288</v>
      </c>
      <c r="C369" s="1">
        <v>45108</v>
      </c>
      <c r="D369" t="s">
        <v>129</v>
      </c>
      <c r="E369" t="s">
        <v>132</v>
      </c>
      <c r="F369">
        <v>42</v>
      </c>
      <c r="G369" t="s">
        <v>887</v>
      </c>
      <c r="H369">
        <v>-5</v>
      </c>
      <c r="I369">
        <v>-52.03</v>
      </c>
      <c r="J369">
        <v>-27.93</v>
      </c>
      <c r="K369" t="s">
        <v>19</v>
      </c>
      <c r="L369" s="3">
        <v>45108</v>
      </c>
      <c r="M369" t="s">
        <v>132</v>
      </c>
      <c r="N369">
        <v>42</v>
      </c>
    </row>
    <row r="370" spans="1:14" x14ac:dyDescent="0.25">
      <c r="A370" t="s">
        <v>1289</v>
      </c>
      <c r="B370" t="s">
        <v>1290</v>
      </c>
      <c r="C370" s="3">
        <v>45065</v>
      </c>
      <c r="D370" t="s">
        <v>16</v>
      </c>
      <c r="E370" t="s">
        <v>132</v>
      </c>
      <c r="F370">
        <v>61</v>
      </c>
      <c r="G370" t="s">
        <v>1291</v>
      </c>
      <c r="H370">
        <v>5</v>
      </c>
      <c r="I370" s="2">
        <v>139.93</v>
      </c>
      <c r="K370" t="s">
        <v>41</v>
      </c>
      <c r="L370" s="3">
        <v>45065</v>
      </c>
      <c r="M370" t="s">
        <v>132</v>
      </c>
      <c r="N370">
        <v>61</v>
      </c>
    </row>
    <row r="371" spans="1:14" x14ac:dyDescent="0.25">
      <c r="A371" t="s">
        <v>1292</v>
      </c>
      <c r="B371" t="s">
        <v>1293</v>
      </c>
      <c r="C371" s="3">
        <v>45139</v>
      </c>
      <c r="D371" t="s">
        <v>30</v>
      </c>
      <c r="E371" t="s">
        <v>38</v>
      </c>
      <c r="F371" t="s">
        <v>435</v>
      </c>
      <c r="G371" t="s">
        <v>1294</v>
      </c>
      <c r="H371">
        <v>1</v>
      </c>
      <c r="I371" s="2">
        <v>26.11</v>
      </c>
      <c r="J371">
        <v>12.1</v>
      </c>
      <c r="K371" t="s">
        <v>41</v>
      </c>
      <c r="L371" s="3">
        <v>45139</v>
      </c>
      <c r="M371" t="s">
        <v>34</v>
      </c>
    </row>
    <row r="372" spans="1:14" x14ac:dyDescent="0.25">
      <c r="A372" t="s">
        <v>1295</v>
      </c>
      <c r="B372" t="s">
        <v>1296</v>
      </c>
      <c r="C372" t="s">
        <v>1297</v>
      </c>
      <c r="D372" t="s">
        <v>30</v>
      </c>
      <c r="E372" t="s">
        <v>85</v>
      </c>
      <c r="F372">
        <v>32</v>
      </c>
      <c r="G372" t="s">
        <v>1298</v>
      </c>
      <c r="H372">
        <v>3</v>
      </c>
      <c r="I372">
        <v>68.760000000000005</v>
      </c>
      <c r="J372" t="s">
        <v>1299</v>
      </c>
      <c r="K372" t="s">
        <v>41</v>
      </c>
      <c r="L372" s="3">
        <v>45654</v>
      </c>
      <c r="M372" t="s">
        <v>34</v>
      </c>
      <c r="N372">
        <v>32</v>
      </c>
    </row>
    <row r="373" spans="1:14" x14ac:dyDescent="0.25">
      <c r="A373" t="s">
        <v>1300</v>
      </c>
      <c r="B373" t="s">
        <v>776</v>
      </c>
      <c r="C373" t="s">
        <v>1301</v>
      </c>
      <c r="D373" t="s">
        <v>30</v>
      </c>
      <c r="E373" t="s">
        <v>70</v>
      </c>
      <c r="F373">
        <v>73</v>
      </c>
      <c r="G373" t="s">
        <v>1302</v>
      </c>
      <c r="H373">
        <v>2</v>
      </c>
      <c r="I373">
        <v>41.94</v>
      </c>
      <c r="J373">
        <v>19.600000000000001</v>
      </c>
      <c r="K373" t="s">
        <v>19</v>
      </c>
      <c r="L373" s="3">
        <v>45202</v>
      </c>
      <c r="M373" t="s">
        <v>20</v>
      </c>
      <c r="N373">
        <v>73</v>
      </c>
    </row>
    <row r="374" spans="1:14" x14ac:dyDescent="0.25">
      <c r="A374" t="s">
        <v>1303</v>
      </c>
      <c r="B374" t="s">
        <v>539</v>
      </c>
      <c r="C374" s="3">
        <v>45091</v>
      </c>
      <c r="D374" t="s">
        <v>30</v>
      </c>
      <c r="E374" t="s">
        <v>85</v>
      </c>
      <c r="F374">
        <v>51</v>
      </c>
      <c r="G374" t="s">
        <v>81</v>
      </c>
      <c r="H374">
        <v>1</v>
      </c>
      <c r="I374">
        <v>34.43</v>
      </c>
      <c r="J374" t="s">
        <v>1304</v>
      </c>
      <c r="K374" t="s">
        <v>41</v>
      </c>
      <c r="L374" s="3">
        <v>45091</v>
      </c>
      <c r="M374" t="s">
        <v>34</v>
      </c>
      <c r="N374">
        <v>51</v>
      </c>
    </row>
    <row r="375" spans="1:14" x14ac:dyDescent="0.25">
      <c r="A375" t="s">
        <v>1305</v>
      </c>
      <c r="B375" t="s">
        <v>1306</v>
      </c>
      <c r="C375" t="s">
        <v>1307</v>
      </c>
      <c r="D375" t="s">
        <v>30</v>
      </c>
      <c r="E375" t="s">
        <v>48</v>
      </c>
      <c r="F375">
        <v>14</v>
      </c>
      <c r="G375" t="s">
        <v>1308</v>
      </c>
      <c r="H375">
        <v>2</v>
      </c>
      <c r="I375" t="s">
        <v>1309</v>
      </c>
      <c r="J375">
        <v>16.510000000000002</v>
      </c>
      <c r="K375" t="s">
        <v>41</v>
      </c>
      <c r="L375" s="3">
        <v>45134</v>
      </c>
      <c r="M375" t="s">
        <v>48</v>
      </c>
      <c r="N375">
        <v>14</v>
      </c>
    </row>
    <row r="376" spans="1:14" x14ac:dyDescent="0.25">
      <c r="A376" t="s">
        <v>1310</v>
      </c>
      <c r="B376" t="s">
        <v>1311</v>
      </c>
      <c r="C376" s="1">
        <v>45411</v>
      </c>
      <c r="D376" t="s">
        <v>24</v>
      </c>
      <c r="E376" t="s">
        <v>85</v>
      </c>
      <c r="F376">
        <v>23</v>
      </c>
      <c r="G376" t="s">
        <v>416</v>
      </c>
      <c r="H376">
        <v>1</v>
      </c>
      <c r="I376">
        <v>25.37</v>
      </c>
      <c r="J376" t="s">
        <v>1312</v>
      </c>
      <c r="K376" t="s">
        <v>19</v>
      </c>
      <c r="L376" s="3">
        <v>45411</v>
      </c>
      <c r="M376" t="s">
        <v>34</v>
      </c>
      <c r="N376">
        <v>23</v>
      </c>
    </row>
    <row r="377" spans="1:14" x14ac:dyDescent="0.25">
      <c r="A377" t="s">
        <v>1313</v>
      </c>
      <c r="B377" t="s">
        <v>469</v>
      </c>
      <c r="C377" s="1">
        <v>45152</v>
      </c>
      <c r="D377" t="s">
        <v>30</v>
      </c>
      <c r="E377" t="s">
        <v>45</v>
      </c>
      <c r="F377">
        <v>32</v>
      </c>
      <c r="G377" t="s">
        <v>1314</v>
      </c>
      <c r="H377">
        <v>2</v>
      </c>
      <c r="I377">
        <v>39.22</v>
      </c>
      <c r="J377" t="s">
        <v>1315</v>
      </c>
      <c r="K377" t="s">
        <v>19</v>
      </c>
      <c r="L377" s="3">
        <v>45152</v>
      </c>
      <c r="M377" t="s">
        <v>48</v>
      </c>
      <c r="N377">
        <v>32</v>
      </c>
    </row>
    <row r="378" spans="1:14" x14ac:dyDescent="0.25">
      <c r="A378" t="s">
        <v>1316</v>
      </c>
      <c r="B378" t="s">
        <v>487</v>
      </c>
      <c r="C378" s="1">
        <v>45401</v>
      </c>
      <c r="D378" t="s">
        <v>129</v>
      </c>
      <c r="E378" t="s">
        <v>31</v>
      </c>
      <c r="F378">
        <v>27</v>
      </c>
      <c r="G378" t="s">
        <v>887</v>
      </c>
      <c r="H378">
        <v>1</v>
      </c>
      <c r="I378">
        <v>15.8</v>
      </c>
      <c r="J378" t="s">
        <v>1317</v>
      </c>
      <c r="K378" t="s">
        <v>19</v>
      </c>
      <c r="L378" s="3">
        <v>45401</v>
      </c>
      <c r="M378" t="s">
        <v>34</v>
      </c>
      <c r="N378">
        <v>27</v>
      </c>
    </row>
    <row r="379" spans="1:14" x14ac:dyDescent="0.25">
      <c r="A379" t="s">
        <v>1318</v>
      </c>
      <c r="B379" t="s">
        <v>1319</v>
      </c>
      <c r="C379" s="1">
        <v>45092</v>
      </c>
      <c r="D379" t="s">
        <v>24</v>
      </c>
      <c r="E379" t="s">
        <v>38</v>
      </c>
      <c r="F379">
        <v>62</v>
      </c>
      <c r="G379" t="s">
        <v>1320</v>
      </c>
      <c r="H379">
        <v>2</v>
      </c>
      <c r="I379" s="2">
        <v>58.68</v>
      </c>
      <c r="J379" t="s">
        <v>1321</v>
      </c>
      <c r="K379" t="s">
        <v>19</v>
      </c>
      <c r="L379" s="3">
        <v>45092</v>
      </c>
      <c r="M379" t="s">
        <v>34</v>
      </c>
      <c r="N379">
        <v>62</v>
      </c>
    </row>
    <row r="380" spans="1:14" x14ac:dyDescent="0.25">
      <c r="A380" t="s">
        <v>1322</v>
      </c>
      <c r="B380" t="s">
        <v>237</v>
      </c>
      <c r="C380" t="s">
        <v>1323</v>
      </c>
      <c r="D380" t="s">
        <v>129</v>
      </c>
      <c r="E380" t="s">
        <v>25</v>
      </c>
      <c r="F380">
        <v>50</v>
      </c>
      <c r="G380" t="s">
        <v>1324</v>
      </c>
      <c r="H380">
        <v>1</v>
      </c>
      <c r="I380">
        <v>7.93</v>
      </c>
      <c r="J380">
        <v>2.58</v>
      </c>
      <c r="K380" t="s">
        <v>19</v>
      </c>
      <c r="L380" s="3">
        <v>45195</v>
      </c>
      <c r="M380" t="s">
        <v>20</v>
      </c>
      <c r="N380">
        <v>50</v>
      </c>
    </row>
    <row r="381" spans="1:14" x14ac:dyDescent="0.25">
      <c r="A381" t="s">
        <v>1325</v>
      </c>
      <c r="B381" t="s">
        <v>924</v>
      </c>
      <c r="C381" s="1">
        <v>45061</v>
      </c>
      <c r="D381" t="s">
        <v>24</v>
      </c>
      <c r="E381" t="s">
        <v>132</v>
      </c>
      <c r="F381">
        <v>24</v>
      </c>
      <c r="G381" t="s">
        <v>1326</v>
      </c>
      <c r="H381">
        <v>2</v>
      </c>
      <c r="I381">
        <v>42.72</v>
      </c>
      <c r="J381">
        <v>14.48</v>
      </c>
      <c r="K381" t="s">
        <v>19</v>
      </c>
      <c r="L381" s="3">
        <v>45061</v>
      </c>
      <c r="M381" t="s">
        <v>132</v>
      </c>
      <c r="N381">
        <v>24</v>
      </c>
    </row>
    <row r="382" spans="1:14" x14ac:dyDescent="0.25">
      <c r="A382" t="s">
        <v>1327</v>
      </c>
      <c r="B382" t="s">
        <v>803</v>
      </c>
      <c r="C382" t="s">
        <v>1328</v>
      </c>
      <c r="D382" t="s">
        <v>30</v>
      </c>
      <c r="E382" t="s">
        <v>34</v>
      </c>
      <c r="F382">
        <v>68</v>
      </c>
      <c r="G382" t="s">
        <v>1329</v>
      </c>
      <c r="H382">
        <v>1</v>
      </c>
      <c r="I382">
        <v>23.49</v>
      </c>
      <c r="J382">
        <v>11.52</v>
      </c>
      <c r="K382" t="s">
        <v>19</v>
      </c>
      <c r="L382" s="3">
        <v>45114</v>
      </c>
      <c r="M382" t="s">
        <v>34</v>
      </c>
      <c r="N382">
        <v>68</v>
      </c>
    </row>
    <row r="383" spans="1:14" x14ac:dyDescent="0.25">
      <c r="A383" t="s">
        <v>1330</v>
      </c>
      <c r="B383" t="s">
        <v>546</v>
      </c>
      <c r="C383" t="s">
        <v>1331</v>
      </c>
      <c r="D383" t="s">
        <v>51</v>
      </c>
      <c r="E383" t="s">
        <v>85</v>
      </c>
      <c r="F383">
        <v>20</v>
      </c>
      <c r="G383" t="s">
        <v>1332</v>
      </c>
      <c r="H383">
        <v>1</v>
      </c>
      <c r="I383">
        <v>9.6199999999999992</v>
      </c>
      <c r="J383">
        <v>4.04</v>
      </c>
      <c r="K383" t="s">
        <v>41</v>
      </c>
      <c r="L383" s="3">
        <v>45009</v>
      </c>
      <c r="M383" t="s">
        <v>34</v>
      </c>
      <c r="N383">
        <v>20</v>
      </c>
    </row>
    <row r="384" spans="1:14" x14ac:dyDescent="0.25">
      <c r="A384" t="s">
        <v>1333</v>
      </c>
      <c r="B384" t="s">
        <v>514</v>
      </c>
      <c r="C384" t="s">
        <v>1334</v>
      </c>
      <c r="D384" t="s">
        <v>16</v>
      </c>
      <c r="E384" t="s">
        <v>38</v>
      </c>
      <c r="F384">
        <v>33</v>
      </c>
      <c r="G384" t="s">
        <v>860</v>
      </c>
      <c r="H384">
        <v>4</v>
      </c>
      <c r="J384" s="2">
        <v>11.46</v>
      </c>
      <c r="K384" t="s">
        <v>41</v>
      </c>
      <c r="L384" s="3">
        <v>45180</v>
      </c>
      <c r="M384" t="s">
        <v>34</v>
      </c>
      <c r="N384">
        <v>33</v>
      </c>
    </row>
    <row r="385" spans="1:14" x14ac:dyDescent="0.25">
      <c r="A385" t="s">
        <v>1335</v>
      </c>
      <c r="B385" t="s">
        <v>1336</v>
      </c>
      <c r="C385" t="s">
        <v>1337</v>
      </c>
      <c r="D385" t="s">
        <v>16</v>
      </c>
      <c r="E385" t="s">
        <v>45</v>
      </c>
      <c r="F385">
        <v>35</v>
      </c>
      <c r="G385" t="s">
        <v>192</v>
      </c>
      <c r="H385">
        <v>2</v>
      </c>
      <c r="I385">
        <v>24.6</v>
      </c>
      <c r="J385">
        <v>10.68</v>
      </c>
      <c r="K385" t="s">
        <v>19</v>
      </c>
      <c r="L385" s="3">
        <v>45090</v>
      </c>
      <c r="M385" t="s">
        <v>48</v>
      </c>
      <c r="N385">
        <v>35</v>
      </c>
    </row>
    <row r="386" spans="1:14" x14ac:dyDescent="0.25">
      <c r="A386" t="s">
        <v>1338</v>
      </c>
      <c r="B386" t="s">
        <v>1339</v>
      </c>
      <c r="C386" t="s">
        <v>1340</v>
      </c>
      <c r="D386" t="s">
        <v>129</v>
      </c>
      <c r="E386" t="s">
        <v>31</v>
      </c>
      <c r="F386">
        <v>51</v>
      </c>
      <c r="G386" t="s">
        <v>1341</v>
      </c>
      <c r="H386">
        <v>1</v>
      </c>
      <c r="I386">
        <v>20.329999999999998</v>
      </c>
      <c r="J386" t="s">
        <v>1342</v>
      </c>
      <c r="K386" t="s">
        <v>19</v>
      </c>
      <c r="L386" s="3">
        <v>45097</v>
      </c>
      <c r="M386" t="s">
        <v>34</v>
      </c>
      <c r="N386">
        <v>51</v>
      </c>
    </row>
    <row r="387" spans="1:14" x14ac:dyDescent="0.25">
      <c r="A387" t="s">
        <v>1343</v>
      </c>
      <c r="B387" t="s">
        <v>1344</v>
      </c>
      <c r="C387" t="s">
        <v>1345</v>
      </c>
      <c r="D387" t="s">
        <v>24</v>
      </c>
      <c r="E387" t="s">
        <v>48</v>
      </c>
      <c r="F387">
        <v>14</v>
      </c>
      <c r="G387" t="s">
        <v>1346</v>
      </c>
      <c r="H387">
        <v>-1</v>
      </c>
      <c r="I387">
        <v>-14.33</v>
      </c>
      <c r="J387">
        <v>-6.12</v>
      </c>
      <c r="K387" t="s">
        <v>19</v>
      </c>
      <c r="L387" s="3">
        <v>44972</v>
      </c>
      <c r="M387" t="s">
        <v>48</v>
      </c>
      <c r="N387">
        <v>14</v>
      </c>
    </row>
    <row r="388" spans="1:14" x14ac:dyDescent="0.25">
      <c r="A388" t="s">
        <v>1347</v>
      </c>
      <c r="B388" t="s">
        <v>585</v>
      </c>
      <c r="C388" s="1">
        <v>45129</v>
      </c>
      <c r="D388" t="s">
        <v>24</v>
      </c>
      <c r="E388" t="s">
        <v>85</v>
      </c>
      <c r="F388">
        <v>65</v>
      </c>
      <c r="G388" t="s">
        <v>1348</v>
      </c>
      <c r="H388">
        <v>2</v>
      </c>
      <c r="I388" t="s">
        <v>1349</v>
      </c>
      <c r="J388">
        <v>23.55</v>
      </c>
      <c r="K388" t="s">
        <v>41</v>
      </c>
      <c r="L388" s="3">
        <v>45129</v>
      </c>
      <c r="M388" t="s">
        <v>34</v>
      </c>
      <c r="N388">
        <v>65</v>
      </c>
    </row>
    <row r="389" spans="1:14" x14ac:dyDescent="0.25">
      <c r="A389" t="s">
        <v>1350</v>
      </c>
      <c r="B389" t="s">
        <v>1273</v>
      </c>
      <c r="C389" t="s">
        <v>1351</v>
      </c>
      <c r="D389" t="s">
        <v>16</v>
      </c>
      <c r="E389" t="s">
        <v>48</v>
      </c>
      <c r="F389">
        <v>59</v>
      </c>
      <c r="G389" t="s">
        <v>1352</v>
      </c>
      <c r="H389">
        <v>5</v>
      </c>
      <c r="I389">
        <v>96.27</v>
      </c>
      <c r="J389">
        <v>45.59</v>
      </c>
      <c r="K389" t="s">
        <v>41</v>
      </c>
      <c r="L389" s="3">
        <v>45227</v>
      </c>
      <c r="M389" t="s">
        <v>48</v>
      </c>
      <c r="N389">
        <v>59</v>
      </c>
    </row>
    <row r="390" spans="1:14" x14ac:dyDescent="0.25">
      <c r="A390" t="s">
        <v>1353</v>
      </c>
      <c r="B390" t="s">
        <v>1354</v>
      </c>
      <c r="C390" t="s">
        <v>1355</v>
      </c>
      <c r="D390" t="s">
        <v>51</v>
      </c>
      <c r="E390" t="s">
        <v>1356</v>
      </c>
      <c r="F390">
        <v>66</v>
      </c>
      <c r="G390" t="s">
        <v>1357</v>
      </c>
      <c r="H390">
        <v>6</v>
      </c>
      <c r="I390">
        <v>173.7</v>
      </c>
      <c r="J390">
        <v>59.09</v>
      </c>
      <c r="K390" t="s">
        <v>19</v>
      </c>
      <c r="L390" s="3">
        <v>45365</v>
      </c>
      <c r="M390" t="s">
        <v>34</v>
      </c>
      <c r="N390">
        <v>66</v>
      </c>
    </row>
    <row r="391" spans="1:14" x14ac:dyDescent="0.25">
      <c r="A391" t="s">
        <v>1358</v>
      </c>
      <c r="B391" t="s">
        <v>1288</v>
      </c>
      <c r="C391" t="s">
        <v>1359</v>
      </c>
      <c r="D391" t="s">
        <v>51</v>
      </c>
      <c r="E391" t="s">
        <v>34</v>
      </c>
      <c r="F391">
        <v>59</v>
      </c>
      <c r="G391" t="s">
        <v>1360</v>
      </c>
      <c r="H391">
        <v>6</v>
      </c>
      <c r="I391" s="2">
        <v>364.3</v>
      </c>
      <c r="J391" t="s">
        <v>1361</v>
      </c>
      <c r="K391" t="s">
        <v>19</v>
      </c>
      <c r="L391" s="3">
        <v>45651</v>
      </c>
      <c r="M391" t="s">
        <v>34</v>
      </c>
      <c r="N391">
        <v>59</v>
      </c>
    </row>
    <row r="392" spans="1:14" x14ac:dyDescent="0.25">
      <c r="A392" t="s">
        <v>1362</v>
      </c>
      <c r="B392" t="s">
        <v>981</v>
      </c>
      <c r="C392" t="s">
        <v>1363</v>
      </c>
      <c r="D392" t="s">
        <v>51</v>
      </c>
      <c r="E392" t="s">
        <v>45</v>
      </c>
      <c r="F392">
        <v>66</v>
      </c>
      <c r="G392" t="s">
        <v>186</v>
      </c>
      <c r="H392">
        <v>2</v>
      </c>
      <c r="I392" t="s">
        <v>1364</v>
      </c>
      <c r="J392" t="s">
        <v>1365</v>
      </c>
      <c r="K392" t="s">
        <v>41</v>
      </c>
      <c r="L392" s="3">
        <v>44997</v>
      </c>
      <c r="M392" t="s">
        <v>48</v>
      </c>
      <c r="N392">
        <v>66</v>
      </c>
    </row>
    <row r="393" spans="1:14" x14ac:dyDescent="0.25">
      <c r="A393" t="s">
        <v>1366</v>
      </c>
      <c r="B393" t="s">
        <v>1367</v>
      </c>
      <c r="C393" s="1">
        <v>45514</v>
      </c>
      <c r="D393" t="s">
        <v>30</v>
      </c>
      <c r="E393" t="s">
        <v>132</v>
      </c>
      <c r="F393">
        <v>54</v>
      </c>
      <c r="G393" t="s">
        <v>1368</v>
      </c>
      <c r="H393">
        <v>4</v>
      </c>
      <c r="I393">
        <v>104.95</v>
      </c>
      <c r="J393">
        <v>51.39</v>
      </c>
      <c r="K393" t="s">
        <v>41</v>
      </c>
      <c r="L393" s="3">
        <v>45514</v>
      </c>
      <c r="M393" t="s">
        <v>132</v>
      </c>
      <c r="N393">
        <v>54</v>
      </c>
    </row>
    <row r="394" spans="1:14" x14ac:dyDescent="0.25">
      <c r="A394" t="s">
        <v>1369</v>
      </c>
      <c r="B394" t="s">
        <v>1233</v>
      </c>
      <c r="C394" s="1">
        <v>45246</v>
      </c>
      <c r="D394" t="s">
        <v>51</v>
      </c>
      <c r="E394" t="s">
        <v>31</v>
      </c>
      <c r="F394">
        <v>51</v>
      </c>
      <c r="G394" t="s">
        <v>1370</v>
      </c>
      <c r="H394">
        <v>1</v>
      </c>
      <c r="I394">
        <v>57.64</v>
      </c>
      <c r="J394" t="s">
        <v>1371</v>
      </c>
      <c r="K394" t="s">
        <v>41</v>
      </c>
      <c r="L394" s="3">
        <v>45246</v>
      </c>
      <c r="M394" t="s">
        <v>34</v>
      </c>
      <c r="N394">
        <v>51</v>
      </c>
    </row>
    <row r="395" spans="1:14" x14ac:dyDescent="0.25">
      <c r="A395" t="s">
        <v>1372</v>
      </c>
      <c r="B395" t="s">
        <v>266</v>
      </c>
      <c r="C395" t="s">
        <v>1373</v>
      </c>
      <c r="D395" t="s">
        <v>129</v>
      </c>
      <c r="E395" t="s">
        <v>38</v>
      </c>
      <c r="F395">
        <v>16</v>
      </c>
      <c r="G395" t="s">
        <v>1374</v>
      </c>
      <c r="H395">
        <v>3</v>
      </c>
      <c r="I395">
        <v>7.01</v>
      </c>
      <c r="J395">
        <v>3.5</v>
      </c>
      <c r="K395" t="s">
        <v>19</v>
      </c>
      <c r="L395" s="3">
        <v>45528</v>
      </c>
      <c r="M395" t="s">
        <v>34</v>
      </c>
      <c r="N395">
        <v>16</v>
      </c>
    </row>
    <row r="396" spans="1:14" x14ac:dyDescent="0.25">
      <c r="A396" t="s">
        <v>1375</v>
      </c>
      <c r="B396" t="s">
        <v>518</v>
      </c>
      <c r="C396" t="s">
        <v>1376</v>
      </c>
      <c r="D396" t="s">
        <v>51</v>
      </c>
      <c r="E396" t="s">
        <v>38</v>
      </c>
      <c r="F396">
        <v>51</v>
      </c>
      <c r="G396" t="s">
        <v>1377</v>
      </c>
      <c r="H396">
        <v>1</v>
      </c>
      <c r="I396">
        <v>67.290000000000006</v>
      </c>
      <c r="J396" t="s">
        <v>1378</v>
      </c>
      <c r="K396" t="s">
        <v>41</v>
      </c>
      <c r="L396" s="3">
        <v>45078</v>
      </c>
      <c r="M396" t="s">
        <v>34</v>
      </c>
      <c r="N396">
        <v>51</v>
      </c>
    </row>
    <row r="397" spans="1:14" x14ac:dyDescent="0.25">
      <c r="A397" t="s">
        <v>1379</v>
      </c>
      <c r="B397" t="s">
        <v>742</v>
      </c>
      <c r="C397" t="s">
        <v>750</v>
      </c>
      <c r="D397" t="s">
        <v>16</v>
      </c>
      <c r="E397" t="s">
        <v>38</v>
      </c>
      <c r="G397" t="s">
        <v>399</v>
      </c>
      <c r="H397">
        <v>1</v>
      </c>
      <c r="I397">
        <v>22.01</v>
      </c>
      <c r="J397" t="s">
        <v>1380</v>
      </c>
      <c r="K397" t="s">
        <v>41</v>
      </c>
      <c r="L397" s="3">
        <v>45482</v>
      </c>
      <c r="M397" t="s">
        <v>34</v>
      </c>
    </row>
    <row r="398" spans="1:14" x14ac:dyDescent="0.25">
      <c r="A398" t="s">
        <v>1381</v>
      </c>
      <c r="B398" t="s">
        <v>408</v>
      </c>
      <c r="C398" t="s">
        <v>1382</v>
      </c>
      <c r="D398" t="s">
        <v>24</v>
      </c>
      <c r="E398" t="s">
        <v>85</v>
      </c>
      <c r="F398">
        <v>40</v>
      </c>
      <c r="G398" t="s">
        <v>1383</v>
      </c>
      <c r="H398">
        <v>2</v>
      </c>
      <c r="I398">
        <v>34.049999999999997</v>
      </c>
      <c r="J398" t="s">
        <v>1384</v>
      </c>
      <c r="K398" t="s">
        <v>41</v>
      </c>
      <c r="L398" s="3">
        <v>45195</v>
      </c>
      <c r="M398" t="s">
        <v>34</v>
      </c>
      <c r="N398">
        <v>40</v>
      </c>
    </row>
    <row r="399" spans="1:14" x14ac:dyDescent="0.25">
      <c r="A399" t="s">
        <v>1385</v>
      </c>
      <c r="B399" t="s">
        <v>453</v>
      </c>
      <c r="C399" s="3">
        <v>45307</v>
      </c>
      <c r="D399" t="s">
        <v>129</v>
      </c>
      <c r="E399" t="s">
        <v>31</v>
      </c>
      <c r="F399">
        <v>42</v>
      </c>
      <c r="G399" t="s">
        <v>1386</v>
      </c>
      <c r="H399">
        <v>1</v>
      </c>
      <c r="I399">
        <v>18.21</v>
      </c>
      <c r="J399">
        <v>6.06</v>
      </c>
      <c r="K399" t="s">
        <v>19</v>
      </c>
      <c r="L399" s="3">
        <v>45307</v>
      </c>
      <c r="M399" t="s">
        <v>34</v>
      </c>
      <c r="N399">
        <v>42</v>
      </c>
    </row>
    <row r="400" spans="1:14" x14ac:dyDescent="0.25">
      <c r="A400" t="s">
        <v>1387</v>
      </c>
      <c r="B400" t="s">
        <v>941</v>
      </c>
      <c r="C400" t="s">
        <v>1388</v>
      </c>
      <c r="D400" t="s">
        <v>129</v>
      </c>
      <c r="E400" t="s">
        <v>65</v>
      </c>
      <c r="F400">
        <v>17</v>
      </c>
      <c r="G400" t="s">
        <v>597</v>
      </c>
      <c r="H400">
        <v>2</v>
      </c>
      <c r="I400" t="s">
        <v>1389</v>
      </c>
      <c r="J400">
        <v>14.15</v>
      </c>
      <c r="K400" t="s">
        <v>19</v>
      </c>
      <c r="L400" s="3">
        <v>45431</v>
      </c>
      <c r="M400" t="s">
        <v>48</v>
      </c>
      <c r="N400">
        <v>17</v>
      </c>
    </row>
    <row r="401" spans="1:14" x14ac:dyDescent="0.25">
      <c r="A401" t="s">
        <v>1390</v>
      </c>
      <c r="B401" t="s">
        <v>1391</v>
      </c>
      <c r="C401" s="3">
        <v>44979</v>
      </c>
      <c r="D401" t="s">
        <v>24</v>
      </c>
      <c r="E401" t="s">
        <v>1356</v>
      </c>
      <c r="F401">
        <v>27</v>
      </c>
      <c r="G401" t="s">
        <v>1392</v>
      </c>
      <c r="H401">
        <v>2</v>
      </c>
      <c r="I401" t="s">
        <v>1393</v>
      </c>
      <c r="J401" s="2">
        <v>11.17</v>
      </c>
      <c r="K401" t="s">
        <v>19</v>
      </c>
      <c r="L401" s="3">
        <v>44979</v>
      </c>
      <c r="M401" t="s">
        <v>34</v>
      </c>
      <c r="N401">
        <v>27</v>
      </c>
    </row>
    <row r="402" spans="1:14" x14ac:dyDescent="0.25">
      <c r="A402" t="s">
        <v>1394</v>
      </c>
      <c r="B402" t="s">
        <v>896</v>
      </c>
      <c r="C402" t="s">
        <v>1395</v>
      </c>
      <c r="D402" t="s">
        <v>24</v>
      </c>
      <c r="E402" t="s">
        <v>48</v>
      </c>
      <c r="F402">
        <v>52</v>
      </c>
      <c r="G402" t="s">
        <v>1396</v>
      </c>
      <c r="H402">
        <v>6</v>
      </c>
      <c r="I402" s="2">
        <v>29.72</v>
      </c>
      <c r="J402">
        <v>17.46</v>
      </c>
      <c r="K402" t="s">
        <v>41</v>
      </c>
      <c r="L402" s="3">
        <v>44968</v>
      </c>
      <c r="M402" t="s">
        <v>48</v>
      </c>
      <c r="N402">
        <v>52</v>
      </c>
    </row>
    <row r="403" spans="1:14" x14ac:dyDescent="0.25">
      <c r="A403" t="s">
        <v>1397</v>
      </c>
      <c r="B403" t="s">
        <v>551</v>
      </c>
      <c r="C403" s="1">
        <v>45618</v>
      </c>
      <c r="D403" t="s">
        <v>129</v>
      </c>
      <c r="E403" t="s">
        <v>38</v>
      </c>
      <c r="F403">
        <v>71</v>
      </c>
      <c r="G403" t="s">
        <v>1398</v>
      </c>
      <c r="H403">
        <v>3</v>
      </c>
      <c r="I403" t="s">
        <v>1399</v>
      </c>
      <c r="J403">
        <v>23.46</v>
      </c>
      <c r="K403" t="s">
        <v>41</v>
      </c>
      <c r="L403" s="3">
        <v>45618</v>
      </c>
      <c r="M403" t="s">
        <v>34</v>
      </c>
      <c r="N403">
        <v>71</v>
      </c>
    </row>
    <row r="404" spans="1:14" x14ac:dyDescent="0.25">
      <c r="A404" t="s">
        <v>1400</v>
      </c>
      <c r="B404" t="s">
        <v>411</v>
      </c>
      <c r="C404" t="s">
        <v>169</v>
      </c>
      <c r="D404" t="s">
        <v>129</v>
      </c>
      <c r="E404" t="s">
        <v>85</v>
      </c>
      <c r="F404">
        <v>45</v>
      </c>
      <c r="G404" t="s">
        <v>1401</v>
      </c>
      <c r="H404">
        <v>1</v>
      </c>
      <c r="I404" s="2">
        <v>11.46</v>
      </c>
      <c r="J404">
        <v>4.78</v>
      </c>
      <c r="K404" t="s">
        <v>41</v>
      </c>
      <c r="L404" s="3">
        <v>45285</v>
      </c>
      <c r="M404" t="s">
        <v>34</v>
      </c>
      <c r="N404">
        <v>45</v>
      </c>
    </row>
    <row r="405" spans="1:14" x14ac:dyDescent="0.25">
      <c r="A405" t="s">
        <v>1402</v>
      </c>
      <c r="B405" t="s">
        <v>1403</v>
      </c>
      <c r="C405" s="3">
        <v>44985</v>
      </c>
      <c r="D405" t="s">
        <v>129</v>
      </c>
      <c r="E405" t="s">
        <v>31</v>
      </c>
      <c r="F405">
        <v>13</v>
      </c>
      <c r="G405" t="s">
        <v>1404</v>
      </c>
      <c r="H405">
        <v>2</v>
      </c>
      <c r="I405" t="s">
        <v>1405</v>
      </c>
      <c r="J405" t="s">
        <v>1406</v>
      </c>
      <c r="K405" t="s">
        <v>19</v>
      </c>
      <c r="L405" s="3">
        <v>44985</v>
      </c>
      <c r="M405" t="s">
        <v>34</v>
      </c>
      <c r="N405">
        <v>13</v>
      </c>
    </row>
    <row r="406" spans="1:14" x14ac:dyDescent="0.25">
      <c r="A406" t="s">
        <v>1407</v>
      </c>
      <c r="B406" t="s">
        <v>1408</v>
      </c>
      <c r="C406" t="s">
        <v>1409</v>
      </c>
      <c r="D406" t="s">
        <v>129</v>
      </c>
      <c r="G406" t="s">
        <v>1410</v>
      </c>
      <c r="H406">
        <v>2</v>
      </c>
      <c r="I406" t="s">
        <v>1411</v>
      </c>
      <c r="K406" t="s">
        <v>19</v>
      </c>
      <c r="L406" s="3">
        <v>44981</v>
      </c>
      <c r="M406" t="s">
        <v>20</v>
      </c>
    </row>
    <row r="407" spans="1:14" x14ac:dyDescent="0.25">
      <c r="A407" t="s">
        <v>1412</v>
      </c>
      <c r="B407" t="s">
        <v>297</v>
      </c>
      <c r="C407" t="s">
        <v>1413</v>
      </c>
      <c r="D407" t="s">
        <v>129</v>
      </c>
      <c r="E407" t="s">
        <v>34</v>
      </c>
      <c r="F407">
        <v>75</v>
      </c>
      <c r="G407" t="s">
        <v>1414</v>
      </c>
      <c r="H407">
        <v>1</v>
      </c>
      <c r="I407">
        <v>7.11</v>
      </c>
      <c r="J407">
        <v>3.69</v>
      </c>
      <c r="K407" t="s">
        <v>41</v>
      </c>
      <c r="L407" s="3">
        <v>45435</v>
      </c>
      <c r="M407" t="s">
        <v>34</v>
      </c>
      <c r="N407">
        <v>75</v>
      </c>
    </row>
    <row r="408" spans="1:14" x14ac:dyDescent="0.25">
      <c r="A408" t="s">
        <v>1415</v>
      </c>
      <c r="B408" t="s">
        <v>387</v>
      </c>
      <c r="C408" t="s">
        <v>1416</v>
      </c>
      <c r="D408" t="s">
        <v>16</v>
      </c>
      <c r="E408" t="s">
        <v>65</v>
      </c>
      <c r="F408">
        <v>69</v>
      </c>
      <c r="G408" t="s">
        <v>1417</v>
      </c>
      <c r="H408">
        <v>1</v>
      </c>
      <c r="I408" t="s">
        <v>1418</v>
      </c>
      <c r="J408">
        <v>12.56</v>
      </c>
      <c r="K408" t="s">
        <v>19</v>
      </c>
      <c r="L408" s="3">
        <v>44953</v>
      </c>
      <c r="M408" t="s">
        <v>48</v>
      </c>
      <c r="N408">
        <v>69</v>
      </c>
    </row>
    <row r="409" spans="1:14" x14ac:dyDescent="0.25">
      <c r="A409" t="s">
        <v>1419</v>
      </c>
      <c r="B409" t="s">
        <v>610</v>
      </c>
      <c r="C409" t="s">
        <v>1420</v>
      </c>
      <c r="D409" t="s">
        <v>51</v>
      </c>
      <c r="E409" t="s">
        <v>38</v>
      </c>
      <c r="F409">
        <v>39</v>
      </c>
      <c r="G409" t="s">
        <v>1197</v>
      </c>
      <c r="H409">
        <v>1</v>
      </c>
      <c r="I409" s="2">
        <v>45.3</v>
      </c>
      <c r="J409">
        <v>22.61</v>
      </c>
      <c r="K409" t="s">
        <v>19</v>
      </c>
      <c r="L409" s="3">
        <v>45092</v>
      </c>
      <c r="M409" t="s">
        <v>34</v>
      </c>
      <c r="N409">
        <v>39</v>
      </c>
    </row>
    <row r="410" spans="1:14" x14ac:dyDescent="0.25">
      <c r="A410" t="s">
        <v>1421</v>
      </c>
      <c r="B410" t="s">
        <v>1422</v>
      </c>
      <c r="C410" t="s">
        <v>1423</v>
      </c>
      <c r="D410" t="s">
        <v>51</v>
      </c>
      <c r="E410" t="s">
        <v>85</v>
      </c>
      <c r="F410">
        <v>49</v>
      </c>
      <c r="G410" t="s">
        <v>1424</v>
      </c>
      <c r="H410">
        <v>2</v>
      </c>
      <c r="I410">
        <v>79.52</v>
      </c>
      <c r="J410">
        <v>41.02</v>
      </c>
      <c r="K410" t="s">
        <v>19</v>
      </c>
      <c r="L410" s="3">
        <v>45108</v>
      </c>
      <c r="M410" t="s">
        <v>34</v>
      </c>
      <c r="N410">
        <v>49</v>
      </c>
    </row>
    <row r="411" spans="1:14" x14ac:dyDescent="0.25">
      <c r="A411" t="s">
        <v>1425</v>
      </c>
      <c r="B411" t="s">
        <v>457</v>
      </c>
      <c r="C411" s="1">
        <v>45451</v>
      </c>
      <c r="D411" t="s">
        <v>24</v>
      </c>
      <c r="E411" t="s">
        <v>38</v>
      </c>
      <c r="F411">
        <v>21</v>
      </c>
      <c r="G411" t="s">
        <v>1195</v>
      </c>
      <c r="H411">
        <v>2</v>
      </c>
      <c r="I411" s="2">
        <v>30.44</v>
      </c>
      <c r="J411" t="s">
        <v>464</v>
      </c>
      <c r="K411" t="s">
        <v>19</v>
      </c>
      <c r="L411" s="3">
        <v>45451</v>
      </c>
      <c r="M411" t="s">
        <v>34</v>
      </c>
      <c r="N411">
        <v>21</v>
      </c>
    </row>
    <row r="412" spans="1:14" x14ac:dyDescent="0.25">
      <c r="A412" t="s">
        <v>1426</v>
      </c>
      <c r="B412" t="s">
        <v>1293</v>
      </c>
      <c r="C412" t="s">
        <v>878</v>
      </c>
      <c r="D412" t="s">
        <v>51</v>
      </c>
      <c r="E412" t="s">
        <v>38</v>
      </c>
      <c r="F412">
        <v>67</v>
      </c>
      <c r="G412" t="s">
        <v>1427</v>
      </c>
      <c r="H412">
        <v>1</v>
      </c>
      <c r="I412">
        <v>24.1</v>
      </c>
      <c r="J412" s="2">
        <v>7.62</v>
      </c>
      <c r="K412" t="s">
        <v>19</v>
      </c>
      <c r="L412" s="3">
        <v>45414</v>
      </c>
      <c r="M412" t="s">
        <v>34</v>
      </c>
      <c r="N412">
        <v>67</v>
      </c>
    </row>
    <row r="413" spans="1:14" x14ac:dyDescent="0.25">
      <c r="A413" t="s">
        <v>1428</v>
      </c>
      <c r="B413" t="s">
        <v>1429</v>
      </c>
      <c r="C413" s="3">
        <v>44985</v>
      </c>
      <c r="D413" t="s">
        <v>51</v>
      </c>
      <c r="E413" t="s">
        <v>25</v>
      </c>
      <c r="F413">
        <v>71</v>
      </c>
      <c r="G413" t="s">
        <v>1430</v>
      </c>
      <c r="H413">
        <v>3</v>
      </c>
      <c r="I413" t="s">
        <v>1431</v>
      </c>
      <c r="J413">
        <v>28.46</v>
      </c>
      <c r="K413" t="s">
        <v>19</v>
      </c>
      <c r="L413" s="3">
        <v>44985</v>
      </c>
      <c r="M413" t="s">
        <v>20</v>
      </c>
      <c r="N413">
        <v>71</v>
      </c>
    </row>
    <row r="414" spans="1:14" x14ac:dyDescent="0.25">
      <c r="A414" t="s">
        <v>1432</v>
      </c>
      <c r="B414" t="s">
        <v>490</v>
      </c>
      <c r="C414" s="1">
        <v>45257</v>
      </c>
      <c r="D414" t="s">
        <v>51</v>
      </c>
      <c r="E414" t="s">
        <v>65</v>
      </c>
      <c r="F414">
        <v>17</v>
      </c>
      <c r="G414" t="s">
        <v>1433</v>
      </c>
      <c r="H414">
        <v>1</v>
      </c>
      <c r="I414">
        <v>28.18</v>
      </c>
      <c r="J414">
        <v>14.83</v>
      </c>
      <c r="K414" t="s">
        <v>19</v>
      </c>
      <c r="L414" s="3">
        <v>45257</v>
      </c>
      <c r="M414" t="s">
        <v>48</v>
      </c>
      <c r="N414">
        <v>17</v>
      </c>
    </row>
    <row r="415" spans="1:14" x14ac:dyDescent="0.25">
      <c r="A415" t="s">
        <v>1434</v>
      </c>
      <c r="B415" t="s">
        <v>566</v>
      </c>
      <c r="C415" s="1">
        <v>45616</v>
      </c>
      <c r="D415" t="s">
        <v>30</v>
      </c>
      <c r="E415" t="s">
        <v>60</v>
      </c>
      <c r="F415">
        <v>43</v>
      </c>
      <c r="G415" t="s">
        <v>1057</v>
      </c>
      <c r="H415">
        <v>2</v>
      </c>
      <c r="I415">
        <v>33.799999999999997</v>
      </c>
      <c r="J415">
        <v>13.81</v>
      </c>
      <c r="K415" t="s">
        <v>19</v>
      </c>
      <c r="L415" s="3">
        <v>45616</v>
      </c>
      <c r="M415" t="s">
        <v>48</v>
      </c>
      <c r="N415">
        <v>43</v>
      </c>
    </row>
    <row r="416" spans="1:14" x14ac:dyDescent="0.25">
      <c r="A416" t="s">
        <v>1435</v>
      </c>
      <c r="B416" t="s">
        <v>124</v>
      </c>
      <c r="C416" s="3">
        <v>45036</v>
      </c>
      <c r="D416" t="s">
        <v>129</v>
      </c>
      <c r="E416" t="s">
        <v>60</v>
      </c>
      <c r="F416">
        <v>30</v>
      </c>
      <c r="G416" t="s">
        <v>1436</v>
      </c>
      <c r="H416">
        <v>1</v>
      </c>
      <c r="I416">
        <v>9.8699999999999992</v>
      </c>
      <c r="J416">
        <v>3.36</v>
      </c>
      <c r="K416" t="s">
        <v>41</v>
      </c>
      <c r="L416" s="3">
        <v>45036</v>
      </c>
      <c r="M416" t="s">
        <v>48</v>
      </c>
      <c r="N416">
        <v>30</v>
      </c>
    </row>
    <row r="417" spans="1:14" x14ac:dyDescent="0.25">
      <c r="A417" t="s">
        <v>1437</v>
      </c>
      <c r="B417" t="s">
        <v>1438</v>
      </c>
      <c r="C417" t="s">
        <v>1439</v>
      </c>
      <c r="D417" t="s">
        <v>51</v>
      </c>
      <c r="E417" t="s">
        <v>31</v>
      </c>
      <c r="F417">
        <v>28</v>
      </c>
      <c r="G417" t="s">
        <v>1440</v>
      </c>
      <c r="H417">
        <v>2</v>
      </c>
      <c r="I417">
        <v>72.12</v>
      </c>
      <c r="J417">
        <v>35.51</v>
      </c>
      <c r="K417" t="s">
        <v>19</v>
      </c>
      <c r="L417" s="3">
        <v>45022</v>
      </c>
      <c r="M417" t="s">
        <v>34</v>
      </c>
      <c r="N417">
        <v>28</v>
      </c>
    </row>
    <row r="418" spans="1:14" x14ac:dyDescent="0.25">
      <c r="A418" t="s">
        <v>1441</v>
      </c>
      <c r="B418" t="s">
        <v>521</v>
      </c>
      <c r="C418" s="1">
        <v>45361</v>
      </c>
      <c r="D418" t="s">
        <v>24</v>
      </c>
      <c r="E418" t="s">
        <v>38</v>
      </c>
      <c r="F418">
        <v>40</v>
      </c>
      <c r="G418" t="s">
        <v>1442</v>
      </c>
      <c r="H418">
        <v>4</v>
      </c>
      <c r="I418" s="2">
        <v>91.84</v>
      </c>
      <c r="J418">
        <v>56.39</v>
      </c>
      <c r="K418" t="s">
        <v>19</v>
      </c>
      <c r="L418" s="3">
        <v>45361</v>
      </c>
      <c r="M418" t="s">
        <v>34</v>
      </c>
      <c r="N418">
        <v>40</v>
      </c>
    </row>
    <row r="419" spans="1:14" x14ac:dyDescent="0.25">
      <c r="A419" t="s">
        <v>1443</v>
      </c>
      <c r="B419" t="s">
        <v>787</v>
      </c>
      <c r="C419" s="3">
        <v>44985</v>
      </c>
      <c r="D419" t="s">
        <v>129</v>
      </c>
      <c r="E419" t="s">
        <v>45</v>
      </c>
      <c r="F419">
        <v>30</v>
      </c>
      <c r="G419" t="s">
        <v>1444</v>
      </c>
      <c r="H419">
        <v>1</v>
      </c>
      <c r="I419">
        <v>10.87</v>
      </c>
      <c r="J419">
        <v>5.76</v>
      </c>
      <c r="K419" t="s">
        <v>41</v>
      </c>
      <c r="L419" s="3">
        <v>44985</v>
      </c>
      <c r="M419" t="s">
        <v>48</v>
      </c>
      <c r="N419">
        <v>30</v>
      </c>
    </row>
    <row r="420" spans="1:14" x14ac:dyDescent="0.25">
      <c r="A420" t="s">
        <v>1445</v>
      </c>
      <c r="B420" t="s">
        <v>1216</v>
      </c>
      <c r="C420" s="1">
        <v>45128</v>
      </c>
      <c r="D420" t="s">
        <v>129</v>
      </c>
      <c r="E420" t="s">
        <v>48</v>
      </c>
      <c r="F420">
        <v>45</v>
      </c>
      <c r="G420" t="s">
        <v>1446</v>
      </c>
      <c r="H420">
        <v>5</v>
      </c>
      <c r="I420" s="2">
        <v>63.49</v>
      </c>
      <c r="J420">
        <v>36.54</v>
      </c>
      <c r="K420" t="s">
        <v>19</v>
      </c>
      <c r="L420" s="3">
        <v>45128</v>
      </c>
      <c r="M420" t="s">
        <v>48</v>
      </c>
      <c r="N420">
        <v>45</v>
      </c>
    </row>
    <row r="421" spans="1:14" x14ac:dyDescent="0.25">
      <c r="A421" t="s">
        <v>1447</v>
      </c>
      <c r="B421" t="s">
        <v>1448</v>
      </c>
      <c r="C421" s="1">
        <v>45133</v>
      </c>
      <c r="D421" t="s">
        <v>30</v>
      </c>
      <c r="E421" t="s">
        <v>60</v>
      </c>
      <c r="F421">
        <v>64</v>
      </c>
      <c r="G421" t="s">
        <v>1449</v>
      </c>
      <c r="H421">
        <v>1</v>
      </c>
      <c r="I421" t="s">
        <v>1450</v>
      </c>
      <c r="J421" s="2">
        <v>5.61</v>
      </c>
      <c r="K421" t="s">
        <v>41</v>
      </c>
      <c r="L421" s="3">
        <v>45133</v>
      </c>
      <c r="M421" t="s">
        <v>48</v>
      </c>
      <c r="N421">
        <v>64</v>
      </c>
    </row>
    <row r="422" spans="1:14" x14ac:dyDescent="0.25">
      <c r="A422" t="s">
        <v>1451</v>
      </c>
      <c r="B422" t="s">
        <v>22</v>
      </c>
      <c r="C422" t="s">
        <v>1452</v>
      </c>
      <c r="D422" t="s">
        <v>30</v>
      </c>
      <c r="E422" t="s">
        <v>45</v>
      </c>
      <c r="F422">
        <v>41</v>
      </c>
      <c r="G422" t="s">
        <v>1453</v>
      </c>
      <c r="H422">
        <v>1</v>
      </c>
      <c r="I422">
        <v>48.14</v>
      </c>
      <c r="J422" s="2">
        <v>18.57</v>
      </c>
      <c r="K422" t="s">
        <v>41</v>
      </c>
      <c r="L422" s="3">
        <v>45319</v>
      </c>
      <c r="M422" t="s">
        <v>48</v>
      </c>
      <c r="N422">
        <v>41</v>
      </c>
    </row>
    <row r="423" spans="1:14" x14ac:dyDescent="0.25">
      <c r="A423" t="s">
        <v>1454</v>
      </c>
      <c r="B423" t="s">
        <v>335</v>
      </c>
      <c r="C423" s="1">
        <v>45600</v>
      </c>
      <c r="D423" t="s">
        <v>51</v>
      </c>
      <c r="E423" t="s">
        <v>45</v>
      </c>
      <c r="F423">
        <v>57</v>
      </c>
      <c r="G423" t="s">
        <v>320</v>
      </c>
      <c r="H423">
        <v>2</v>
      </c>
      <c r="I423" t="s">
        <v>1455</v>
      </c>
      <c r="J423" s="2">
        <v>9.07</v>
      </c>
      <c r="K423" t="s">
        <v>41</v>
      </c>
      <c r="L423" s="3">
        <v>45600</v>
      </c>
      <c r="M423" t="s">
        <v>48</v>
      </c>
      <c r="N423">
        <v>57</v>
      </c>
    </row>
    <row r="424" spans="1:14" x14ac:dyDescent="0.25">
      <c r="A424" t="s">
        <v>1456</v>
      </c>
      <c r="B424" t="s">
        <v>1457</v>
      </c>
      <c r="C424" t="s">
        <v>1458</v>
      </c>
      <c r="D424" t="s">
        <v>51</v>
      </c>
      <c r="E424" t="s">
        <v>45</v>
      </c>
      <c r="F424">
        <v>36</v>
      </c>
      <c r="G424" t="s">
        <v>962</v>
      </c>
      <c r="H424">
        <v>-2</v>
      </c>
      <c r="I424" t="s">
        <v>1459</v>
      </c>
      <c r="J424">
        <v>-24.9</v>
      </c>
      <c r="K424" t="s">
        <v>41</v>
      </c>
      <c r="L424" s="3">
        <v>44934</v>
      </c>
      <c r="M424" t="s">
        <v>48</v>
      </c>
      <c r="N424">
        <v>36</v>
      </c>
    </row>
    <row r="425" spans="1:14" x14ac:dyDescent="0.25">
      <c r="A425" t="s">
        <v>1460</v>
      </c>
      <c r="B425" t="s">
        <v>526</v>
      </c>
      <c r="C425" t="s">
        <v>1461</v>
      </c>
      <c r="D425" t="s">
        <v>129</v>
      </c>
      <c r="F425">
        <v>32</v>
      </c>
      <c r="G425" t="s">
        <v>1462</v>
      </c>
      <c r="H425">
        <v>2</v>
      </c>
      <c r="I425">
        <v>8.1300000000000008</v>
      </c>
      <c r="J425">
        <v>2.21</v>
      </c>
      <c r="K425" t="s">
        <v>41</v>
      </c>
      <c r="L425" s="3">
        <v>45507</v>
      </c>
      <c r="M425" t="s">
        <v>20</v>
      </c>
      <c r="N425">
        <v>32</v>
      </c>
    </row>
    <row r="426" spans="1:14" x14ac:dyDescent="0.25">
      <c r="A426" t="s">
        <v>1463</v>
      </c>
      <c r="B426" t="s">
        <v>345</v>
      </c>
      <c r="C426" s="1">
        <v>45123</v>
      </c>
      <c r="D426" t="s">
        <v>30</v>
      </c>
      <c r="E426" t="s">
        <v>85</v>
      </c>
      <c r="F426">
        <v>35</v>
      </c>
      <c r="G426" t="s">
        <v>122</v>
      </c>
      <c r="H426">
        <v>1</v>
      </c>
      <c r="I426" s="2">
        <v>17.8</v>
      </c>
      <c r="J426" s="2">
        <v>7.75</v>
      </c>
      <c r="K426" t="s">
        <v>41</v>
      </c>
      <c r="L426" s="3">
        <v>45123</v>
      </c>
      <c r="M426" t="s">
        <v>34</v>
      </c>
      <c r="N426">
        <v>35</v>
      </c>
    </row>
    <row r="427" spans="1:14" x14ac:dyDescent="0.25">
      <c r="A427" t="s">
        <v>1464</v>
      </c>
      <c r="B427" t="s">
        <v>510</v>
      </c>
      <c r="C427" s="1">
        <v>45034</v>
      </c>
      <c r="D427" t="s">
        <v>16</v>
      </c>
      <c r="E427" t="s">
        <v>65</v>
      </c>
      <c r="F427">
        <v>24</v>
      </c>
      <c r="G427" t="s">
        <v>1465</v>
      </c>
      <c r="H427">
        <v>1</v>
      </c>
      <c r="I427">
        <v>30.96</v>
      </c>
      <c r="J427" s="2">
        <v>15.23</v>
      </c>
      <c r="K427" t="s">
        <v>19</v>
      </c>
      <c r="L427" s="3">
        <v>45034</v>
      </c>
      <c r="M427" t="s">
        <v>48</v>
      </c>
      <c r="N427">
        <v>24</v>
      </c>
    </row>
    <row r="428" spans="1:14" x14ac:dyDescent="0.25">
      <c r="A428" t="s">
        <v>1466</v>
      </c>
      <c r="B428" t="s">
        <v>1457</v>
      </c>
      <c r="C428" t="s">
        <v>1467</v>
      </c>
      <c r="D428" t="s">
        <v>129</v>
      </c>
      <c r="E428" t="s">
        <v>31</v>
      </c>
      <c r="F428">
        <v>18</v>
      </c>
      <c r="G428" t="s">
        <v>1468</v>
      </c>
      <c r="H428">
        <v>2</v>
      </c>
      <c r="I428">
        <v>47.18</v>
      </c>
      <c r="J428" t="s">
        <v>1469</v>
      </c>
      <c r="K428" t="s">
        <v>41</v>
      </c>
      <c r="L428" s="3">
        <v>45287</v>
      </c>
      <c r="M428" t="s">
        <v>34</v>
      </c>
      <c r="N428">
        <v>18</v>
      </c>
    </row>
    <row r="429" spans="1:14" x14ac:dyDescent="0.25">
      <c r="A429" t="s">
        <v>1470</v>
      </c>
      <c r="B429" t="s">
        <v>473</v>
      </c>
      <c r="C429" s="1">
        <v>45511</v>
      </c>
      <c r="D429" t="s">
        <v>51</v>
      </c>
      <c r="E429" t="s">
        <v>48</v>
      </c>
      <c r="F429">
        <v>20</v>
      </c>
      <c r="G429" t="s">
        <v>1471</v>
      </c>
      <c r="H429">
        <v>1</v>
      </c>
      <c r="I429" s="2">
        <v>13.52</v>
      </c>
      <c r="J429">
        <v>3.61</v>
      </c>
      <c r="K429" t="s">
        <v>19</v>
      </c>
      <c r="L429" s="3">
        <v>45511</v>
      </c>
      <c r="M429" t="s">
        <v>48</v>
      </c>
      <c r="N429">
        <v>20</v>
      </c>
    </row>
    <row r="430" spans="1:14" x14ac:dyDescent="0.25">
      <c r="A430" t="s">
        <v>1472</v>
      </c>
      <c r="B430" t="s">
        <v>1473</v>
      </c>
      <c r="C430" s="3">
        <v>45228</v>
      </c>
      <c r="D430" t="s">
        <v>129</v>
      </c>
      <c r="E430" t="s">
        <v>31</v>
      </c>
      <c r="F430">
        <v>53</v>
      </c>
      <c r="G430" t="s">
        <v>1474</v>
      </c>
      <c r="H430">
        <v>1</v>
      </c>
      <c r="I430">
        <v>20.309999999999999</v>
      </c>
      <c r="J430">
        <v>4.57</v>
      </c>
      <c r="K430" t="s">
        <v>19</v>
      </c>
      <c r="L430" s="3">
        <v>45228</v>
      </c>
      <c r="M430" t="s">
        <v>34</v>
      </c>
      <c r="N430">
        <v>53</v>
      </c>
    </row>
    <row r="431" spans="1:14" x14ac:dyDescent="0.25">
      <c r="A431" t="s">
        <v>1475</v>
      </c>
      <c r="B431" t="s">
        <v>1476</v>
      </c>
      <c r="C431" t="s">
        <v>1477</v>
      </c>
      <c r="D431" t="s">
        <v>24</v>
      </c>
      <c r="E431" t="s">
        <v>25</v>
      </c>
      <c r="F431">
        <v>13</v>
      </c>
      <c r="G431" t="s">
        <v>1478</v>
      </c>
      <c r="H431">
        <v>2</v>
      </c>
      <c r="I431" t="s">
        <v>1479</v>
      </c>
      <c r="J431">
        <v>22.31</v>
      </c>
      <c r="K431" t="s">
        <v>41</v>
      </c>
      <c r="L431" s="3">
        <v>45199</v>
      </c>
      <c r="M431" t="s">
        <v>20</v>
      </c>
      <c r="N431">
        <v>13</v>
      </c>
    </row>
    <row r="432" spans="1:14" x14ac:dyDescent="0.25">
      <c r="A432" t="s">
        <v>1480</v>
      </c>
      <c r="B432" t="s">
        <v>194</v>
      </c>
      <c r="C432" t="s">
        <v>1481</v>
      </c>
      <c r="D432" t="s">
        <v>24</v>
      </c>
      <c r="E432" t="s">
        <v>34</v>
      </c>
      <c r="F432">
        <v>24</v>
      </c>
      <c r="G432" t="s">
        <v>1482</v>
      </c>
      <c r="H432">
        <v>1</v>
      </c>
      <c r="I432" s="2">
        <v>26.2</v>
      </c>
      <c r="J432" s="2">
        <v>11.45</v>
      </c>
      <c r="K432" t="s">
        <v>19</v>
      </c>
      <c r="L432" s="3">
        <v>45544</v>
      </c>
      <c r="M432" t="s">
        <v>34</v>
      </c>
      <c r="N432">
        <v>24</v>
      </c>
    </row>
    <row r="433" spans="1:14" x14ac:dyDescent="0.25">
      <c r="A433" t="s">
        <v>1483</v>
      </c>
      <c r="B433" t="s">
        <v>1484</v>
      </c>
      <c r="C433" s="1">
        <v>45106</v>
      </c>
      <c r="D433" t="s">
        <v>16</v>
      </c>
      <c r="E433" t="s">
        <v>38</v>
      </c>
      <c r="F433">
        <v>54</v>
      </c>
      <c r="G433" t="s">
        <v>1154</v>
      </c>
      <c r="H433">
        <v>3</v>
      </c>
      <c r="I433" t="s">
        <v>1485</v>
      </c>
      <c r="J433" t="s">
        <v>1486</v>
      </c>
      <c r="K433" t="s">
        <v>19</v>
      </c>
      <c r="L433" s="3">
        <v>45106</v>
      </c>
      <c r="M433" t="s">
        <v>34</v>
      </c>
      <c r="N433">
        <v>54</v>
      </c>
    </row>
    <row r="434" spans="1:14" x14ac:dyDescent="0.25">
      <c r="A434" t="s">
        <v>1487</v>
      </c>
      <c r="B434" t="s">
        <v>227</v>
      </c>
      <c r="C434" t="s">
        <v>1488</v>
      </c>
      <c r="D434" t="s">
        <v>16</v>
      </c>
      <c r="E434" t="s">
        <v>65</v>
      </c>
      <c r="F434">
        <v>60</v>
      </c>
      <c r="G434" t="s">
        <v>1489</v>
      </c>
      <c r="H434">
        <v>3</v>
      </c>
      <c r="I434">
        <v>59.85</v>
      </c>
      <c r="J434">
        <v>27.33</v>
      </c>
      <c r="K434" t="s">
        <v>19</v>
      </c>
      <c r="L434" s="3">
        <v>45323</v>
      </c>
      <c r="M434" t="s">
        <v>48</v>
      </c>
      <c r="N434">
        <v>60</v>
      </c>
    </row>
    <row r="435" spans="1:14" x14ac:dyDescent="0.25">
      <c r="A435" t="s">
        <v>1490</v>
      </c>
      <c r="B435" t="s">
        <v>297</v>
      </c>
      <c r="C435" s="1">
        <v>44952</v>
      </c>
      <c r="D435" t="s">
        <v>30</v>
      </c>
      <c r="E435" t="s">
        <v>85</v>
      </c>
      <c r="F435">
        <v>40</v>
      </c>
      <c r="G435" t="s">
        <v>1491</v>
      </c>
      <c r="H435">
        <v>1</v>
      </c>
      <c r="I435">
        <v>11.29</v>
      </c>
      <c r="J435">
        <v>4.5599999999999996</v>
      </c>
      <c r="K435" t="s">
        <v>19</v>
      </c>
      <c r="L435" s="3">
        <v>44952</v>
      </c>
      <c r="M435" t="s">
        <v>34</v>
      </c>
      <c r="N435">
        <v>40</v>
      </c>
    </row>
    <row r="436" spans="1:14" x14ac:dyDescent="0.25">
      <c r="A436" t="s">
        <v>1492</v>
      </c>
      <c r="B436" t="s">
        <v>1493</v>
      </c>
      <c r="C436" t="s">
        <v>1494</v>
      </c>
      <c r="D436" t="s">
        <v>51</v>
      </c>
      <c r="E436" t="s">
        <v>48</v>
      </c>
      <c r="F436">
        <v>36</v>
      </c>
      <c r="G436" t="s">
        <v>1495</v>
      </c>
      <c r="H436">
        <v>1</v>
      </c>
      <c r="I436" s="2">
        <v>41.12</v>
      </c>
      <c r="J436">
        <v>14.27</v>
      </c>
      <c r="K436" t="s">
        <v>19</v>
      </c>
      <c r="L436" s="3">
        <v>45654</v>
      </c>
      <c r="M436" t="s">
        <v>48</v>
      </c>
      <c r="N436">
        <v>36</v>
      </c>
    </row>
    <row r="437" spans="1:14" x14ac:dyDescent="0.25">
      <c r="A437" t="s">
        <v>1496</v>
      </c>
      <c r="B437" t="s">
        <v>1497</v>
      </c>
      <c r="C437" t="s">
        <v>1498</v>
      </c>
      <c r="D437" t="s">
        <v>16</v>
      </c>
      <c r="E437" t="s">
        <v>34</v>
      </c>
      <c r="F437">
        <v>67</v>
      </c>
      <c r="G437" t="s">
        <v>1499</v>
      </c>
      <c r="H437">
        <v>1</v>
      </c>
      <c r="I437" t="s">
        <v>205</v>
      </c>
      <c r="J437">
        <v>8.4700000000000006</v>
      </c>
      <c r="K437" t="s">
        <v>19</v>
      </c>
      <c r="L437" s="3">
        <v>45089</v>
      </c>
      <c r="M437" t="s">
        <v>34</v>
      </c>
      <c r="N437">
        <v>67</v>
      </c>
    </row>
    <row r="438" spans="1:14" x14ac:dyDescent="0.25">
      <c r="A438" t="s">
        <v>1500</v>
      </c>
      <c r="B438" t="s">
        <v>1290</v>
      </c>
      <c r="C438" s="3">
        <v>45397</v>
      </c>
      <c r="D438" t="s">
        <v>129</v>
      </c>
      <c r="E438" t="s">
        <v>48</v>
      </c>
      <c r="F438">
        <v>49</v>
      </c>
      <c r="G438" t="s">
        <v>1501</v>
      </c>
      <c r="H438">
        <v>1</v>
      </c>
      <c r="I438">
        <v>2.84</v>
      </c>
      <c r="J438">
        <v>0.67</v>
      </c>
      <c r="K438" t="s">
        <v>19</v>
      </c>
      <c r="L438" s="3">
        <v>45397</v>
      </c>
      <c r="M438" t="s">
        <v>48</v>
      </c>
      <c r="N438">
        <v>49</v>
      </c>
    </row>
    <row r="439" spans="1:14" x14ac:dyDescent="0.25">
      <c r="A439" t="s">
        <v>1502</v>
      </c>
      <c r="B439" t="s">
        <v>1503</v>
      </c>
      <c r="C439" t="s">
        <v>809</v>
      </c>
      <c r="D439" t="s">
        <v>51</v>
      </c>
      <c r="E439" t="s">
        <v>85</v>
      </c>
      <c r="F439">
        <v>64</v>
      </c>
      <c r="G439" t="s">
        <v>1504</v>
      </c>
      <c r="H439">
        <v>1</v>
      </c>
      <c r="I439">
        <v>15.82</v>
      </c>
      <c r="J439" t="s">
        <v>1505</v>
      </c>
      <c r="K439" t="s">
        <v>41</v>
      </c>
      <c r="L439" s="3">
        <v>45009</v>
      </c>
      <c r="M439" t="s">
        <v>34</v>
      </c>
      <c r="N439">
        <v>64</v>
      </c>
    </row>
    <row r="440" spans="1:14" x14ac:dyDescent="0.25">
      <c r="A440" t="s">
        <v>1506</v>
      </c>
      <c r="B440" t="s">
        <v>1507</v>
      </c>
      <c r="C440" t="s">
        <v>1248</v>
      </c>
      <c r="D440" t="s">
        <v>51</v>
      </c>
      <c r="E440" t="s">
        <v>31</v>
      </c>
      <c r="F440">
        <v>35</v>
      </c>
      <c r="G440" t="s">
        <v>1508</v>
      </c>
      <c r="H440">
        <v>2</v>
      </c>
      <c r="I440" s="2">
        <v>104.18</v>
      </c>
      <c r="J440">
        <v>18.440000000000001</v>
      </c>
      <c r="K440" t="s">
        <v>41</v>
      </c>
      <c r="L440" s="3">
        <v>45038</v>
      </c>
      <c r="M440" t="s">
        <v>34</v>
      </c>
      <c r="N440">
        <v>35</v>
      </c>
    </row>
    <row r="441" spans="1:14" x14ac:dyDescent="0.25">
      <c r="A441" t="s">
        <v>1509</v>
      </c>
      <c r="B441" t="s">
        <v>1080</v>
      </c>
      <c r="C441" t="s">
        <v>1510</v>
      </c>
      <c r="D441" t="s">
        <v>24</v>
      </c>
      <c r="E441" t="s">
        <v>85</v>
      </c>
      <c r="F441">
        <v>63</v>
      </c>
      <c r="G441" t="s">
        <v>1151</v>
      </c>
      <c r="H441">
        <v>2</v>
      </c>
      <c r="I441">
        <v>26.36</v>
      </c>
      <c r="J441">
        <v>7.53</v>
      </c>
      <c r="K441" t="s">
        <v>19</v>
      </c>
      <c r="L441" s="3">
        <v>45425</v>
      </c>
      <c r="M441" t="s">
        <v>34</v>
      </c>
      <c r="N441">
        <v>63</v>
      </c>
    </row>
    <row r="442" spans="1:14" x14ac:dyDescent="0.25">
      <c r="A442" t="s">
        <v>1511</v>
      </c>
      <c r="B442" t="s">
        <v>1252</v>
      </c>
      <c r="C442" s="3">
        <v>45182</v>
      </c>
      <c r="D442" t="s">
        <v>30</v>
      </c>
      <c r="E442" t="s">
        <v>31</v>
      </c>
      <c r="F442">
        <v>60</v>
      </c>
      <c r="G442" t="s">
        <v>1512</v>
      </c>
      <c r="H442">
        <v>2</v>
      </c>
      <c r="I442">
        <v>25.66</v>
      </c>
      <c r="J442" t="s">
        <v>1513</v>
      </c>
      <c r="K442" t="s">
        <v>19</v>
      </c>
      <c r="L442" s="3">
        <v>45182</v>
      </c>
      <c r="M442" t="s">
        <v>34</v>
      </c>
      <c r="N442">
        <v>60</v>
      </c>
    </row>
    <row r="443" spans="1:14" x14ac:dyDescent="0.25">
      <c r="A443" t="s">
        <v>1514</v>
      </c>
      <c r="B443" t="s">
        <v>803</v>
      </c>
      <c r="C443" t="s">
        <v>1515</v>
      </c>
      <c r="D443" t="s">
        <v>30</v>
      </c>
      <c r="E443" t="s">
        <v>65</v>
      </c>
      <c r="F443">
        <v>45</v>
      </c>
      <c r="G443" t="s">
        <v>1516</v>
      </c>
      <c r="H443">
        <v>1</v>
      </c>
      <c r="I443">
        <v>13.54</v>
      </c>
      <c r="J443" t="s">
        <v>1517</v>
      </c>
      <c r="K443" t="s">
        <v>19</v>
      </c>
      <c r="L443" s="3">
        <v>44949</v>
      </c>
      <c r="M443" t="s">
        <v>48</v>
      </c>
      <c r="N443">
        <v>45</v>
      </c>
    </row>
    <row r="444" spans="1:14" x14ac:dyDescent="0.25">
      <c r="A444" t="s">
        <v>1106</v>
      </c>
      <c r="B444" t="s">
        <v>387</v>
      </c>
      <c r="C444" t="s">
        <v>1107</v>
      </c>
      <c r="D444" t="s">
        <v>24</v>
      </c>
      <c r="E444" t="s">
        <v>60</v>
      </c>
      <c r="F444">
        <v>45</v>
      </c>
      <c r="G444" t="s">
        <v>1108</v>
      </c>
      <c r="H444">
        <v>1</v>
      </c>
      <c r="I444">
        <v>15.63</v>
      </c>
      <c r="J444" s="2">
        <v>7.12</v>
      </c>
      <c r="K444" t="s">
        <v>19</v>
      </c>
      <c r="L444" s="3">
        <v>45039</v>
      </c>
      <c r="M444" t="s">
        <v>48</v>
      </c>
      <c r="N444">
        <v>45</v>
      </c>
    </row>
    <row r="445" spans="1:14" x14ac:dyDescent="0.25">
      <c r="A445" t="s">
        <v>1518</v>
      </c>
      <c r="B445" t="s">
        <v>610</v>
      </c>
      <c r="C445" t="s">
        <v>1519</v>
      </c>
      <c r="D445" t="s">
        <v>30</v>
      </c>
      <c r="E445" t="s">
        <v>60</v>
      </c>
      <c r="F445">
        <v>59</v>
      </c>
      <c r="G445" t="s">
        <v>1520</v>
      </c>
      <c r="H445">
        <v>2</v>
      </c>
      <c r="I445">
        <v>65.03</v>
      </c>
      <c r="J445">
        <v>22.02</v>
      </c>
      <c r="K445" t="s">
        <v>19</v>
      </c>
      <c r="L445" s="3">
        <v>45059</v>
      </c>
      <c r="M445" t="s">
        <v>48</v>
      </c>
      <c r="N445">
        <v>59</v>
      </c>
    </row>
    <row r="446" spans="1:14" x14ac:dyDescent="0.25">
      <c r="A446" t="s">
        <v>1521</v>
      </c>
      <c r="B446" t="s">
        <v>1522</v>
      </c>
      <c r="C446" t="s">
        <v>1523</v>
      </c>
      <c r="D446" t="s">
        <v>16</v>
      </c>
      <c r="E446" t="s">
        <v>60</v>
      </c>
      <c r="F446">
        <v>56</v>
      </c>
      <c r="G446" t="s">
        <v>1524</v>
      </c>
      <c r="H446">
        <v>1</v>
      </c>
      <c r="I446">
        <v>21.98</v>
      </c>
      <c r="J446" t="s">
        <v>1525</v>
      </c>
      <c r="K446" t="s">
        <v>19</v>
      </c>
      <c r="L446" s="3">
        <v>44990</v>
      </c>
      <c r="M446" t="s">
        <v>48</v>
      </c>
      <c r="N446">
        <v>56</v>
      </c>
    </row>
    <row r="447" spans="1:14" x14ac:dyDescent="0.25">
      <c r="A447" t="s">
        <v>1526</v>
      </c>
      <c r="B447" t="s">
        <v>493</v>
      </c>
      <c r="C447" s="1">
        <v>45596</v>
      </c>
      <c r="D447" t="s">
        <v>129</v>
      </c>
      <c r="E447" t="s">
        <v>31</v>
      </c>
      <c r="F447">
        <v>23</v>
      </c>
      <c r="G447" t="s">
        <v>1527</v>
      </c>
      <c r="H447">
        <v>1</v>
      </c>
      <c r="J447">
        <v>7.2</v>
      </c>
      <c r="K447" t="s">
        <v>19</v>
      </c>
      <c r="L447" s="3">
        <v>45596</v>
      </c>
      <c r="M447" t="s">
        <v>34</v>
      </c>
      <c r="N447">
        <v>23</v>
      </c>
    </row>
    <row r="448" spans="1:14" x14ac:dyDescent="0.25">
      <c r="A448" t="s">
        <v>1528</v>
      </c>
      <c r="B448" t="s">
        <v>1344</v>
      </c>
      <c r="C448" s="1">
        <v>45311</v>
      </c>
      <c r="D448" t="s">
        <v>129</v>
      </c>
      <c r="E448" t="s">
        <v>31</v>
      </c>
      <c r="F448">
        <v>68</v>
      </c>
      <c r="G448" t="s">
        <v>1529</v>
      </c>
      <c r="H448">
        <v>2</v>
      </c>
      <c r="I448">
        <v>40.04</v>
      </c>
      <c r="J448">
        <v>20.8</v>
      </c>
      <c r="K448" t="s">
        <v>41</v>
      </c>
      <c r="L448" s="3">
        <v>45311</v>
      </c>
      <c r="M448" t="s">
        <v>34</v>
      </c>
      <c r="N448">
        <v>68</v>
      </c>
    </row>
    <row r="449" spans="1:14" x14ac:dyDescent="0.25">
      <c r="A449" t="s">
        <v>1530</v>
      </c>
      <c r="B449" t="s">
        <v>690</v>
      </c>
      <c r="C449" s="3">
        <v>45293</v>
      </c>
      <c r="D449" t="s">
        <v>16</v>
      </c>
      <c r="E449" t="s">
        <v>34</v>
      </c>
      <c r="F449">
        <v>44</v>
      </c>
      <c r="G449" t="s">
        <v>1531</v>
      </c>
      <c r="H449">
        <v>1</v>
      </c>
      <c r="I449">
        <v>25.12</v>
      </c>
      <c r="J449">
        <v>10.33</v>
      </c>
      <c r="K449" t="s">
        <v>19</v>
      </c>
      <c r="L449" s="3">
        <v>45293</v>
      </c>
      <c r="M449" t="s">
        <v>34</v>
      </c>
      <c r="N449">
        <v>44</v>
      </c>
    </row>
    <row r="450" spans="1:14" x14ac:dyDescent="0.25">
      <c r="A450" t="s">
        <v>1532</v>
      </c>
      <c r="B450" t="s">
        <v>840</v>
      </c>
      <c r="C450" s="1">
        <v>45097</v>
      </c>
      <c r="D450" t="s">
        <v>24</v>
      </c>
      <c r="E450" t="s">
        <v>48</v>
      </c>
      <c r="F450">
        <v>21</v>
      </c>
      <c r="G450" t="s">
        <v>1162</v>
      </c>
      <c r="H450">
        <v>1</v>
      </c>
      <c r="I450" s="2">
        <v>25.17</v>
      </c>
      <c r="J450">
        <v>8.7799999999999994</v>
      </c>
      <c r="K450" t="s">
        <v>19</v>
      </c>
      <c r="L450" s="3">
        <v>45097</v>
      </c>
      <c r="M450" t="s">
        <v>48</v>
      </c>
      <c r="N450">
        <v>21</v>
      </c>
    </row>
    <row r="451" spans="1:14" x14ac:dyDescent="0.25">
      <c r="A451" t="s">
        <v>1533</v>
      </c>
      <c r="B451" t="s">
        <v>397</v>
      </c>
      <c r="C451" s="1">
        <v>45001</v>
      </c>
      <c r="D451" t="s">
        <v>51</v>
      </c>
      <c r="E451" t="s">
        <v>38</v>
      </c>
      <c r="F451">
        <v>20</v>
      </c>
      <c r="G451" t="s">
        <v>1534</v>
      </c>
      <c r="H451">
        <v>4</v>
      </c>
      <c r="I451" s="2">
        <v>165.62</v>
      </c>
      <c r="J451" t="s">
        <v>1535</v>
      </c>
      <c r="K451" t="s">
        <v>41</v>
      </c>
      <c r="L451" s="3">
        <v>45001</v>
      </c>
      <c r="M451" t="s">
        <v>34</v>
      </c>
      <c r="N451">
        <v>20</v>
      </c>
    </row>
    <row r="452" spans="1:14" x14ac:dyDescent="0.25">
      <c r="A452" t="s">
        <v>1536</v>
      </c>
      <c r="B452" t="s">
        <v>1537</v>
      </c>
      <c r="C452" t="s">
        <v>1538</v>
      </c>
      <c r="D452" t="s">
        <v>16</v>
      </c>
      <c r="E452" t="s">
        <v>48</v>
      </c>
      <c r="F452">
        <v>52</v>
      </c>
      <c r="G452" t="s">
        <v>1081</v>
      </c>
      <c r="H452">
        <v>1</v>
      </c>
      <c r="I452" t="s">
        <v>1539</v>
      </c>
      <c r="J452" t="s">
        <v>1540</v>
      </c>
      <c r="K452" t="s">
        <v>41</v>
      </c>
      <c r="L452" s="3">
        <v>45532</v>
      </c>
      <c r="M452" t="s">
        <v>48</v>
      </c>
      <c r="N452">
        <v>52</v>
      </c>
    </row>
    <row r="453" spans="1:14" x14ac:dyDescent="0.25">
      <c r="A453" t="s">
        <v>884</v>
      </c>
      <c r="B453" t="s">
        <v>885</v>
      </c>
      <c r="C453" t="s">
        <v>886</v>
      </c>
      <c r="D453" t="s">
        <v>51</v>
      </c>
      <c r="E453" t="s">
        <v>70</v>
      </c>
      <c r="F453" t="s">
        <v>25</v>
      </c>
      <c r="G453" t="s">
        <v>887</v>
      </c>
      <c r="H453">
        <v>1</v>
      </c>
      <c r="I453" t="s">
        <v>888</v>
      </c>
      <c r="J453" s="2">
        <v>10.91</v>
      </c>
      <c r="K453" t="s">
        <v>41</v>
      </c>
      <c r="L453" s="3">
        <v>44998</v>
      </c>
      <c r="M453" t="s">
        <v>20</v>
      </c>
    </row>
    <row r="454" spans="1:14" x14ac:dyDescent="0.25">
      <c r="A454" t="s">
        <v>1541</v>
      </c>
      <c r="B454" t="s">
        <v>1542</v>
      </c>
      <c r="C454" s="1">
        <v>45336</v>
      </c>
      <c r="D454" t="s">
        <v>51</v>
      </c>
      <c r="E454" t="s">
        <v>65</v>
      </c>
      <c r="F454">
        <v>44</v>
      </c>
      <c r="G454" t="s">
        <v>1543</v>
      </c>
      <c r="H454">
        <v>1</v>
      </c>
      <c r="I454">
        <v>30.88</v>
      </c>
      <c r="J454" s="2">
        <v>12.14</v>
      </c>
      <c r="K454" t="s">
        <v>41</v>
      </c>
      <c r="L454" s="3">
        <v>45336</v>
      </c>
      <c r="M454" t="s">
        <v>48</v>
      </c>
      <c r="N454">
        <v>44</v>
      </c>
    </row>
    <row r="455" spans="1:14" x14ac:dyDescent="0.25">
      <c r="A455" t="s">
        <v>1544</v>
      </c>
      <c r="B455" t="s">
        <v>1545</v>
      </c>
      <c r="C455" s="1">
        <v>45010</v>
      </c>
      <c r="D455" t="s">
        <v>16</v>
      </c>
      <c r="E455" t="s">
        <v>45</v>
      </c>
      <c r="F455">
        <v>36</v>
      </c>
      <c r="G455" t="s">
        <v>1546</v>
      </c>
      <c r="H455">
        <v>1</v>
      </c>
      <c r="I455" s="2">
        <v>19.14</v>
      </c>
      <c r="J455" s="2">
        <v>6.07</v>
      </c>
      <c r="K455" t="s">
        <v>19</v>
      </c>
      <c r="L455" s="3">
        <v>45010</v>
      </c>
      <c r="M455" t="s">
        <v>48</v>
      </c>
      <c r="N455">
        <v>36</v>
      </c>
    </row>
    <row r="456" spans="1:14" x14ac:dyDescent="0.25">
      <c r="A456" t="s">
        <v>1547</v>
      </c>
      <c r="B456" t="s">
        <v>1548</v>
      </c>
      <c r="C456" t="s">
        <v>1549</v>
      </c>
      <c r="D456" t="s">
        <v>24</v>
      </c>
      <c r="E456" t="s">
        <v>38</v>
      </c>
      <c r="F456">
        <v>36</v>
      </c>
      <c r="G456" t="s">
        <v>1550</v>
      </c>
      <c r="H456">
        <v>1</v>
      </c>
      <c r="I456">
        <v>14.3</v>
      </c>
      <c r="J456">
        <v>8.7200000000000006</v>
      </c>
      <c r="K456" t="s">
        <v>19</v>
      </c>
      <c r="L456" s="3">
        <v>45446</v>
      </c>
      <c r="M456" t="s">
        <v>34</v>
      </c>
      <c r="N456">
        <v>36</v>
      </c>
    </row>
    <row r="457" spans="1:14" x14ac:dyDescent="0.25">
      <c r="A457" t="s">
        <v>1551</v>
      </c>
      <c r="B457" t="s">
        <v>1552</v>
      </c>
      <c r="C457" s="1">
        <v>45264</v>
      </c>
      <c r="D457" t="s">
        <v>51</v>
      </c>
      <c r="E457" t="s">
        <v>60</v>
      </c>
      <c r="F457">
        <v>20</v>
      </c>
      <c r="G457" t="s">
        <v>1553</v>
      </c>
      <c r="H457">
        <v>1</v>
      </c>
      <c r="I457" t="s">
        <v>1554</v>
      </c>
      <c r="J457">
        <v>16.18</v>
      </c>
      <c r="K457" t="s">
        <v>19</v>
      </c>
      <c r="L457" s="3">
        <v>45264</v>
      </c>
      <c r="M457" t="s">
        <v>48</v>
      </c>
      <c r="N457">
        <v>20</v>
      </c>
    </row>
    <row r="458" spans="1:14" x14ac:dyDescent="0.25">
      <c r="A458" t="s">
        <v>1555</v>
      </c>
      <c r="B458" t="s">
        <v>1556</v>
      </c>
      <c r="C458" t="s">
        <v>1557</v>
      </c>
      <c r="D458" t="s">
        <v>51</v>
      </c>
      <c r="E458" t="s">
        <v>45</v>
      </c>
      <c r="F458">
        <v>17</v>
      </c>
      <c r="G458" t="s">
        <v>1558</v>
      </c>
      <c r="H458">
        <v>1</v>
      </c>
      <c r="I458" t="s">
        <v>1559</v>
      </c>
      <c r="J458">
        <v>6.87</v>
      </c>
      <c r="K458" t="s">
        <v>19</v>
      </c>
      <c r="L458" s="3">
        <v>44980</v>
      </c>
      <c r="M458" t="s">
        <v>48</v>
      </c>
      <c r="N458">
        <v>17</v>
      </c>
    </row>
    <row r="459" spans="1:14" x14ac:dyDescent="0.25">
      <c r="A459" t="s">
        <v>1560</v>
      </c>
      <c r="B459" t="s">
        <v>1199</v>
      </c>
      <c r="C459" t="s">
        <v>1561</v>
      </c>
      <c r="D459" t="s">
        <v>24</v>
      </c>
      <c r="E459" t="s">
        <v>45</v>
      </c>
      <c r="G459" t="s">
        <v>1151</v>
      </c>
      <c r="H459">
        <v>1</v>
      </c>
      <c r="I459">
        <v>13.04</v>
      </c>
      <c r="J459">
        <v>3.57</v>
      </c>
      <c r="K459" t="s">
        <v>19</v>
      </c>
      <c r="L459" s="3">
        <v>45342</v>
      </c>
      <c r="M459" t="s">
        <v>48</v>
      </c>
    </row>
    <row r="460" spans="1:14" x14ac:dyDescent="0.25">
      <c r="A460" t="s">
        <v>1562</v>
      </c>
      <c r="B460" t="s">
        <v>242</v>
      </c>
      <c r="C460" t="s">
        <v>1563</v>
      </c>
      <c r="D460" t="s">
        <v>129</v>
      </c>
      <c r="E460" t="s">
        <v>60</v>
      </c>
      <c r="F460">
        <v>36</v>
      </c>
      <c r="G460" t="s">
        <v>1564</v>
      </c>
      <c r="H460">
        <v>2</v>
      </c>
      <c r="I460">
        <v>11.04</v>
      </c>
      <c r="J460">
        <v>3.78</v>
      </c>
      <c r="K460" t="s">
        <v>19</v>
      </c>
      <c r="L460" s="3">
        <v>45380</v>
      </c>
      <c r="M460" t="s">
        <v>48</v>
      </c>
      <c r="N460">
        <v>36</v>
      </c>
    </row>
    <row r="461" spans="1:14" x14ac:dyDescent="0.25">
      <c r="A461" t="s">
        <v>201</v>
      </c>
      <c r="B461" t="s">
        <v>202</v>
      </c>
      <c r="C461" t="s">
        <v>203</v>
      </c>
      <c r="D461" t="s">
        <v>30</v>
      </c>
      <c r="E461" t="s">
        <v>65</v>
      </c>
      <c r="F461">
        <v>42</v>
      </c>
      <c r="G461" t="s">
        <v>204</v>
      </c>
      <c r="H461">
        <v>1</v>
      </c>
      <c r="I461" t="s">
        <v>205</v>
      </c>
      <c r="J461" s="2">
        <v>6.7</v>
      </c>
      <c r="K461" t="s">
        <v>19</v>
      </c>
      <c r="L461" s="3">
        <v>45311</v>
      </c>
      <c r="M461" t="s">
        <v>48</v>
      </c>
      <c r="N461">
        <v>42</v>
      </c>
    </row>
    <row r="462" spans="1:14" x14ac:dyDescent="0.25">
      <c r="A462" t="s">
        <v>1565</v>
      </c>
      <c r="B462" t="s">
        <v>121</v>
      </c>
      <c r="C462" s="1">
        <v>45037</v>
      </c>
      <c r="D462" t="s">
        <v>51</v>
      </c>
      <c r="E462" t="s">
        <v>31</v>
      </c>
      <c r="F462">
        <v>25</v>
      </c>
      <c r="G462" t="s">
        <v>1127</v>
      </c>
      <c r="H462">
        <v>1</v>
      </c>
      <c r="I462">
        <v>36.369999999999997</v>
      </c>
      <c r="J462">
        <v>16</v>
      </c>
      <c r="K462" t="s">
        <v>19</v>
      </c>
      <c r="L462" s="3">
        <v>45037</v>
      </c>
      <c r="M462" t="s">
        <v>34</v>
      </c>
      <c r="N462">
        <v>25</v>
      </c>
    </row>
    <row r="463" spans="1:14" x14ac:dyDescent="0.25">
      <c r="A463" t="s">
        <v>1566</v>
      </c>
      <c r="B463" t="s">
        <v>1567</v>
      </c>
      <c r="C463" s="1">
        <v>45108</v>
      </c>
      <c r="D463" t="s">
        <v>51</v>
      </c>
      <c r="E463" t="s">
        <v>70</v>
      </c>
      <c r="F463">
        <v>43</v>
      </c>
      <c r="G463" t="s">
        <v>1468</v>
      </c>
      <c r="H463">
        <v>-1</v>
      </c>
      <c r="I463">
        <v>-6.07</v>
      </c>
      <c r="J463">
        <v>-6.79</v>
      </c>
      <c r="K463" t="s">
        <v>19</v>
      </c>
      <c r="L463" s="3">
        <v>45108</v>
      </c>
      <c r="M463" t="s">
        <v>20</v>
      </c>
      <c r="N463">
        <v>43</v>
      </c>
    </row>
    <row r="464" spans="1:14" x14ac:dyDescent="0.25">
      <c r="A464" t="s">
        <v>1568</v>
      </c>
      <c r="B464" t="s">
        <v>1503</v>
      </c>
      <c r="C464" t="s">
        <v>1569</v>
      </c>
      <c r="D464" t="s">
        <v>51</v>
      </c>
      <c r="E464" t="s">
        <v>65</v>
      </c>
      <c r="F464">
        <v>49</v>
      </c>
      <c r="G464" t="s">
        <v>1570</v>
      </c>
      <c r="H464">
        <v>-1</v>
      </c>
      <c r="I464" t="s">
        <v>1571</v>
      </c>
      <c r="J464" s="2">
        <v>-4.7300000000000004</v>
      </c>
      <c r="K464" t="s">
        <v>19</v>
      </c>
      <c r="L464" s="3">
        <v>44972</v>
      </c>
      <c r="M464" t="s">
        <v>48</v>
      </c>
      <c r="N464">
        <v>49</v>
      </c>
    </row>
    <row r="465" spans="1:14" x14ac:dyDescent="0.25">
      <c r="A465" t="s">
        <v>1225</v>
      </c>
      <c r="B465" t="s">
        <v>1226</v>
      </c>
      <c r="C465" s="1">
        <v>45377</v>
      </c>
      <c r="D465" t="s">
        <v>129</v>
      </c>
      <c r="E465" t="s">
        <v>45</v>
      </c>
      <c r="F465">
        <v>32</v>
      </c>
      <c r="G465" t="s">
        <v>100</v>
      </c>
      <c r="H465">
        <v>1</v>
      </c>
      <c r="I465" t="s">
        <v>1227</v>
      </c>
      <c r="J465">
        <v>2.5099999999999998</v>
      </c>
      <c r="K465" t="s">
        <v>41</v>
      </c>
      <c r="L465" s="3">
        <v>45377</v>
      </c>
      <c r="M465" t="s">
        <v>48</v>
      </c>
      <c r="N465">
        <v>32</v>
      </c>
    </row>
    <row r="466" spans="1:14" x14ac:dyDescent="0.25">
      <c r="A466" t="s">
        <v>1572</v>
      </c>
      <c r="B466" t="s">
        <v>172</v>
      </c>
      <c r="C466" s="1">
        <v>45606</v>
      </c>
      <c r="D466" t="s">
        <v>129</v>
      </c>
      <c r="E466" t="s">
        <v>65</v>
      </c>
      <c r="F466">
        <v>53</v>
      </c>
      <c r="G466" t="s">
        <v>1424</v>
      </c>
      <c r="H466">
        <v>1</v>
      </c>
      <c r="I466">
        <v>3.52</v>
      </c>
      <c r="J466">
        <v>1.2</v>
      </c>
      <c r="K466" t="s">
        <v>41</v>
      </c>
      <c r="L466" s="3">
        <v>45606</v>
      </c>
      <c r="M466" t="s">
        <v>48</v>
      </c>
      <c r="N466">
        <v>53</v>
      </c>
    </row>
    <row r="467" spans="1:14" x14ac:dyDescent="0.25">
      <c r="A467" t="s">
        <v>1573</v>
      </c>
      <c r="B467" t="s">
        <v>1202</v>
      </c>
      <c r="C467" s="1">
        <v>45619</v>
      </c>
      <c r="D467" t="s">
        <v>24</v>
      </c>
      <c r="E467" t="s">
        <v>38</v>
      </c>
      <c r="F467">
        <v>56</v>
      </c>
      <c r="G467" t="s">
        <v>1574</v>
      </c>
      <c r="H467">
        <v>2</v>
      </c>
      <c r="I467" s="2">
        <v>50.27</v>
      </c>
      <c r="J467">
        <v>16.55</v>
      </c>
      <c r="K467" t="s">
        <v>19</v>
      </c>
      <c r="L467" s="3">
        <v>45619</v>
      </c>
      <c r="M467" t="s">
        <v>34</v>
      </c>
      <c r="N467">
        <v>56</v>
      </c>
    </row>
    <row r="468" spans="1:14" x14ac:dyDescent="0.25">
      <c r="A468" t="s">
        <v>1575</v>
      </c>
      <c r="B468" t="s">
        <v>924</v>
      </c>
      <c r="C468" t="s">
        <v>1576</v>
      </c>
      <c r="D468" t="s">
        <v>24</v>
      </c>
      <c r="E468" t="s">
        <v>85</v>
      </c>
      <c r="F468">
        <v>33</v>
      </c>
      <c r="G468" t="s">
        <v>1577</v>
      </c>
      <c r="H468">
        <v>2</v>
      </c>
      <c r="I468">
        <v>57.7</v>
      </c>
      <c r="J468" s="2">
        <v>17.91</v>
      </c>
      <c r="K468" t="s">
        <v>41</v>
      </c>
      <c r="L468" s="3">
        <v>45622</v>
      </c>
      <c r="M468" t="s">
        <v>34</v>
      </c>
      <c r="N468">
        <v>33</v>
      </c>
    </row>
    <row r="469" spans="1:14" x14ac:dyDescent="0.25">
      <c r="A469" t="s">
        <v>1578</v>
      </c>
      <c r="B469" t="s">
        <v>840</v>
      </c>
      <c r="C469" t="s">
        <v>1579</v>
      </c>
      <c r="D469" t="s">
        <v>24</v>
      </c>
      <c r="E469" t="s">
        <v>34</v>
      </c>
      <c r="F469">
        <v>33</v>
      </c>
      <c r="G469" t="s">
        <v>1580</v>
      </c>
      <c r="H469">
        <v>1</v>
      </c>
      <c r="I469">
        <v>25.8</v>
      </c>
      <c r="J469" t="s">
        <v>1581</v>
      </c>
      <c r="K469" t="s">
        <v>41</v>
      </c>
      <c r="L469" s="3">
        <v>45262</v>
      </c>
      <c r="M469" t="s">
        <v>34</v>
      </c>
      <c r="N469">
        <v>33</v>
      </c>
    </row>
    <row r="470" spans="1:14" x14ac:dyDescent="0.25">
      <c r="A470" t="s">
        <v>1582</v>
      </c>
      <c r="B470" t="s">
        <v>118</v>
      </c>
      <c r="C470" s="3">
        <v>45185</v>
      </c>
      <c r="D470" t="s">
        <v>51</v>
      </c>
      <c r="E470" t="s">
        <v>34</v>
      </c>
      <c r="F470">
        <v>68</v>
      </c>
      <c r="G470" t="s">
        <v>1583</v>
      </c>
      <c r="H470">
        <v>1</v>
      </c>
      <c r="I470">
        <v>38.03</v>
      </c>
      <c r="J470">
        <v>21.37</v>
      </c>
      <c r="K470" t="s">
        <v>19</v>
      </c>
      <c r="L470" s="3">
        <v>45185</v>
      </c>
      <c r="M470" t="s">
        <v>34</v>
      </c>
      <c r="N470">
        <v>68</v>
      </c>
    </row>
    <row r="471" spans="1:14" x14ac:dyDescent="0.25">
      <c r="A471" t="s">
        <v>1584</v>
      </c>
      <c r="B471" t="s">
        <v>1585</v>
      </c>
      <c r="C471" t="s">
        <v>1586</v>
      </c>
      <c r="D471" t="s">
        <v>24</v>
      </c>
      <c r="E471" t="s">
        <v>60</v>
      </c>
      <c r="F471">
        <v>46</v>
      </c>
      <c r="G471" t="s">
        <v>1587</v>
      </c>
      <c r="H471">
        <v>1</v>
      </c>
      <c r="I471" t="s">
        <v>1588</v>
      </c>
      <c r="J471" t="s">
        <v>1589</v>
      </c>
      <c r="K471" t="s">
        <v>19</v>
      </c>
      <c r="L471" s="3">
        <v>44947</v>
      </c>
      <c r="M471" t="s">
        <v>48</v>
      </c>
      <c r="N471">
        <v>46</v>
      </c>
    </row>
    <row r="472" spans="1:14" x14ac:dyDescent="0.25">
      <c r="A472" t="s">
        <v>1590</v>
      </c>
      <c r="B472" t="s">
        <v>93</v>
      </c>
      <c r="C472" s="3">
        <v>45125</v>
      </c>
      <c r="D472" t="s">
        <v>24</v>
      </c>
      <c r="E472" t="s">
        <v>60</v>
      </c>
      <c r="F472">
        <v>38</v>
      </c>
      <c r="G472" t="s">
        <v>1254</v>
      </c>
      <c r="H472">
        <v>1</v>
      </c>
      <c r="I472" t="s">
        <v>1591</v>
      </c>
      <c r="J472">
        <v>12.47</v>
      </c>
      <c r="K472" t="s">
        <v>19</v>
      </c>
      <c r="L472" s="3">
        <v>45125</v>
      </c>
      <c r="M472" t="s">
        <v>48</v>
      </c>
      <c r="N472">
        <v>38</v>
      </c>
    </row>
    <row r="473" spans="1:14" x14ac:dyDescent="0.25">
      <c r="A473" t="s">
        <v>1592</v>
      </c>
      <c r="B473" t="s">
        <v>1226</v>
      </c>
      <c r="C473" s="1">
        <v>45379</v>
      </c>
      <c r="D473" t="s">
        <v>129</v>
      </c>
      <c r="E473" t="s">
        <v>25</v>
      </c>
      <c r="F473">
        <v>40</v>
      </c>
      <c r="G473" t="s">
        <v>1593</v>
      </c>
      <c r="H473">
        <v>2</v>
      </c>
      <c r="I473" s="2">
        <v>13.11</v>
      </c>
      <c r="J473" s="2">
        <v>5.61</v>
      </c>
      <c r="K473" t="s">
        <v>19</v>
      </c>
      <c r="L473" s="3">
        <v>45379</v>
      </c>
      <c r="M473" t="s">
        <v>20</v>
      </c>
      <c r="N473">
        <v>40</v>
      </c>
    </row>
    <row r="474" spans="1:14" x14ac:dyDescent="0.25">
      <c r="A474" t="s">
        <v>1594</v>
      </c>
      <c r="B474" t="s">
        <v>497</v>
      </c>
      <c r="C474" s="1">
        <v>45205</v>
      </c>
      <c r="D474" t="s">
        <v>16</v>
      </c>
      <c r="E474" t="s">
        <v>38</v>
      </c>
      <c r="F474">
        <v>32</v>
      </c>
      <c r="G474" t="s">
        <v>1595</v>
      </c>
      <c r="H474">
        <v>1</v>
      </c>
      <c r="I474" t="s">
        <v>1596</v>
      </c>
      <c r="J474">
        <v>5.91</v>
      </c>
      <c r="K474" t="s">
        <v>19</v>
      </c>
      <c r="L474" s="3">
        <v>45205</v>
      </c>
      <c r="M474" t="s">
        <v>34</v>
      </c>
      <c r="N474">
        <v>32</v>
      </c>
    </row>
    <row r="475" spans="1:14" x14ac:dyDescent="0.25">
      <c r="A475" t="s">
        <v>1597</v>
      </c>
      <c r="B475" t="s">
        <v>1103</v>
      </c>
      <c r="C475" t="s">
        <v>1598</v>
      </c>
      <c r="D475" t="s">
        <v>16</v>
      </c>
      <c r="E475" t="s">
        <v>85</v>
      </c>
      <c r="F475">
        <v>69</v>
      </c>
      <c r="G475" t="s">
        <v>91</v>
      </c>
      <c r="H475">
        <v>1</v>
      </c>
      <c r="I475">
        <v>16.28</v>
      </c>
      <c r="J475" s="2">
        <v>3.76</v>
      </c>
      <c r="K475" t="s">
        <v>19</v>
      </c>
      <c r="L475" s="3">
        <v>45168</v>
      </c>
      <c r="M475" t="s">
        <v>34</v>
      </c>
      <c r="N475">
        <v>69</v>
      </c>
    </row>
    <row r="476" spans="1:14" x14ac:dyDescent="0.25">
      <c r="A476" t="s">
        <v>1599</v>
      </c>
      <c r="B476" t="s">
        <v>642</v>
      </c>
      <c r="C476" s="1">
        <v>45152</v>
      </c>
      <c r="D476" t="s">
        <v>24</v>
      </c>
      <c r="E476" t="s">
        <v>31</v>
      </c>
      <c r="F476">
        <v>17</v>
      </c>
      <c r="G476" t="s">
        <v>1600</v>
      </c>
      <c r="H476">
        <v>1</v>
      </c>
      <c r="I476">
        <v>19.87</v>
      </c>
      <c r="J476">
        <v>10.25</v>
      </c>
      <c r="K476" t="s">
        <v>19</v>
      </c>
      <c r="L476" s="3">
        <v>45152</v>
      </c>
      <c r="M476" t="s">
        <v>34</v>
      </c>
      <c r="N476">
        <v>17</v>
      </c>
    </row>
    <row r="477" spans="1:14" x14ac:dyDescent="0.25">
      <c r="A477" t="s">
        <v>1272</v>
      </c>
      <c r="B477" t="s">
        <v>1273</v>
      </c>
      <c r="C477" s="1">
        <v>45081</v>
      </c>
      <c r="D477" t="s">
        <v>30</v>
      </c>
      <c r="E477" t="s">
        <v>65</v>
      </c>
      <c r="F477" t="s">
        <v>25</v>
      </c>
      <c r="G477" t="s">
        <v>1274</v>
      </c>
      <c r="H477">
        <v>-1</v>
      </c>
      <c r="I477">
        <v>-17.34</v>
      </c>
      <c r="J477">
        <v>-9.01</v>
      </c>
      <c r="K477" t="s">
        <v>41</v>
      </c>
      <c r="L477" s="3">
        <v>45081</v>
      </c>
      <c r="M477" t="s">
        <v>48</v>
      </c>
    </row>
    <row r="478" spans="1:14" x14ac:dyDescent="0.25">
      <c r="A478" t="s">
        <v>1601</v>
      </c>
      <c r="B478" t="s">
        <v>882</v>
      </c>
      <c r="C478" s="1">
        <v>45493</v>
      </c>
      <c r="D478" t="s">
        <v>16</v>
      </c>
      <c r="E478" t="s">
        <v>38</v>
      </c>
      <c r="F478">
        <v>55</v>
      </c>
      <c r="G478" t="s">
        <v>115</v>
      </c>
      <c r="H478">
        <v>3</v>
      </c>
      <c r="I478" s="2">
        <v>57.01</v>
      </c>
      <c r="J478">
        <v>24.54</v>
      </c>
      <c r="K478" t="s">
        <v>41</v>
      </c>
      <c r="L478" s="3">
        <v>45493</v>
      </c>
      <c r="M478" t="s">
        <v>34</v>
      </c>
      <c r="N478">
        <v>55</v>
      </c>
    </row>
    <row r="479" spans="1:14" x14ac:dyDescent="0.25">
      <c r="A479" t="s">
        <v>1602</v>
      </c>
      <c r="B479" t="s">
        <v>1336</v>
      </c>
      <c r="C479" s="1">
        <v>45306</v>
      </c>
      <c r="D479" t="s">
        <v>30</v>
      </c>
      <c r="F479">
        <v>20</v>
      </c>
      <c r="G479" t="s">
        <v>1603</v>
      </c>
      <c r="H479">
        <v>1</v>
      </c>
      <c r="I479">
        <v>42.24</v>
      </c>
      <c r="J479">
        <v>14.87</v>
      </c>
      <c r="K479" t="s">
        <v>19</v>
      </c>
      <c r="L479" s="3">
        <v>45306</v>
      </c>
      <c r="M479" t="s">
        <v>20</v>
      </c>
      <c r="N479">
        <v>20</v>
      </c>
    </row>
    <row r="480" spans="1:14" x14ac:dyDescent="0.25">
      <c r="A480" t="s">
        <v>1604</v>
      </c>
      <c r="B480" t="s">
        <v>1605</v>
      </c>
      <c r="C480" t="s">
        <v>1606</v>
      </c>
      <c r="D480" t="s">
        <v>16</v>
      </c>
      <c r="E480" t="s">
        <v>38</v>
      </c>
      <c r="F480">
        <v>44</v>
      </c>
      <c r="G480" t="s">
        <v>324</v>
      </c>
      <c r="H480">
        <v>2</v>
      </c>
      <c r="I480">
        <v>19.52</v>
      </c>
      <c r="K480" t="s">
        <v>41</v>
      </c>
      <c r="L480" s="3">
        <v>45292</v>
      </c>
      <c r="M480" t="s">
        <v>34</v>
      </c>
      <c r="N480">
        <v>44</v>
      </c>
    </row>
    <row r="481" spans="1:14" x14ac:dyDescent="0.25">
      <c r="A481" t="s">
        <v>1607</v>
      </c>
      <c r="B481" t="s">
        <v>924</v>
      </c>
      <c r="C481" t="s">
        <v>1608</v>
      </c>
      <c r="D481" t="s">
        <v>129</v>
      </c>
      <c r="E481" t="s">
        <v>65</v>
      </c>
      <c r="F481">
        <v>70</v>
      </c>
      <c r="G481" t="s">
        <v>917</v>
      </c>
      <c r="H481">
        <v>2</v>
      </c>
      <c r="I481">
        <v>11.02</v>
      </c>
      <c r="J481">
        <v>5.09</v>
      </c>
      <c r="K481" t="s">
        <v>41</v>
      </c>
      <c r="L481" s="3">
        <v>45609</v>
      </c>
      <c r="M481" t="s">
        <v>48</v>
      </c>
      <c r="N481">
        <v>70</v>
      </c>
    </row>
    <row r="482" spans="1:14" x14ac:dyDescent="0.25">
      <c r="A482" t="s">
        <v>1609</v>
      </c>
      <c r="B482" t="s">
        <v>1610</v>
      </c>
      <c r="C482" t="s">
        <v>1611</v>
      </c>
      <c r="D482" t="s">
        <v>16</v>
      </c>
      <c r="E482" t="s">
        <v>70</v>
      </c>
      <c r="F482">
        <v>28</v>
      </c>
      <c r="G482" t="s">
        <v>1612</v>
      </c>
      <c r="H482">
        <v>3</v>
      </c>
      <c r="I482">
        <v>55.51</v>
      </c>
      <c r="J482">
        <v>24.35</v>
      </c>
      <c r="K482" t="s">
        <v>19</v>
      </c>
      <c r="L482" s="3">
        <v>45148</v>
      </c>
      <c r="M482" t="s">
        <v>20</v>
      </c>
      <c r="N482">
        <v>28</v>
      </c>
    </row>
    <row r="483" spans="1:14" x14ac:dyDescent="0.25">
      <c r="A483" t="s">
        <v>1613</v>
      </c>
      <c r="B483" t="s">
        <v>1344</v>
      </c>
      <c r="C483" s="3">
        <v>45106</v>
      </c>
      <c r="D483" t="s">
        <v>129</v>
      </c>
      <c r="E483" t="s">
        <v>48</v>
      </c>
      <c r="F483">
        <v>42</v>
      </c>
      <c r="G483" t="s">
        <v>1368</v>
      </c>
      <c r="H483">
        <v>4</v>
      </c>
      <c r="I483" t="s">
        <v>1614</v>
      </c>
      <c r="J483" t="s">
        <v>1615</v>
      </c>
      <c r="K483" t="s">
        <v>41</v>
      </c>
      <c r="L483" s="3">
        <v>45106</v>
      </c>
      <c r="M483" t="s">
        <v>48</v>
      </c>
      <c r="N483">
        <v>42</v>
      </c>
    </row>
    <row r="484" spans="1:14" x14ac:dyDescent="0.25">
      <c r="A484" t="s">
        <v>1616</v>
      </c>
      <c r="B484" t="s">
        <v>610</v>
      </c>
      <c r="C484" t="s">
        <v>1617</v>
      </c>
      <c r="D484" t="s">
        <v>16</v>
      </c>
      <c r="E484" t="s">
        <v>45</v>
      </c>
      <c r="F484">
        <v>37</v>
      </c>
      <c r="G484" t="s">
        <v>1618</v>
      </c>
      <c r="H484">
        <v>2</v>
      </c>
      <c r="I484">
        <v>59.73</v>
      </c>
      <c r="J484">
        <v>31.45</v>
      </c>
      <c r="K484" t="s">
        <v>41</v>
      </c>
      <c r="L484" s="3">
        <v>44935</v>
      </c>
      <c r="M484" t="s">
        <v>48</v>
      </c>
      <c r="N484">
        <v>37</v>
      </c>
    </row>
    <row r="485" spans="1:14" x14ac:dyDescent="0.25">
      <c r="A485" t="s">
        <v>1619</v>
      </c>
      <c r="B485" t="s">
        <v>1620</v>
      </c>
      <c r="C485" s="3">
        <v>45269</v>
      </c>
      <c r="D485" t="s">
        <v>24</v>
      </c>
      <c r="E485" t="s">
        <v>85</v>
      </c>
      <c r="F485">
        <v>22</v>
      </c>
      <c r="G485" t="s">
        <v>1621</v>
      </c>
      <c r="H485">
        <v>1</v>
      </c>
      <c r="I485">
        <v>27.58</v>
      </c>
      <c r="J485">
        <v>10.57</v>
      </c>
      <c r="K485" t="s">
        <v>41</v>
      </c>
      <c r="L485" s="3">
        <v>45269</v>
      </c>
      <c r="M485" t="s">
        <v>34</v>
      </c>
      <c r="N485">
        <v>22</v>
      </c>
    </row>
    <row r="486" spans="1:14" x14ac:dyDescent="0.25">
      <c r="A486" t="s">
        <v>1622</v>
      </c>
      <c r="B486" t="s">
        <v>56</v>
      </c>
      <c r="C486" s="1">
        <v>45156</v>
      </c>
      <c r="D486" t="s">
        <v>51</v>
      </c>
      <c r="E486" t="s">
        <v>85</v>
      </c>
      <c r="F486">
        <v>46</v>
      </c>
      <c r="G486" t="s">
        <v>1623</v>
      </c>
      <c r="H486">
        <v>2</v>
      </c>
      <c r="I486" t="s">
        <v>1624</v>
      </c>
      <c r="J486" s="2">
        <v>9.3800000000000008</v>
      </c>
      <c r="K486" t="s">
        <v>41</v>
      </c>
      <c r="L486" s="3">
        <v>45156</v>
      </c>
      <c r="M486" t="s">
        <v>34</v>
      </c>
      <c r="N486">
        <v>46</v>
      </c>
    </row>
    <row r="487" spans="1:14" x14ac:dyDescent="0.25">
      <c r="A487" t="s">
        <v>1625</v>
      </c>
      <c r="B487" t="s">
        <v>1626</v>
      </c>
      <c r="C487" t="s">
        <v>1627</v>
      </c>
      <c r="D487" t="s">
        <v>129</v>
      </c>
      <c r="E487" t="s">
        <v>38</v>
      </c>
      <c r="F487">
        <v>43</v>
      </c>
      <c r="G487" t="s">
        <v>1628</v>
      </c>
      <c r="H487">
        <v>2</v>
      </c>
      <c r="I487" s="2">
        <v>12.05</v>
      </c>
      <c r="J487">
        <v>4.08</v>
      </c>
      <c r="K487" t="s">
        <v>19</v>
      </c>
      <c r="L487" s="3">
        <v>45404</v>
      </c>
      <c r="M487" t="s">
        <v>34</v>
      </c>
      <c r="N487">
        <v>43</v>
      </c>
    </row>
    <row r="488" spans="1:14" x14ac:dyDescent="0.25">
      <c r="A488" t="s">
        <v>1629</v>
      </c>
      <c r="B488" t="s">
        <v>457</v>
      </c>
      <c r="C488" s="1">
        <v>45617</v>
      </c>
      <c r="D488" t="s">
        <v>129</v>
      </c>
      <c r="E488" t="s">
        <v>48</v>
      </c>
      <c r="F488">
        <v>63</v>
      </c>
      <c r="G488" t="s">
        <v>1630</v>
      </c>
      <c r="H488">
        <v>2</v>
      </c>
      <c r="I488" t="s">
        <v>1631</v>
      </c>
      <c r="J488" s="2">
        <v>17.75</v>
      </c>
      <c r="K488" t="s">
        <v>41</v>
      </c>
      <c r="L488" s="3">
        <v>45617</v>
      </c>
      <c r="M488" t="s">
        <v>48</v>
      </c>
      <c r="N488">
        <v>63</v>
      </c>
    </row>
    <row r="489" spans="1:14" x14ac:dyDescent="0.25">
      <c r="A489" t="s">
        <v>1632</v>
      </c>
      <c r="B489" t="s">
        <v>1633</v>
      </c>
      <c r="C489" s="3">
        <v>45239</v>
      </c>
      <c r="D489" t="s">
        <v>30</v>
      </c>
      <c r="E489" t="s">
        <v>38</v>
      </c>
      <c r="F489">
        <v>15</v>
      </c>
      <c r="G489" t="s">
        <v>1634</v>
      </c>
      <c r="H489">
        <v>1</v>
      </c>
      <c r="I489">
        <v>28.35</v>
      </c>
      <c r="J489">
        <v>11.95</v>
      </c>
      <c r="K489" t="s">
        <v>41</v>
      </c>
      <c r="L489" s="3">
        <v>45239</v>
      </c>
      <c r="M489" t="s">
        <v>34</v>
      </c>
      <c r="N489">
        <v>15</v>
      </c>
    </row>
    <row r="490" spans="1:14" x14ac:dyDescent="0.25">
      <c r="A490" t="s">
        <v>1635</v>
      </c>
      <c r="B490" t="s">
        <v>445</v>
      </c>
      <c r="C490" s="3">
        <v>45117</v>
      </c>
      <c r="D490" t="s">
        <v>30</v>
      </c>
      <c r="E490" t="s">
        <v>25</v>
      </c>
      <c r="F490">
        <v>71</v>
      </c>
      <c r="G490" t="s">
        <v>1636</v>
      </c>
      <c r="H490">
        <v>1</v>
      </c>
      <c r="I490">
        <v>32.14</v>
      </c>
      <c r="J490" s="2">
        <v>16.350000000000001</v>
      </c>
      <c r="K490" t="s">
        <v>19</v>
      </c>
      <c r="L490" s="3">
        <v>45117</v>
      </c>
      <c r="M490" t="s">
        <v>20</v>
      </c>
      <c r="N490">
        <v>71</v>
      </c>
    </row>
    <row r="491" spans="1:14" x14ac:dyDescent="0.25">
      <c r="A491" t="s">
        <v>1637</v>
      </c>
      <c r="B491" t="s">
        <v>792</v>
      </c>
      <c r="C491" s="1">
        <v>45630</v>
      </c>
      <c r="D491" t="s">
        <v>24</v>
      </c>
      <c r="E491" t="s">
        <v>48</v>
      </c>
      <c r="F491">
        <v>65</v>
      </c>
      <c r="G491" t="s">
        <v>1638</v>
      </c>
      <c r="H491">
        <v>1</v>
      </c>
      <c r="I491">
        <v>33.81</v>
      </c>
      <c r="J491">
        <v>11.75</v>
      </c>
      <c r="K491" t="s">
        <v>19</v>
      </c>
      <c r="L491" s="3">
        <v>45630</v>
      </c>
      <c r="M491" t="s">
        <v>48</v>
      </c>
      <c r="N491">
        <v>65</v>
      </c>
    </row>
    <row r="492" spans="1:14" x14ac:dyDescent="0.25">
      <c r="A492" t="s">
        <v>1639</v>
      </c>
      <c r="B492" t="s">
        <v>1640</v>
      </c>
      <c r="C492" t="s">
        <v>1641</v>
      </c>
      <c r="D492" t="s">
        <v>129</v>
      </c>
      <c r="E492" t="s">
        <v>60</v>
      </c>
      <c r="F492">
        <v>31</v>
      </c>
      <c r="G492" t="s">
        <v>635</v>
      </c>
      <c r="H492">
        <v>1</v>
      </c>
      <c r="I492" s="2">
        <v>3.94</v>
      </c>
      <c r="J492">
        <v>1.99</v>
      </c>
      <c r="K492" t="s">
        <v>41</v>
      </c>
      <c r="L492" s="3">
        <v>45640</v>
      </c>
      <c r="M492" t="s">
        <v>48</v>
      </c>
      <c r="N492">
        <v>31</v>
      </c>
    </row>
    <row r="493" spans="1:14" x14ac:dyDescent="0.25">
      <c r="A493" t="s">
        <v>1642</v>
      </c>
      <c r="B493" t="s">
        <v>483</v>
      </c>
      <c r="C493" t="s">
        <v>1643</v>
      </c>
      <c r="D493" t="s">
        <v>16</v>
      </c>
      <c r="E493" t="s">
        <v>31</v>
      </c>
      <c r="F493">
        <v>46</v>
      </c>
      <c r="G493" t="s">
        <v>192</v>
      </c>
      <c r="H493">
        <v>1</v>
      </c>
      <c r="I493" t="s">
        <v>1644</v>
      </c>
      <c r="J493" t="s">
        <v>25</v>
      </c>
      <c r="K493" t="s">
        <v>19</v>
      </c>
      <c r="L493" s="3">
        <v>44953</v>
      </c>
      <c r="M493" t="s">
        <v>34</v>
      </c>
      <c r="N493">
        <v>46</v>
      </c>
    </row>
    <row r="494" spans="1:14" x14ac:dyDescent="0.25">
      <c r="A494" t="s">
        <v>1645</v>
      </c>
      <c r="B494" t="s">
        <v>848</v>
      </c>
      <c r="C494" t="s">
        <v>1646</v>
      </c>
      <c r="D494" t="s">
        <v>30</v>
      </c>
      <c r="E494" t="s">
        <v>31</v>
      </c>
      <c r="F494">
        <v>27</v>
      </c>
      <c r="G494" t="s">
        <v>1647</v>
      </c>
      <c r="H494">
        <v>1</v>
      </c>
      <c r="I494" s="2">
        <v>9.42</v>
      </c>
      <c r="J494">
        <v>3.28</v>
      </c>
      <c r="K494" t="s">
        <v>41</v>
      </c>
      <c r="L494" s="3">
        <v>45352</v>
      </c>
      <c r="M494" t="s">
        <v>34</v>
      </c>
      <c r="N494">
        <v>27</v>
      </c>
    </row>
    <row r="495" spans="1:14" x14ac:dyDescent="0.25">
      <c r="A495" t="s">
        <v>1648</v>
      </c>
      <c r="B495" t="s">
        <v>1121</v>
      </c>
      <c r="C495" t="s">
        <v>1649</v>
      </c>
      <c r="D495" t="s">
        <v>16</v>
      </c>
      <c r="E495" t="s">
        <v>25</v>
      </c>
      <c r="F495">
        <v>29</v>
      </c>
      <c r="G495" t="s">
        <v>1650</v>
      </c>
      <c r="H495">
        <v>1</v>
      </c>
      <c r="I495" t="s">
        <v>1651</v>
      </c>
      <c r="J495">
        <v>4.9000000000000004</v>
      </c>
      <c r="K495" t="s">
        <v>41</v>
      </c>
      <c r="L495" s="3">
        <v>45234</v>
      </c>
      <c r="M495" t="s">
        <v>20</v>
      </c>
      <c r="N495">
        <v>29</v>
      </c>
    </row>
    <row r="496" spans="1:14" x14ac:dyDescent="0.25">
      <c r="A496" t="s">
        <v>1652</v>
      </c>
      <c r="B496" t="s">
        <v>1653</v>
      </c>
      <c r="C496" t="s">
        <v>1654</v>
      </c>
      <c r="D496" t="s">
        <v>24</v>
      </c>
      <c r="E496" t="s">
        <v>48</v>
      </c>
      <c r="F496">
        <v>26</v>
      </c>
      <c r="G496" t="s">
        <v>1655</v>
      </c>
      <c r="H496">
        <v>1</v>
      </c>
      <c r="I496">
        <v>27.91</v>
      </c>
      <c r="J496" t="s">
        <v>1656</v>
      </c>
      <c r="K496" t="s">
        <v>41</v>
      </c>
      <c r="L496" s="3">
        <v>45611</v>
      </c>
      <c r="M496" t="s">
        <v>48</v>
      </c>
      <c r="N496">
        <v>26</v>
      </c>
    </row>
    <row r="497" spans="1:14" x14ac:dyDescent="0.25">
      <c r="A497" t="s">
        <v>1657</v>
      </c>
      <c r="B497" t="s">
        <v>477</v>
      </c>
      <c r="C497" t="s">
        <v>1658</v>
      </c>
      <c r="D497" t="s">
        <v>24</v>
      </c>
      <c r="E497" t="s">
        <v>48</v>
      </c>
      <c r="F497">
        <v>73</v>
      </c>
      <c r="G497" t="s">
        <v>523</v>
      </c>
      <c r="H497">
        <v>1</v>
      </c>
      <c r="I497" t="s">
        <v>1659</v>
      </c>
      <c r="J497">
        <v>6.42</v>
      </c>
      <c r="K497" t="s">
        <v>19</v>
      </c>
      <c r="L497" s="3">
        <v>45529</v>
      </c>
      <c r="M497" t="s">
        <v>48</v>
      </c>
      <c r="N497">
        <v>73</v>
      </c>
    </row>
    <row r="498" spans="1:14" x14ac:dyDescent="0.25">
      <c r="A498" t="s">
        <v>1660</v>
      </c>
      <c r="B498" t="s">
        <v>79</v>
      </c>
      <c r="C498" s="1">
        <v>45040</v>
      </c>
      <c r="D498" t="s">
        <v>129</v>
      </c>
      <c r="E498" t="s">
        <v>65</v>
      </c>
      <c r="F498">
        <v>68</v>
      </c>
      <c r="G498" t="s">
        <v>1661</v>
      </c>
      <c r="H498">
        <v>1</v>
      </c>
      <c r="I498" t="s">
        <v>1662</v>
      </c>
      <c r="J498">
        <v>6.71</v>
      </c>
      <c r="K498" t="s">
        <v>41</v>
      </c>
      <c r="L498" s="3">
        <v>45040</v>
      </c>
      <c r="M498" t="s">
        <v>48</v>
      </c>
      <c r="N498">
        <v>68</v>
      </c>
    </row>
    <row r="499" spans="1:14" x14ac:dyDescent="0.25">
      <c r="A499" t="s">
        <v>1663</v>
      </c>
      <c r="B499" t="s">
        <v>1664</v>
      </c>
      <c r="C499" t="s">
        <v>1665</v>
      </c>
      <c r="D499" t="s">
        <v>24</v>
      </c>
      <c r="E499" t="s">
        <v>65</v>
      </c>
      <c r="F499">
        <v>60</v>
      </c>
      <c r="G499" t="s">
        <v>1666</v>
      </c>
      <c r="H499">
        <v>1</v>
      </c>
      <c r="I499">
        <v>28.4</v>
      </c>
      <c r="J499">
        <v>8.64</v>
      </c>
      <c r="K499" t="s">
        <v>41</v>
      </c>
      <c r="L499" s="3">
        <v>45163</v>
      </c>
      <c r="M499" t="s">
        <v>48</v>
      </c>
      <c r="N499">
        <v>60</v>
      </c>
    </row>
    <row r="500" spans="1:14" x14ac:dyDescent="0.25">
      <c r="A500" t="s">
        <v>1667</v>
      </c>
      <c r="B500" t="s">
        <v>1668</v>
      </c>
      <c r="C500" t="s">
        <v>1669</v>
      </c>
      <c r="D500" t="s">
        <v>30</v>
      </c>
      <c r="E500" t="s">
        <v>70</v>
      </c>
      <c r="F500" t="s">
        <v>25</v>
      </c>
      <c r="G500" t="s">
        <v>1670</v>
      </c>
      <c r="H500">
        <v>5</v>
      </c>
      <c r="I500" t="s">
        <v>25</v>
      </c>
      <c r="J500">
        <v>47.74</v>
      </c>
      <c r="K500" t="s">
        <v>19</v>
      </c>
      <c r="L500" s="3">
        <v>45070</v>
      </c>
      <c r="M500" t="s">
        <v>20</v>
      </c>
    </row>
    <row r="501" spans="1:14" x14ac:dyDescent="0.25">
      <c r="A501" t="s">
        <v>1671</v>
      </c>
      <c r="B501" t="s">
        <v>1066</v>
      </c>
      <c r="C501" s="3">
        <v>45371</v>
      </c>
      <c r="D501" t="s">
        <v>129</v>
      </c>
      <c r="E501" t="s">
        <v>34</v>
      </c>
      <c r="F501">
        <v>67</v>
      </c>
      <c r="G501" t="s">
        <v>1320</v>
      </c>
      <c r="H501">
        <v>2</v>
      </c>
      <c r="I501">
        <v>30.32</v>
      </c>
      <c r="J501">
        <v>15.24</v>
      </c>
      <c r="K501" t="s">
        <v>19</v>
      </c>
      <c r="L501" s="3">
        <v>45371</v>
      </c>
      <c r="M501" t="s">
        <v>34</v>
      </c>
      <c r="N501">
        <v>67</v>
      </c>
    </row>
    <row r="502" spans="1:14" x14ac:dyDescent="0.25">
      <c r="A502" t="s">
        <v>1672</v>
      </c>
      <c r="B502" t="s">
        <v>1269</v>
      </c>
      <c r="C502" s="3">
        <v>44938</v>
      </c>
      <c r="D502" t="s">
        <v>24</v>
      </c>
      <c r="E502" t="s">
        <v>25</v>
      </c>
      <c r="F502">
        <v>65</v>
      </c>
      <c r="G502" t="s">
        <v>1673</v>
      </c>
      <c r="H502">
        <v>2</v>
      </c>
      <c r="I502">
        <v>25.75</v>
      </c>
      <c r="J502" t="s">
        <v>1674</v>
      </c>
      <c r="K502" t="s">
        <v>41</v>
      </c>
      <c r="L502" s="3">
        <v>44938</v>
      </c>
      <c r="M502" t="s">
        <v>20</v>
      </c>
      <c r="N502">
        <v>65</v>
      </c>
    </row>
    <row r="503" spans="1:14" x14ac:dyDescent="0.25">
      <c r="A503" t="s">
        <v>1675</v>
      </c>
      <c r="B503" t="s">
        <v>176</v>
      </c>
      <c r="C503" t="s">
        <v>1676</v>
      </c>
      <c r="D503" t="s">
        <v>51</v>
      </c>
      <c r="E503" t="s">
        <v>45</v>
      </c>
      <c r="F503">
        <v>25</v>
      </c>
      <c r="G503" t="s">
        <v>1677</v>
      </c>
      <c r="H503">
        <v>1</v>
      </c>
      <c r="I503">
        <v>25.12</v>
      </c>
      <c r="J503">
        <v>14.29</v>
      </c>
      <c r="K503" t="s">
        <v>41</v>
      </c>
      <c r="L503" s="3">
        <v>45225</v>
      </c>
      <c r="M503" t="s">
        <v>48</v>
      </c>
      <c r="N503">
        <v>25</v>
      </c>
    </row>
    <row r="504" spans="1:14" x14ac:dyDescent="0.25">
      <c r="A504" t="s">
        <v>1678</v>
      </c>
      <c r="B504" t="s">
        <v>1448</v>
      </c>
      <c r="C504" s="1">
        <v>45644</v>
      </c>
      <c r="D504" t="s">
        <v>129</v>
      </c>
      <c r="E504" t="s">
        <v>38</v>
      </c>
      <c r="F504">
        <v>34</v>
      </c>
      <c r="G504" t="s">
        <v>1679</v>
      </c>
      <c r="H504">
        <v>3</v>
      </c>
      <c r="I504" t="s">
        <v>1680</v>
      </c>
      <c r="J504" t="s">
        <v>1681</v>
      </c>
      <c r="K504" t="s">
        <v>41</v>
      </c>
      <c r="L504" s="3">
        <v>45644</v>
      </c>
      <c r="M504" t="s">
        <v>34</v>
      </c>
      <c r="N504">
        <v>34</v>
      </c>
    </row>
    <row r="505" spans="1:14" x14ac:dyDescent="0.25">
      <c r="A505" t="s">
        <v>1682</v>
      </c>
      <c r="B505" t="s">
        <v>551</v>
      </c>
      <c r="C505" t="s">
        <v>1683</v>
      </c>
      <c r="D505" t="s">
        <v>30</v>
      </c>
      <c r="E505" t="s">
        <v>60</v>
      </c>
      <c r="F505">
        <v>44</v>
      </c>
      <c r="G505" t="s">
        <v>1684</v>
      </c>
      <c r="H505">
        <v>2</v>
      </c>
      <c r="I505" t="s">
        <v>1685</v>
      </c>
      <c r="J505" s="2">
        <v>12.37</v>
      </c>
      <c r="K505" t="s">
        <v>41</v>
      </c>
      <c r="L505" s="3">
        <v>45088</v>
      </c>
      <c r="M505" t="s">
        <v>48</v>
      </c>
      <c r="N505">
        <v>44</v>
      </c>
    </row>
    <row r="506" spans="1:14" x14ac:dyDescent="0.25">
      <c r="A506" t="s">
        <v>1686</v>
      </c>
      <c r="B506" t="s">
        <v>1687</v>
      </c>
      <c r="C506" t="s">
        <v>1688</v>
      </c>
      <c r="D506" t="s">
        <v>30</v>
      </c>
      <c r="E506" t="s">
        <v>31</v>
      </c>
      <c r="F506">
        <v>64</v>
      </c>
      <c r="G506" t="s">
        <v>1689</v>
      </c>
      <c r="H506">
        <v>1</v>
      </c>
      <c r="I506" s="2">
        <v>23.72</v>
      </c>
      <c r="J506">
        <v>8.51</v>
      </c>
      <c r="K506" t="s">
        <v>19</v>
      </c>
      <c r="L506" s="3">
        <v>44986</v>
      </c>
      <c r="M506" t="s">
        <v>34</v>
      </c>
      <c r="N506">
        <v>64</v>
      </c>
    </row>
    <row r="507" spans="1:14" x14ac:dyDescent="0.25">
      <c r="A507" t="s">
        <v>1316</v>
      </c>
      <c r="B507" t="s">
        <v>487</v>
      </c>
      <c r="C507" s="1">
        <v>45401</v>
      </c>
      <c r="D507" t="s">
        <v>129</v>
      </c>
      <c r="E507" t="s">
        <v>31</v>
      </c>
      <c r="F507">
        <v>27</v>
      </c>
      <c r="G507" t="s">
        <v>887</v>
      </c>
      <c r="H507">
        <v>1</v>
      </c>
      <c r="I507">
        <v>15.8</v>
      </c>
      <c r="J507" t="s">
        <v>1317</v>
      </c>
      <c r="K507" t="s">
        <v>19</v>
      </c>
      <c r="L507" s="3">
        <v>45401</v>
      </c>
      <c r="M507" t="s">
        <v>34</v>
      </c>
      <c r="N507">
        <v>27</v>
      </c>
    </row>
    <row r="508" spans="1:14" x14ac:dyDescent="0.25">
      <c r="A508" t="s">
        <v>1690</v>
      </c>
      <c r="B508" t="s">
        <v>1691</v>
      </c>
      <c r="C508" t="s">
        <v>1692</v>
      </c>
      <c r="D508" t="s">
        <v>129</v>
      </c>
      <c r="E508" t="s">
        <v>38</v>
      </c>
      <c r="F508">
        <v>45</v>
      </c>
      <c r="G508" t="s">
        <v>1693</v>
      </c>
      <c r="H508">
        <v>4</v>
      </c>
      <c r="I508" t="s">
        <v>1694</v>
      </c>
      <c r="J508">
        <v>38.96</v>
      </c>
      <c r="K508" t="s">
        <v>19</v>
      </c>
      <c r="L508" s="3">
        <v>45650</v>
      </c>
      <c r="M508" t="s">
        <v>34</v>
      </c>
      <c r="N508">
        <v>45</v>
      </c>
    </row>
    <row r="509" spans="1:14" x14ac:dyDescent="0.25">
      <c r="A509" t="s">
        <v>1695</v>
      </c>
      <c r="B509" t="s">
        <v>742</v>
      </c>
      <c r="C509" t="s">
        <v>1696</v>
      </c>
      <c r="D509" t="s">
        <v>16</v>
      </c>
      <c r="E509" t="s">
        <v>25</v>
      </c>
      <c r="F509">
        <v>73</v>
      </c>
      <c r="G509" t="s">
        <v>1697</v>
      </c>
      <c r="H509">
        <v>6</v>
      </c>
      <c r="I509">
        <v>176.41</v>
      </c>
      <c r="J509">
        <v>56.19</v>
      </c>
      <c r="K509" t="s">
        <v>19</v>
      </c>
      <c r="L509" s="3">
        <v>45626</v>
      </c>
      <c r="M509" t="s">
        <v>20</v>
      </c>
      <c r="N509">
        <v>73</v>
      </c>
    </row>
    <row r="510" spans="1:14" x14ac:dyDescent="0.25">
      <c r="A510" t="s">
        <v>502</v>
      </c>
      <c r="B510" t="s">
        <v>503</v>
      </c>
      <c r="C510" t="s">
        <v>398</v>
      </c>
      <c r="D510" t="s">
        <v>129</v>
      </c>
      <c r="E510" t="s">
        <v>38</v>
      </c>
      <c r="F510">
        <v>63</v>
      </c>
      <c r="G510" t="s">
        <v>409</v>
      </c>
      <c r="H510">
        <v>1</v>
      </c>
      <c r="I510" s="2">
        <v>13.61</v>
      </c>
      <c r="J510">
        <v>6.78</v>
      </c>
      <c r="K510" t="s">
        <v>41</v>
      </c>
      <c r="L510" s="3">
        <v>45037</v>
      </c>
      <c r="M510" t="s">
        <v>34</v>
      </c>
      <c r="N510">
        <v>63</v>
      </c>
    </row>
    <row r="511" spans="1:14" x14ac:dyDescent="0.25">
      <c r="A511" t="s">
        <v>1698</v>
      </c>
      <c r="B511" t="s">
        <v>657</v>
      </c>
      <c r="C511" t="s">
        <v>1699</v>
      </c>
      <c r="D511" t="s">
        <v>16</v>
      </c>
      <c r="E511" t="s">
        <v>48</v>
      </c>
      <c r="F511">
        <v>13</v>
      </c>
      <c r="G511" t="s">
        <v>1700</v>
      </c>
      <c r="H511">
        <v>3</v>
      </c>
      <c r="I511">
        <v>34.770000000000003</v>
      </c>
      <c r="J511">
        <v>10.99</v>
      </c>
      <c r="K511" t="s">
        <v>41</v>
      </c>
      <c r="L511" s="3">
        <v>45238</v>
      </c>
      <c r="M511" t="s">
        <v>48</v>
      </c>
      <c r="N511">
        <v>13</v>
      </c>
    </row>
    <row r="512" spans="1:14" x14ac:dyDescent="0.25">
      <c r="A512" t="s">
        <v>1701</v>
      </c>
      <c r="B512" t="s">
        <v>157</v>
      </c>
      <c r="C512" s="1">
        <v>45560</v>
      </c>
      <c r="D512" t="s">
        <v>24</v>
      </c>
      <c r="E512" t="s">
        <v>38</v>
      </c>
      <c r="F512">
        <v>57</v>
      </c>
      <c r="G512" t="s">
        <v>1142</v>
      </c>
      <c r="H512">
        <v>3</v>
      </c>
      <c r="I512">
        <v>21.98</v>
      </c>
      <c r="J512">
        <v>10.88</v>
      </c>
      <c r="K512" t="s">
        <v>19</v>
      </c>
      <c r="L512" s="3">
        <v>45560</v>
      </c>
      <c r="M512" t="s">
        <v>34</v>
      </c>
      <c r="N512">
        <v>57</v>
      </c>
    </row>
    <row r="513" spans="1:14" x14ac:dyDescent="0.25">
      <c r="A513" t="s">
        <v>1702</v>
      </c>
      <c r="B513" t="s">
        <v>1703</v>
      </c>
      <c r="C513" s="1">
        <v>44938</v>
      </c>
      <c r="D513" t="s">
        <v>30</v>
      </c>
      <c r="E513" t="s">
        <v>34</v>
      </c>
      <c r="F513">
        <v>46</v>
      </c>
      <c r="G513" t="s">
        <v>1704</v>
      </c>
      <c r="H513">
        <v>5</v>
      </c>
      <c r="I513">
        <v>75.66</v>
      </c>
      <c r="J513" s="2">
        <v>32.770000000000003</v>
      </c>
      <c r="K513" t="s">
        <v>19</v>
      </c>
      <c r="L513" s="3">
        <v>44938</v>
      </c>
      <c r="M513" t="s">
        <v>34</v>
      </c>
      <c r="N513">
        <v>46</v>
      </c>
    </row>
    <row r="514" spans="1:14" x14ac:dyDescent="0.25">
      <c r="A514" t="s">
        <v>1705</v>
      </c>
      <c r="B514" t="s">
        <v>279</v>
      </c>
      <c r="C514" s="3">
        <v>45372</v>
      </c>
      <c r="D514" t="s">
        <v>16</v>
      </c>
      <c r="E514" t="s">
        <v>60</v>
      </c>
      <c r="F514">
        <v>65</v>
      </c>
      <c r="G514" t="s">
        <v>1706</v>
      </c>
      <c r="H514">
        <v>4</v>
      </c>
      <c r="I514">
        <v>46.62</v>
      </c>
      <c r="J514" t="s">
        <v>1707</v>
      </c>
      <c r="K514" t="s">
        <v>19</v>
      </c>
      <c r="L514" s="3">
        <v>45372</v>
      </c>
      <c r="M514" t="s">
        <v>48</v>
      </c>
      <c r="N514">
        <v>65</v>
      </c>
    </row>
    <row r="515" spans="1:14" x14ac:dyDescent="0.25">
      <c r="A515" t="s">
        <v>1708</v>
      </c>
      <c r="B515" t="s">
        <v>483</v>
      </c>
      <c r="C515" t="s">
        <v>1709</v>
      </c>
      <c r="D515" t="s">
        <v>16</v>
      </c>
      <c r="E515" t="s">
        <v>85</v>
      </c>
      <c r="F515">
        <v>48</v>
      </c>
      <c r="G515" t="s">
        <v>1710</v>
      </c>
      <c r="H515">
        <v>1</v>
      </c>
      <c r="I515" s="2">
        <v>26.96</v>
      </c>
      <c r="J515" t="s">
        <v>1711</v>
      </c>
      <c r="K515" t="s">
        <v>19</v>
      </c>
      <c r="L515" s="3">
        <v>45081</v>
      </c>
      <c r="M515" t="s">
        <v>34</v>
      </c>
      <c r="N515">
        <v>48</v>
      </c>
    </row>
    <row r="516" spans="1:14" x14ac:dyDescent="0.25">
      <c r="A516" t="s">
        <v>1712</v>
      </c>
      <c r="B516" t="s">
        <v>1293</v>
      </c>
      <c r="C516" s="1">
        <v>45409</v>
      </c>
      <c r="D516" t="s">
        <v>24</v>
      </c>
      <c r="E516" t="s">
        <v>65</v>
      </c>
      <c r="F516">
        <v>32</v>
      </c>
      <c r="G516" t="s">
        <v>1677</v>
      </c>
      <c r="H516">
        <v>1</v>
      </c>
      <c r="I516" s="2">
        <v>28.96</v>
      </c>
      <c r="J516">
        <v>15.79</v>
      </c>
      <c r="K516" t="s">
        <v>41</v>
      </c>
      <c r="L516" s="3">
        <v>45409</v>
      </c>
      <c r="M516" t="s">
        <v>48</v>
      </c>
      <c r="N516">
        <v>32</v>
      </c>
    </row>
    <row r="517" spans="1:14" x14ac:dyDescent="0.25">
      <c r="A517" t="s">
        <v>1713</v>
      </c>
      <c r="B517" t="s">
        <v>490</v>
      </c>
      <c r="C517" t="s">
        <v>1714</v>
      </c>
      <c r="D517" t="s">
        <v>129</v>
      </c>
      <c r="E517" t="s">
        <v>85</v>
      </c>
      <c r="F517">
        <v>58</v>
      </c>
      <c r="G517" t="s">
        <v>1715</v>
      </c>
      <c r="H517">
        <v>2</v>
      </c>
      <c r="I517" s="2">
        <v>19.21</v>
      </c>
      <c r="J517" t="s">
        <v>1716</v>
      </c>
      <c r="K517" t="s">
        <v>19</v>
      </c>
      <c r="L517" s="3">
        <v>44992</v>
      </c>
      <c r="M517" t="s">
        <v>34</v>
      </c>
      <c r="N517">
        <v>58</v>
      </c>
    </row>
    <row r="518" spans="1:14" x14ac:dyDescent="0.25">
      <c r="A518" t="s">
        <v>1717</v>
      </c>
      <c r="B518" t="s">
        <v>1718</v>
      </c>
      <c r="C518" s="1">
        <v>45342</v>
      </c>
      <c r="D518" t="s">
        <v>30</v>
      </c>
      <c r="E518" t="s">
        <v>65</v>
      </c>
      <c r="F518">
        <v>53</v>
      </c>
      <c r="G518" t="s">
        <v>1719</v>
      </c>
      <c r="H518">
        <v>3</v>
      </c>
      <c r="I518" t="s">
        <v>1720</v>
      </c>
      <c r="J518">
        <v>30.08</v>
      </c>
      <c r="K518" t="s">
        <v>41</v>
      </c>
      <c r="L518" s="3">
        <v>45342</v>
      </c>
      <c r="M518" t="s">
        <v>48</v>
      </c>
      <c r="N518">
        <v>53</v>
      </c>
    </row>
    <row r="519" spans="1:14" x14ac:dyDescent="0.25">
      <c r="A519" t="s">
        <v>1721</v>
      </c>
      <c r="B519" t="s">
        <v>1722</v>
      </c>
      <c r="C519" t="s">
        <v>1723</v>
      </c>
      <c r="D519" t="s">
        <v>30</v>
      </c>
      <c r="E519" t="s">
        <v>65</v>
      </c>
      <c r="F519">
        <v>27</v>
      </c>
      <c r="G519" t="s">
        <v>1724</v>
      </c>
      <c r="H519">
        <v>4</v>
      </c>
      <c r="I519">
        <v>36.74</v>
      </c>
      <c r="J519">
        <v>18.59</v>
      </c>
      <c r="K519" t="s">
        <v>41</v>
      </c>
      <c r="L519" s="3">
        <v>45552</v>
      </c>
      <c r="M519" t="s">
        <v>48</v>
      </c>
      <c r="N519">
        <v>27</v>
      </c>
    </row>
    <row r="520" spans="1:14" x14ac:dyDescent="0.25">
      <c r="A520" t="s">
        <v>1725</v>
      </c>
      <c r="B520" t="s">
        <v>1238</v>
      </c>
      <c r="C520" s="3">
        <v>44985</v>
      </c>
      <c r="D520" t="s">
        <v>30</v>
      </c>
      <c r="E520" t="s">
        <v>132</v>
      </c>
      <c r="F520">
        <v>31</v>
      </c>
      <c r="G520" t="s">
        <v>553</v>
      </c>
      <c r="H520">
        <v>1</v>
      </c>
      <c r="I520" s="2">
        <v>16.84</v>
      </c>
      <c r="J520">
        <v>7.11</v>
      </c>
      <c r="K520" t="s">
        <v>41</v>
      </c>
      <c r="L520" s="3">
        <v>44985</v>
      </c>
      <c r="M520" t="s">
        <v>132</v>
      </c>
      <c r="N520">
        <v>31</v>
      </c>
    </row>
    <row r="521" spans="1:14" x14ac:dyDescent="0.25">
      <c r="A521" t="s">
        <v>1726</v>
      </c>
      <c r="B521" t="s">
        <v>1011</v>
      </c>
      <c r="C521" t="s">
        <v>1727</v>
      </c>
      <c r="D521" t="s">
        <v>30</v>
      </c>
      <c r="E521" t="s">
        <v>48</v>
      </c>
      <c r="F521">
        <v>47</v>
      </c>
      <c r="G521" t="s">
        <v>1728</v>
      </c>
      <c r="H521">
        <v>2</v>
      </c>
      <c r="I521">
        <v>60.25</v>
      </c>
      <c r="J521" t="s">
        <v>1729</v>
      </c>
      <c r="K521" t="s">
        <v>19</v>
      </c>
      <c r="L521" s="3">
        <v>45320</v>
      </c>
      <c r="M521" t="s">
        <v>48</v>
      </c>
      <c r="N521">
        <v>47</v>
      </c>
    </row>
    <row r="522" spans="1:14" x14ac:dyDescent="0.25">
      <c r="A522" t="s">
        <v>1730</v>
      </c>
      <c r="B522" t="s">
        <v>202</v>
      </c>
      <c r="C522" t="s">
        <v>1731</v>
      </c>
      <c r="D522" t="s">
        <v>51</v>
      </c>
      <c r="E522" t="s">
        <v>48</v>
      </c>
      <c r="F522">
        <v>44</v>
      </c>
      <c r="G522" t="s">
        <v>778</v>
      </c>
      <c r="H522">
        <v>2</v>
      </c>
      <c r="I522">
        <v>58.97</v>
      </c>
      <c r="J522">
        <v>23.74</v>
      </c>
      <c r="K522" t="s">
        <v>41</v>
      </c>
      <c r="L522" s="3">
        <v>45147</v>
      </c>
      <c r="M522" t="s">
        <v>48</v>
      </c>
      <c r="N522">
        <v>44</v>
      </c>
    </row>
    <row r="523" spans="1:14" x14ac:dyDescent="0.25">
      <c r="A523" t="s">
        <v>1732</v>
      </c>
      <c r="B523" t="s">
        <v>408</v>
      </c>
      <c r="C523" s="1">
        <v>45034</v>
      </c>
      <c r="D523" t="s">
        <v>51</v>
      </c>
      <c r="E523" t="s">
        <v>85</v>
      </c>
      <c r="F523">
        <v>29</v>
      </c>
      <c r="G523" t="s">
        <v>1733</v>
      </c>
      <c r="H523">
        <v>-2</v>
      </c>
      <c r="I523" s="2">
        <v>-15.55</v>
      </c>
      <c r="J523" t="s">
        <v>1734</v>
      </c>
      <c r="K523" t="s">
        <v>41</v>
      </c>
      <c r="L523" s="3">
        <v>45034</v>
      </c>
      <c r="M523" t="s">
        <v>34</v>
      </c>
      <c r="N523">
        <v>29</v>
      </c>
    </row>
    <row r="524" spans="1:14" x14ac:dyDescent="0.25">
      <c r="A524" t="s">
        <v>1735</v>
      </c>
      <c r="B524" t="s">
        <v>1736</v>
      </c>
      <c r="C524" s="1">
        <v>45154</v>
      </c>
      <c r="D524" t="s">
        <v>30</v>
      </c>
      <c r="E524" t="s">
        <v>31</v>
      </c>
      <c r="F524">
        <v>16</v>
      </c>
      <c r="G524" t="s">
        <v>1737</v>
      </c>
      <c r="H524">
        <v>5</v>
      </c>
      <c r="I524">
        <v>131.86000000000001</v>
      </c>
      <c r="J524" s="2">
        <v>24.47</v>
      </c>
      <c r="K524" t="s">
        <v>41</v>
      </c>
      <c r="L524" s="3">
        <v>45154</v>
      </c>
      <c r="M524" t="s">
        <v>34</v>
      </c>
      <c r="N524">
        <v>16</v>
      </c>
    </row>
    <row r="525" spans="1:14" x14ac:dyDescent="0.25">
      <c r="A525" t="s">
        <v>1738</v>
      </c>
      <c r="B525" t="s">
        <v>36</v>
      </c>
      <c r="C525" t="s">
        <v>1739</v>
      </c>
      <c r="D525" t="s">
        <v>129</v>
      </c>
      <c r="E525" t="s">
        <v>48</v>
      </c>
      <c r="F525">
        <v>69</v>
      </c>
      <c r="G525" t="s">
        <v>428</v>
      </c>
      <c r="H525">
        <v>1</v>
      </c>
      <c r="I525">
        <v>6.98</v>
      </c>
      <c r="J525" s="2">
        <v>2.5499999999999998</v>
      </c>
      <c r="K525" t="s">
        <v>19</v>
      </c>
      <c r="L525" s="3">
        <v>45146</v>
      </c>
      <c r="M525" t="s">
        <v>48</v>
      </c>
      <c r="N525">
        <v>69</v>
      </c>
    </row>
    <row r="526" spans="1:14" x14ac:dyDescent="0.25">
      <c r="A526" t="s">
        <v>1740</v>
      </c>
      <c r="B526" t="s">
        <v>589</v>
      </c>
      <c r="C526" s="1">
        <v>45621</v>
      </c>
      <c r="D526" t="s">
        <v>30</v>
      </c>
      <c r="E526" t="s">
        <v>85</v>
      </c>
      <c r="F526">
        <v>37</v>
      </c>
      <c r="G526" t="s">
        <v>1741</v>
      </c>
      <c r="H526">
        <v>1</v>
      </c>
      <c r="I526">
        <v>33.979999999999997</v>
      </c>
      <c r="J526" s="2">
        <v>16.45</v>
      </c>
      <c r="K526" t="s">
        <v>41</v>
      </c>
      <c r="L526" s="3">
        <v>45621</v>
      </c>
      <c r="M526" t="s">
        <v>34</v>
      </c>
      <c r="N526">
        <v>37</v>
      </c>
    </row>
    <row r="527" spans="1:14" x14ac:dyDescent="0.25">
      <c r="A527" t="s">
        <v>1742</v>
      </c>
      <c r="B527" t="s">
        <v>64</v>
      </c>
      <c r="C527" t="s">
        <v>1743</v>
      </c>
      <c r="D527" t="s">
        <v>51</v>
      </c>
      <c r="E527" t="s">
        <v>34</v>
      </c>
      <c r="F527">
        <v>19</v>
      </c>
      <c r="G527" t="s">
        <v>1744</v>
      </c>
      <c r="H527">
        <v>-2</v>
      </c>
      <c r="I527">
        <v>-15.81</v>
      </c>
      <c r="J527" s="2">
        <v>-1.63</v>
      </c>
      <c r="K527" t="s">
        <v>41</v>
      </c>
      <c r="L527" s="3">
        <v>45201</v>
      </c>
      <c r="M527" t="s">
        <v>34</v>
      </c>
      <c r="N527">
        <v>19</v>
      </c>
    </row>
    <row r="528" spans="1:14" x14ac:dyDescent="0.25">
      <c r="A528" t="s">
        <v>1745</v>
      </c>
      <c r="B528" t="s">
        <v>717</v>
      </c>
      <c r="C528" s="3">
        <v>45440</v>
      </c>
      <c r="D528" t="s">
        <v>30</v>
      </c>
      <c r="E528" t="s">
        <v>31</v>
      </c>
      <c r="F528">
        <v>35</v>
      </c>
      <c r="G528" t="s">
        <v>1746</v>
      </c>
      <c r="H528">
        <v>2</v>
      </c>
      <c r="I528" s="2">
        <v>55.82</v>
      </c>
      <c r="J528" s="2">
        <v>19.59</v>
      </c>
      <c r="K528" t="s">
        <v>19</v>
      </c>
      <c r="L528" s="3">
        <v>45440</v>
      </c>
      <c r="M528" t="s">
        <v>34</v>
      </c>
      <c r="N528">
        <v>35</v>
      </c>
    </row>
    <row r="529" spans="1:14" x14ac:dyDescent="0.25">
      <c r="A529" t="s">
        <v>1747</v>
      </c>
      <c r="B529" t="s">
        <v>1367</v>
      </c>
      <c r="C529" t="s">
        <v>1748</v>
      </c>
      <c r="D529" t="s">
        <v>30</v>
      </c>
      <c r="E529" t="s">
        <v>48</v>
      </c>
      <c r="F529">
        <v>25</v>
      </c>
      <c r="G529" t="s">
        <v>1749</v>
      </c>
      <c r="H529">
        <v>2</v>
      </c>
      <c r="I529" s="2">
        <v>20.059999999999999</v>
      </c>
      <c r="J529">
        <v>8.91</v>
      </c>
      <c r="K529" t="s">
        <v>19</v>
      </c>
      <c r="L529" s="3">
        <v>45354</v>
      </c>
      <c r="M529" t="s">
        <v>48</v>
      </c>
      <c r="N529">
        <v>25</v>
      </c>
    </row>
    <row r="530" spans="1:14" x14ac:dyDescent="0.25">
      <c r="A530" t="s">
        <v>1750</v>
      </c>
      <c r="B530" t="s">
        <v>1687</v>
      </c>
      <c r="C530" t="s">
        <v>1751</v>
      </c>
      <c r="D530" t="s">
        <v>16</v>
      </c>
      <c r="E530" t="s">
        <v>34</v>
      </c>
      <c r="F530">
        <v>27</v>
      </c>
      <c r="G530" t="s">
        <v>395</v>
      </c>
      <c r="H530">
        <v>1</v>
      </c>
      <c r="I530">
        <v>28.89</v>
      </c>
      <c r="J530" t="s">
        <v>723</v>
      </c>
      <c r="K530" t="s">
        <v>19</v>
      </c>
      <c r="L530" s="3">
        <v>44956</v>
      </c>
      <c r="M530" t="s">
        <v>34</v>
      </c>
      <c r="N530">
        <v>27</v>
      </c>
    </row>
    <row r="531" spans="1:14" x14ac:dyDescent="0.25">
      <c r="A531" t="s">
        <v>1752</v>
      </c>
      <c r="B531" t="s">
        <v>1476</v>
      </c>
      <c r="C531" t="s">
        <v>1753</v>
      </c>
      <c r="D531" t="s">
        <v>30</v>
      </c>
      <c r="E531" t="s">
        <v>85</v>
      </c>
      <c r="F531">
        <v>14</v>
      </c>
      <c r="G531" t="s">
        <v>1754</v>
      </c>
      <c r="H531">
        <v>2</v>
      </c>
      <c r="I531">
        <v>66.86</v>
      </c>
      <c r="J531">
        <v>26.02</v>
      </c>
      <c r="K531" t="s">
        <v>19</v>
      </c>
      <c r="L531" s="3">
        <v>45247</v>
      </c>
      <c r="M531" t="s">
        <v>34</v>
      </c>
      <c r="N531">
        <v>14</v>
      </c>
    </row>
    <row r="532" spans="1:14" x14ac:dyDescent="0.25">
      <c r="A532" t="s">
        <v>1755</v>
      </c>
      <c r="B532" t="s">
        <v>165</v>
      </c>
      <c r="C532" s="1">
        <v>45431</v>
      </c>
      <c r="D532" t="s">
        <v>30</v>
      </c>
      <c r="E532" t="s">
        <v>34</v>
      </c>
      <c r="F532">
        <v>25</v>
      </c>
      <c r="G532" t="s">
        <v>1756</v>
      </c>
      <c r="H532">
        <v>4</v>
      </c>
      <c r="I532" s="2">
        <v>148.38999999999999</v>
      </c>
      <c r="J532" s="2">
        <v>57.58</v>
      </c>
      <c r="K532" t="s">
        <v>41</v>
      </c>
      <c r="L532" s="3">
        <v>45431</v>
      </c>
      <c r="M532" t="s">
        <v>34</v>
      </c>
      <c r="N532">
        <v>25</v>
      </c>
    </row>
    <row r="533" spans="1:14" x14ac:dyDescent="0.25">
      <c r="A533" t="s">
        <v>1757</v>
      </c>
      <c r="B533" t="s">
        <v>1758</v>
      </c>
      <c r="C533" t="s">
        <v>1759</v>
      </c>
      <c r="D533" t="s">
        <v>16</v>
      </c>
      <c r="E533" t="s">
        <v>45</v>
      </c>
      <c r="F533">
        <v>44</v>
      </c>
      <c r="G533" t="s">
        <v>1760</v>
      </c>
      <c r="H533">
        <v>-3</v>
      </c>
      <c r="I533" s="2">
        <v>-28.45</v>
      </c>
      <c r="J533">
        <v>-10.43</v>
      </c>
      <c r="K533" t="s">
        <v>19</v>
      </c>
      <c r="L533" s="3">
        <v>44933</v>
      </c>
      <c r="M533" t="s">
        <v>48</v>
      </c>
      <c r="N533">
        <v>44</v>
      </c>
    </row>
    <row r="534" spans="1:14" x14ac:dyDescent="0.25">
      <c r="A534" t="s">
        <v>1761</v>
      </c>
      <c r="B534" t="s">
        <v>1762</v>
      </c>
      <c r="C534" s="3">
        <v>45329</v>
      </c>
      <c r="D534" t="s">
        <v>129</v>
      </c>
      <c r="E534" t="s">
        <v>31</v>
      </c>
      <c r="F534">
        <v>67</v>
      </c>
      <c r="G534" t="s">
        <v>158</v>
      </c>
      <c r="H534">
        <v>1</v>
      </c>
      <c r="I534" t="s">
        <v>1763</v>
      </c>
      <c r="J534">
        <v>7.34</v>
      </c>
      <c r="K534" t="s">
        <v>41</v>
      </c>
      <c r="L534" s="3">
        <v>45329</v>
      </c>
      <c r="M534" t="s">
        <v>34</v>
      </c>
      <c r="N534">
        <v>67</v>
      </c>
    </row>
    <row r="535" spans="1:14" x14ac:dyDescent="0.25">
      <c r="A535" t="s">
        <v>1764</v>
      </c>
      <c r="B535" t="s">
        <v>660</v>
      </c>
      <c r="C535" t="s">
        <v>1765</v>
      </c>
      <c r="D535" t="s">
        <v>24</v>
      </c>
      <c r="E535" t="s">
        <v>38</v>
      </c>
      <c r="F535">
        <v>18</v>
      </c>
      <c r="G535" t="s">
        <v>1766</v>
      </c>
      <c r="H535">
        <v>1</v>
      </c>
      <c r="I535">
        <v>25.9</v>
      </c>
      <c r="J535">
        <v>9.1300000000000008</v>
      </c>
      <c r="K535" t="s">
        <v>19</v>
      </c>
      <c r="L535" s="3">
        <v>45486</v>
      </c>
      <c r="M535" t="s">
        <v>34</v>
      </c>
      <c r="N535">
        <v>18</v>
      </c>
    </row>
    <row r="536" spans="1:14" x14ac:dyDescent="0.25">
      <c r="A536" t="s">
        <v>1767</v>
      </c>
      <c r="B536" t="s">
        <v>1199</v>
      </c>
      <c r="C536" s="3">
        <v>45012</v>
      </c>
      <c r="D536" t="s">
        <v>24</v>
      </c>
      <c r="E536" t="s">
        <v>48</v>
      </c>
      <c r="F536">
        <v>58</v>
      </c>
      <c r="G536" t="s">
        <v>1768</v>
      </c>
      <c r="H536">
        <v>6</v>
      </c>
      <c r="I536">
        <v>79</v>
      </c>
      <c r="J536">
        <v>45.57</v>
      </c>
      <c r="K536" t="s">
        <v>41</v>
      </c>
      <c r="L536" s="3">
        <v>45012</v>
      </c>
      <c r="M536" t="s">
        <v>48</v>
      </c>
      <c r="N536">
        <v>58</v>
      </c>
    </row>
    <row r="537" spans="1:14" x14ac:dyDescent="0.25">
      <c r="A537" t="s">
        <v>1769</v>
      </c>
      <c r="B537" t="s">
        <v>1770</v>
      </c>
      <c r="C537" t="s">
        <v>1771</v>
      </c>
      <c r="D537" t="s">
        <v>30</v>
      </c>
      <c r="E537" t="s">
        <v>45</v>
      </c>
      <c r="F537">
        <v>29</v>
      </c>
      <c r="G537" t="s">
        <v>1772</v>
      </c>
      <c r="H537">
        <v>1</v>
      </c>
      <c r="I537">
        <v>31.58</v>
      </c>
      <c r="J537" s="2">
        <v>15.84</v>
      </c>
      <c r="K537" t="s">
        <v>19</v>
      </c>
      <c r="L537" s="3">
        <v>45104</v>
      </c>
      <c r="M537" t="s">
        <v>48</v>
      </c>
      <c r="N537">
        <v>29</v>
      </c>
    </row>
    <row r="538" spans="1:14" x14ac:dyDescent="0.25">
      <c r="A538" t="s">
        <v>1773</v>
      </c>
      <c r="B538" t="s">
        <v>394</v>
      </c>
      <c r="C538" t="s">
        <v>1774</v>
      </c>
      <c r="D538" t="s">
        <v>51</v>
      </c>
      <c r="E538" t="s">
        <v>31</v>
      </c>
      <c r="F538">
        <v>19</v>
      </c>
      <c r="G538" t="s">
        <v>1775</v>
      </c>
      <c r="H538">
        <v>1</v>
      </c>
      <c r="I538">
        <v>65.400000000000006</v>
      </c>
      <c r="J538">
        <v>28.36</v>
      </c>
      <c r="K538" t="s">
        <v>19</v>
      </c>
      <c r="L538" s="3">
        <v>45613</v>
      </c>
      <c r="M538" t="s">
        <v>34</v>
      </c>
      <c r="N538">
        <v>19</v>
      </c>
    </row>
    <row r="539" spans="1:14" x14ac:dyDescent="0.25">
      <c r="A539" t="s">
        <v>1776</v>
      </c>
      <c r="B539" t="s">
        <v>1777</v>
      </c>
      <c r="C539" t="s">
        <v>1778</v>
      </c>
      <c r="D539" t="s">
        <v>51</v>
      </c>
      <c r="E539" t="s">
        <v>31</v>
      </c>
      <c r="F539">
        <v>41</v>
      </c>
      <c r="G539" t="s">
        <v>1779</v>
      </c>
      <c r="H539">
        <v>2</v>
      </c>
      <c r="I539" t="s">
        <v>1780</v>
      </c>
      <c r="J539">
        <v>22.43</v>
      </c>
      <c r="K539" t="s">
        <v>41</v>
      </c>
      <c r="L539" s="3">
        <v>45611</v>
      </c>
      <c r="M539" t="s">
        <v>34</v>
      </c>
      <c r="N539">
        <v>41</v>
      </c>
    </row>
    <row r="540" spans="1:14" x14ac:dyDescent="0.25">
      <c r="A540" t="s">
        <v>1781</v>
      </c>
      <c r="B540" t="s">
        <v>487</v>
      </c>
      <c r="C540" s="3">
        <v>45268</v>
      </c>
      <c r="D540" t="s">
        <v>51</v>
      </c>
      <c r="E540" t="s">
        <v>60</v>
      </c>
      <c r="F540">
        <v>57</v>
      </c>
      <c r="G540" t="s">
        <v>1782</v>
      </c>
      <c r="H540">
        <v>2</v>
      </c>
      <c r="I540">
        <v>28.92</v>
      </c>
      <c r="J540" t="s">
        <v>1783</v>
      </c>
      <c r="K540" t="s">
        <v>19</v>
      </c>
      <c r="L540" s="3">
        <v>45268</v>
      </c>
      <c r="M540" t="s">
        <v>48</v>
      </c>
      <c r="N540">
        <v>57</v>
      </c>
    </row>
    <row r="541" spans="1:14" x14ac:dyDescent="0.25">
      <c r="A541" t="s">
        <v>1784</v>
      </c>
      <c r="B541" t="s">
        <v>453</v>
      </c>
      <c r="C541" t="s">
        <v>1785</v>
      </c>
      <c r="D541" t="s">
        <v>51</v>
      </c>
      <c r="E541" t="s">
        <v>38</v>
      </c>
      <c r="F541">
        <v>29</v>
      </c>
      <c r="G541" t="s">
        <v>1786</v>
      </c>
      <c r="H541">
        <v>1</v>
      </c>
      <c r="I541">
        <v>31.88</v>
      </c>
      <c r="J541" s="2">
        <v>16.5</v>
      </c>
      <c r="K541" t="s">
        <v>41</v>
      </c>
      <c r="L541" s="3">
        <v>45290</v>
      </c>
      <c r="M541" t="s">
        <v>34</v>
      </c>
      <c r="N541">
        <v>29</v>
      </c>
    </row>
    <row r="542" spans="1:14" x14ac:dyDescent="0.25">
      <c r="A542" t="s">
        <v>1787</v>
      </c>
      <c r="B542" t="s">
        <v>1788</v>
      </c>
      <c r="C542" t="s">
        <v>1789</v>
      </c>
      <c r="D542" t="s">
        <v>30</v>
      </c>
      <c r="E542" t="s">
        <v>60</v>
      </c>
      <c r="F542">
        <v>70</v>
      </c>
      <c r="G542" t="s">
        <v>1790</v>
      </c>
      <c r="H542">
        <v>4</v>
      </c>
      <c r="I542" t="s">
        <v>1791</v>
      </c>
      <c r="J542">
        <v>31.05</v>
      </c>
      <c r="K542" t="s">
        <v>19</v>
      </c>
      <c r="L542" s="3">
        <v>45048</v>
      </c>
      <c r="M542" t="s">
        <v>48</v>
      </c>
      <c r="N542">
        <v>70</v>
      </c>
    </row>
    <row r="543" spans="1:14" x14ac:dyDescent="0.25">
      <c r="A543" t="s">
        <v>1792</v>
      </c>
      <c r="B543" t="s">
        <v>466</v>
      </c>
      <c r="C543" t="s">
        <v>1793</v>
      </c>
      <c r="D543" t="s">
        <v>30</v>
      </c>
      <c r="E543" t="s">
        <v>60</v>
      </c>
      <c r="F543">
        <v>54</v>
      </c>
      <c r="G543" t="s">
        <v>1794</v>
      </c>
      <c r="H543">
        <v>1</v>
      </c>
      <c r="I543">
        <v>22.66</v>
      </c>
      <c r="J543">
        <v>6.6</v>
      </c>
      <c r="K543" t="s">
        <v>19</v>
      </c>
      <c r="L543" s="3">
        <v>44991</v>
      </c>
      <c r="M543" t="s">
        <v>48</v>
      </c>
      <c r="N543">
        <v>54</v>
      </c>
    </row>
    <row r="544" spans="1:14" x14ac:dyDescent="0.25">
      <c r="A544" t="s">
        <v>1795</v>
      </c>
      <c r="B544" t="s">
        <v>1121</v>
      </c>
      <c r="C544" t="s">
        <v>1796</v>
      </c>
      <c r="D544" t="s">
        <v>30</v>
      </c>
      <c r="E544" t="s">
        <v>31</v>
      </c>
      <c r="F544">
        <v>28</v>
      </c>
      <c r="G544" t="s">
        <v>1797</v>
      </c>
      <c r="H544">
        <v>3</v>
      </c>
      <c r="I544" t="s">
        <v>1798</v>
      </c>
      <c r="J544">
        <v>16.829999999999998</v>
      </c>
      <c r="K544" t="s">
        <v>41</v>
      </c>
      <c r="L544" s="3">
        <v>45127</v>
      </c>
      <c r="M544" t="s">
        <v>34</v>
      </c>
      <c r="N544">
        <v>28</v>
      </c>
    </row>
    <row r="545" spans="1:14" x14ac:dyDescent="0.25">
      <c r="A545" t="s">
        <v>1799</v>
      </c>
      <c r="B545" t="s">
        <v>558</v>
      </c>
      <c r="C545" s="1">
        <v>44991</v>
      </c>
      <c r="D545" t="s">
        <v>129</v>
      </c>
      <c r="E545" t="s">
        <v>132</v>
      </c>
      <c r="F545">
        <v>65</v>
      </c>
      <c r="G545" t="s">
        <v>1482</v>
      </c>
      <c r="H545">
        <v>1</v>
      </c>
      <c r="I545" t="s">
        <v>1800</v>
      </c>
      <c r="J545">
        <v>6.2</v>
      </c>
      <c r="K545" t="s">
        <v>19</v>
      </c>
      <c r="L545" s="3">
        <v>44991</v>
      </c>
      <c r="M545" t="s">
        <v>132</v>
      </c>
      <c r="N545">
        <v>65</v>
      </c>
    </row>
    <row r="546" spans="1:14" x14ac:dyDescent="0.25">
      <c r="A546" t="s">
        <v>1801</v>
      </c>
      <c r="B546" t="s">
        <v>1199</v>
      </c>
      <c r="C546" s="3">
        <v>45220</v>
      </c>
      <c r="D546" t="s">
        <v>16</v>
      </c>
      <c r="E546" t="s">
        <v>34</v>
      </c>
      <c r="F546">
        <v>34</v>
      </c>
      <c r="G546" t="s">
        <v>1260</v>
      </c>
      <c r="H546">
        <v>1</v>
      </c>
      <c r="I546" t="s">
        <v>1802</v>
      </c>
      <c r="J546">
        <v>2.82</v>
      </c>
      <c r="K546" t="s">
        <v>41</v>
      </c>
      <c r="L546" s="3">
        <v>45220</v>
      </c>
      <c r="M546" t="s">
        <v>34</v>
      </c>
      <c r="N546">
        <v>34</v>
      </c>
    </row>
    <row r="547" spans="1:14" x14ac:dyDescent="0.25">
      <c r="A547" t="s">
        <v>1803</v>
      </c>
      <c r="B547" t="s">
        <v>1804</v>
      </c>
      <c r="C547" t="s">
        <v>1805</v>
      </c>
      <c r="D547" t="s">
        <v>24</v>
      </c>
      <c r="E547" t="s">
        <v>45</v>
      </c>
      <c r="F547">
        <v>72</v>
      </c>
      <c r="G547" t="s">
        <v>299</v>
      </c>
      <c r="H547">
        <v>1</v>
      </c>
      <c r="I547">
        <v>9.3699999999999992</v>
      </c>
      <c r="J547">
        <v>2.5499999999999998</v>
      </c>
      <c r="K547" t="s">
        <v>19</v>
      </c>
      <c r="L547" s="3">
        <v>45041</v>
      </c>
      <c r="M547" t="s">
        <v>48</v>
      </c>
      <c r="N547">
        <v>72</v>
      </c>
    </row>
    <row r="548" spans="1:14" x14ac:dyDescent="0.25">
      <c r="A548" t="s">
        <v>1806</v>
      </c>
      <c r="B548" t="s">
        <v>118</v>
      </c>
      <c r="C548" s="3">
        <v>45390</v>
      </c>
      <c r="D548" t="s">
        <v>16</v>
      </c>
      <c r="F548">
        <v>60</v>
      </c>
      <c r="G548" t="s">
        <v>1807</v>
      </c>
      <c r="H548">
        <v>2</v>
      </c>
      <c r="I548">
        <v>48.05</v>
      </c>
      <c r="J548">
        <v>11.93</v>
      </c>
      <c r="K548" t="s">
        <v>41</v>
      </c>
      <c r="L548" s="3">
        <v>45390</v>
      </c>
      <c r="M548" t="s">
        <v>20</v>
      </c>
      <c r="N548">
        <v>60</v>
      </c>
    </row>
    <row r="549" spans="1:14" x14ac:dyDescent="0.25">
      <c r="A549" t="s">
        <v>1808</v>
      </c>
      <c r="B549" t="s">
        <v>102</v>
      </c>
      <c r="C549" s="1">
        <v>45579</v>
      </c>
      <c r="D549" t="s">
        <v>24</v>
      </c>
      <c r="E549" t="s">
        <v>25</v>
      </c>
      <c r="F549" t="s">
        <v>25</v>
      </c>
      <c r="G549" t="s">
        <v>574</v>
      </c>
      <c r="H549">
        <v>1</v>
      </c>
      <c r="I549" s="2">
        <v>10.77</v>
      </c>
      <c r="J549">
        <v>5.38</v>
      </c>
      <c r="K549" t="s">
        <v>41</v>
      </c>
      <c r="L549" s="3">
        <v>45579</v>
      </c>
      <c r="M549" t="s">
        <v>20</v>
      </c>
    </row>
    <row r="550" spans="1:14" x14ac:dyDescent="0.25">
      <c r="A550" t="s">
        <v>362</v>
      </c>
      <c r="B550" t="s">
        <v>1269</v>
      </c>
      <c r="C550" t="s">
        <v>364</v>
      </c>
      <c r="D550" t="s">
        <v>24</v>
      </c>
      <c r="E550" t="s">
        <v>65</v>
      </c>
      <c r="F550">
        <v>49</v>
      </c>
      <c r="G550" t="s">
        <v>1809</v>
      </c>
      <c r="H550">
        <v>2</v>
      </c>
      <c r="I550">
        <v>26.81</v>
      </c>
      <c r="J550">
        <v>13.33</v>
      </c>
      <c r="K550" t="s">
        <v>19</v>
      </c>
      <c r="L550" s="3">
        <v>45463</v>
      </c>
      <c r="M550" t="s">
        <v>48</v>
      </c>
      <c r="N550">
        <v>49</v>
      </c>
    </row>
    <row r="551" spans="1:14" x14ac:dyDescent="0.25">
      <c r="A551" t="s">
        <v>1810</v>
      </c>
      <c r="B551" t="s">
        <v>1811</v>
      </c>
      <c r="C551" s="3">
        <v>45363</v>
      </c>
      <c r="D551" t="s">
        <v>16</v>
      </c>
      <c r="E551" t="s">
        <v>34</v>
      </c>
      <c r="F551">
        <v>20</v>
      </c>
      <c r="G551" t="s">
        <v>1812</v>
      </c>
      <c r="H551">
        <v>1</v>
      </c>
      <c r="I551">
        <v>9.58</v>
      </c>
      <c r="K551" t="s">
        <v>19</v>
      </c>
      <c r="L551" s="3">
        <v>45363</v>
      </c>
      <c r="M551" t="s">
        <v>34</v>
      </c>
      <c r="N551">
        <v>20</v>
      </c>
    </row>
    <row r="552" spans="1:14" x14ac:dyDescent="0.25">
      <c r="A552" t="s">
        <v>1813</v>
      </c>
      <c r="B552" t="s">
        <v>430</v>
      </c>
      <c r="C552" t="s">
        <v>1814</v>
      </c>
      <c r="D552" t="s">
        <v>16</v>
      </c>
      <c r="E552" t="s">
        <v>85</v>
      </c>
      <c r="F552">
        <v>28</v>
      </c>
      <c r="G552" t="s">
        <v>630</v>
      </c>
      <c r="H552">
        <v>2</v>
      </c>
      <c r="I552">
        <v>43.41</v>
      </c>
      <c r="J552">
        <v>22.31</v>
      </c>
      <c r="K552" t="s">
        <v>41</v>
      </c>
      <c r="L552" s="3">
        <v>45280</v>
      </c>
      <c r="M552" t="s">
        <v>34</v>
      </c>
      <c r="N552">
        <v>28</v>
      </c>
    </row>
    <row r="553" spans="1:14" x14ac:dyDescent="0.25">
      <c r="A553" t="s">
        <v>1815</v>
      </c>
      <c r="B553" t="s">
        <v>50</v>
      </c>
      <c r="C553" t="s">
        <v>1816</v>
      </c>
      <c r="D553" t="s">
        <v>129</v>
      </c>
      <c r="E553" t="s">
        <v>48</v>
      </c>
      <c r="F553">
        <v>46</v>
      </c>
      <c r="G553" t="s">
        <v>1151</v>
      </c>
      <c r="H553">
        <v>1</v>
      </c>
      <c r="I553" t="s">
        <v>1817</v>
      </c>
      <c r="J553">
        <v>1.9</v>
      </c>
      <c r="K553" t="s">
        <v>41</v>
      </c>
      <c r="L553" s="3">
        <v>45512</v>
      </c>
      <c r="M553" t="s">
        <v>48</v>
      </c>
      <c r="N553">
        <v>46</v>
      </c>
    </row>
    <row r="554" spans="1:14" x14ac:dyDescent="0.25">
      <c r="A554" t="s">
        <v>1818</v>
      </c>
      <c r="B554" t="s">
        <v>816</v>
      </c>
      <c r="C554" s="1">
        <v>45316</v>
      </c>
      <c r="D554" t="s">
        <v>24</v>
      </c>
      <c r="E554" t="s">
        <v>65</v>
      </c>
      <c r="F554">
        <v>69</v>
      </c>
      <c r="G554" t="s">
        <v>1819</v>
      </c>
      <c r="H554">
        <v>2</v>
      </c>
      <c r="I554" t="s">
        <v>1820</v>
      </c>
      <c r="J554">
        <v>28.94</v>
      </c>
      <c r="K554" t="s">
        <v>41</v>
      </c>
      <c r="L554" s="3">
        <v>45316</v>
      </c>
      <c r="M554" t="s">
        <v>48</v>
      </c>
      <c r="N554">
        <v>69</v>
      </c>
    </row>
    <row r="555" spans="1:14" x14ac:dyDescent="0.25">
      <c r="A555" t="s">
        <v>1821</v>
      </c>
      <c r="B555" t="s">
        <v>1703</v>
      </c>
      <c r="C555" s="1">
        <v>45587</v>
      </c>
      <c r="D555" t="s">
        <v>24</v>
      </c>
      <c r="E555" t="s">
        <v>65</v>
      </c>
      <c r="F555">
        <v>19</v>
      </c>
      <c r="G555" t="s">
        <v>1822</v>
      </c>
      <c r="H555">
        <v>2</v>
      </c>
      <c r="I555">
        <v>31.71</v>
      </c>
      <c r="J555" t="s">
        <v>1823</v>
      </c>
      <c r="K555" t="s">
        <v>19</v>
      </c>
      <c r="L555" s="3">
        <v>45587</v>
      </c>
      <c r="M555" t="s">
        <v>48</v>
      </c>
      <c r="N555">
        <v>19</v>
      </c>
    </row>
    <row r="556" spans="1:14" x14ac:dyDescent="0.25">
      <c r="A556" t="s">
        <v>1824</v>
      </c>
      <c r="B556" t="s">
        <v>422</v>
      </c>
      <c r="C556" t="s">
        <v>1825</v>
      </c>
      <c r="D556" t="s">
        <v>24</v>
      </c>
      <c r="F556">
        <v>50</v>
      </c>
      <c r="G556" t="s">
        <v>1826</v>
      </c>
      <c r="H556">
        <v>2</v>
      </c>
      <c r="I556">
        <v>11.55</v>
      </c>
      <c r="J556">
        <v>2.85</v>
      </c>
      <c r="K556" t="s">
        <v>19</v>
      </c>
      <c r="L556" s="3">
        <v>45391</v>
      </c>
      <c r="M556" t="s">
        <v>20</v>
      </c>
      <c r="N556">
        <v>50</v>
      </c>
    </row>
    <row r="557" spans="1:14" x14ac:dyDescent="0.25">
      <c r="A557" t="s">
        <v>1827</v>
      </c>
      <c r="B557" t="s">
        <v>1288</v>
      </c>
      <c r="C557" t="s">
        <v>1828</v>
      </c>
      <c r="D557" t="s">
        <v>51</v>
      </c>
      <c r="F557">
        <v>24</v>
      </c>
      <c r="G557" t="s">
        <v>1689</v>
      </c>
      <c r="H557">
        <v>3</v>
      </c>
      <c r="I557">
        <v>107.58</v>
      </c>
      <c r="J557">
        <v>35.39</v>
      </c>
      <c r="K557" t="s">
        <v>41</v>
      </c>
      <c r="L557" s="3">
        <v>45593</v>
      </c>
      <c r="M557" t="s">
        <v>20</v>
      </c>
      <c r="N557">
        <v>24</v>
      </c>
    </row>
    <row r="558" spans="1:14" x14ac:dyDescent="0.25">
      <c r="A558" t="s">
        <v>1829</v>
      </c>
      <c r="B558" t="s">
        <v>679</v>
      </c>
      <c r="C558" s="1">
        <v>45020</v>
      </c>
      <c r="D558" t="s">
        <v>30</v>
      </c>
      <c r="E558" t="s">
        <v>38</v>
      </c>
      <c r="F558">
        <v>46</v>
      </c>
      <c r="G558" t="s">
        <v>872</v>
      </c>
      <c r="H558">
        <v>6</v>
      </c>
      <c r="I558">
        <v>189.93</v>
      </c>
      <c r="J558" t="s">
        <v>1830</v>
      </c>
      <c r="K558" t="s">
        <v>41</v>
      </c>
      <c r="L558" s="3">
        <v>45020</v>
      </c>
      <c r="M558" t="s">
        <v>34</v>
      </c>
      <c r="N558">
        <v>46</v>
      </c>
    </row>
    <row r="559" spans="1:14" x14ac:dyDescent="0.25">
      <c r="A559" t="s">
        <v>1831</v>
      </c>
      <c r="B559" t="s">
        <v>668</v>
      </c>
      <c r="C559" s="1">
        <v>45538</v>
      </c>
      <c r="D559" t="s">
        <v>51</v>
      </c>
      <c r="E559" t="s">
        <v>85</v>
      </c>
      <c r="F559">
        <v>71</v>
      </c>
      <c r="G559" t="s">
        <v>962</v>
      </c>
      <c r="H559">
        <v>1</v>
      </c>
      <c r="I559">
        <v>37.08</v>
      </c>
      <c r="J559">
        <v>18.91</v>
      </c>
      <c r="K559" t="s">
        <v>19</v>
      </c>
      <c r="L559" s="3">
        <v>45538</v>
      </c>
      <c r="M559" t="s">
        <v>34</v>
      </c>
      <c r="N559">
        <v>71</v>
      </c>
    </row>
    <row r="560" spans="1:14" x14ac:dyDescent="0.25">
      <c r="A560" t="s">
        <v>1832</v>
      </c>
      <c r="B560" t="s">
        <v>1833</v>
      </c>
      <c r="C560" t="s">
        <v>1834</v>
      </c>
      <c r="D560" t="s">
        <v>24</v>
      </c>
      <c r="E560" t="s">
        <v>34</v>
      </c>
      <c r="F560">
        <v>75</v>
      </c>
      <c r="G560" t="s">
        <v>1835</v>
      </c>
      <c r="H560">
        <v>1</v>
      </c>
      <c r="I560" t="s">
        <v>1836</v>
      </c>
      <c r="J560">
        <v>18.96</v>
      </c>
      <c r="K560" t="s">
        <v>41</v>
      </c>
      <c r="L560" s="3">
        <v>45272</v>
      </c>
      <c r="M560" t="s">
        <v>34</v>
      </c>
      <c r="N560">
        <v>75</v>
      </c>
    </row>
    <row r="561" spans="1:14" x14ac:dyDescent="0.25">
      <c r="A561" t="s">
        <v>1837</v>
      </c>
      <c r="B561" t="s">
        <v>1838</v>
      </c>
      <c r="C561" t="s">
        <v>1839</v>
      </c>
      <c r="D561" t="s">
        <v>30</v>
      </c>
      <c r="F561">
        <v>33</v>
      </c>
      <c r="G561" t="s">
        <v>1840</v>
      </c>
      <c r="H561">
        <v>1</v>
      </c>
      <c r="I561">
        <v>20.41</v>
      </c>
      <c r="J561">
        <v>9.6199999999999992</v>
      </c>
      <c r="K561" t="s">
        <v>41</v>
      </c>
      <c r="L561" s="3">
        <v>45365</v>
      </c>
      <c r="M561" t="s">
        <v>20</v>
      </c>
      <c r="N561">
        <v>33</v>
      </c>
    </row>
    <row r="562" spans="1:14" x14ac:dyDescent="0.25">
      <c r="A562" t="s">
        <v>1841</v>
      </c>
      <c r="B562" t="s">
        <v>725</v>
      </c>
      <c r="C562" t="s">
        <v>1842</v>
      </c>
      <c r="D562" t="s">
        <v>51</v>
      </c>
      <c r="E562" t="s">
        <v>25</v>
      </c>
      <c r="F562">
        <v>39</v>
      </c>
      <c r="G562" t="s">
        <v>1843</v>
      </c>
      <c r="H562">
        <v>2</v>
      </c>
      <c r="I562" t="s">
        <v>1844</v>
      </c>
      <c r="J562">
        <v>24.09</v>
      </c>
      <c r="K562" t="s">
        <v>41</v>
      </c>
      <c r="L562" s="3">
        <v>45548</v>
      </c>
      <c r="M562" t="s">
        <v>20</v>
      </c>
      <c r="N562">
        <v>39</v>
      </c>
    </row>
    <row r="563" spans="1:14" x14ac:dyDescent="0.25">
      <c r="A563" t="s">
        <v>1845</v>
      </c>
      <c r="B563" t="s">
        <v>1846</v>
      </c>
      <c r="C563" t="s">
        <v>1847</v>
      </c>
      <c r="D563" t="s">
        <v>51</v>
      </c>
      <c r="E563" t="s">
        <v>1356</v>
      </c>
      <c r="F563">
        <v>66</v>
      </c>
      <c r="G563" t="s">
        <v>1848</v>
      </c>
      <c r="H563">
        <v>1</v>
      </c>
      <c r="I563">
        <v>52.85</v>
      </c>
      <c r="J563">
        <v>23.84</v>
      </c>
      <c r="K563" t="s">
        <v>41</v>
      </c>
      <c r="L563" s="3">
        <v>45001</v>
      </c>
      <c r="M563" t="s">
        <v>34</v>
      </c>
      <c r="N563">
        <v>66</v>
      </c>
    </row>
    <row r="564" spans="1:14" x14ac:dyDescent="0.25">
      <c r="A564" t="s">
        <v>1849</v>
      </c>
      <c r="B564" t="s">
        <v>1850</v>
      </c>
      <c r="C564" s="1">
        <v>45072</v>
      </c>
      <c r="D564" t="s">
        <v>51</v>
      </c>
      <c r="E564" t="s">
        <v>34</v>
      </c>
      <c r="F564">
        <v>52</v>
      </c>
      <c r="G564" t="s">
        <v>1851</v>
      </c>
      <c r="H564">
        <v>1</v>
      </c>
      <c r="I564">
        <v>36.01</v>
      </c>
      <c r="J564">
        <v>12.01</v>
      </c>
      <c r="K564" t="s">
        <v>41</v>
      </c>
      <c r="L564" s="3">
        <v>45072</v>
      </c>
      <c r="M564" t="s">
        <v>34</v>
      </c>
      <c r="N564">
        <v>52</v>
      </c>
    </row>
    <row r="565" spans="1:14" x14ac:dyDescent="0.25">
      <c r="A565" t="s">
        <v>1852</v>
      </c>
      <c r="B565" t="s">
        <v>1296</v>
      </c>
      <c r="C565" s="3">
        <v>45191</v>
      </c>
      <c r="D565" t="s">
        <v>24</v>
      </c>
      <c r="E565" t="s">
        <v>70</v>
      </c>
      <c r="F565">
        <v>38</v>
      </c>
      <c r="G565" t="s">
        <v>1853</v>
      </c>
      <c r="H565">
        <v>3</v>
      </c>
      <c r="I565">
        <v>50.61</v>
      </c>
      <c r="J565">
        <v>23.69</v>
      </c>
      <c r="K565" t="s">
        <v>19</v>
      </c>
      <c r="L565" s="3">
        <v>45191</v>
      </c>
      <c r="M565" t="s">
        <v>20</v>
      </c>
      <c r="N565">
        <v>38</v>
      </c>
    </row>
    <row r="566" spans="1:14" x14ac:dyDescent="0.25">
      <c r="A566" t="s">
        <v>1854</v>
      </c>
      <c r="B566" t="s">
        <v>261</v>
      </c>
      <c r="C566" s="1">
        <v>45254</v>
      </c>
      <c r="D566" t="s">
        <v>24</v>
      </c>
      <c r="E566" t="s">
        <v>25</v>
      </c>
      <c r="F566">
        <v>19</v>
      </c>
      <c r="G566" t="s">
        <v>1855</v>
      </c>
      <c r="H566">
        <v>1</v>
      </c>
      <c r="I566" t="s">
        <v>1856</v>
      </c>
      <c r="J566">
        <v>15.35</v>
      </c>
      <c r="K566" t="s">
        <v>19</v>
      </c>
      <c r="L566" s="3">
        <v>45254</v>
      </c>
      <c r="M566" t="s">
        <v>20</v>
      </c>
      <c r="N566">
        <v>19</v>
      </c>
    </row>
    <row r="567" spans="1:14" x14ac:dyDescent="0.25">
      <c r="A567" t="s">
        <v>1857</v>
      </c>
      <c r="B567" t="s">
        <v>539</v>
      </c>
      <c r="C567" t="s">
        <v>1858</v>
      </c>
      <c r="D567" t="s">
        <v>30</v>
      </c>
      <c r="E567" t="s">
        <v>70</v>
      </c>
      <c r="G567" t="s">
        <v>1348</v>
      </c>
      <c r="H567">
        <v>1</v>
      </c>
      <c r="I567">
        <v>20.66</v>
      </c>
      <c r="J567">
        <v>10.48</v>
      </c>
      <c r="K567" t="s">
        <v>41</v>
      </c>
      <c r="L567" s="3">
        <v>45445</v>
      </c>
      <c r="M567" t="s">
        <v>20</v>
      </c>
    </row>
    <row r="568" spans="1:14" x14ac:dyDescent="0.25">
      <c r="A568" t="s">
        <v>1859</v>
      </c>
      <c r="B568" t="s">
        <v>776</v>
      </c>
      <c r="C568" s="3">
        <v>45396</v>
      </c>
      <c r="D568" t="s">
        <v>24</v>
      </c>
      <c r="E568" t="s">
        <v>25</v>
      </c>
      <c r="F568">
        <v>35</v>
      </c>
      <c r="G568" t="s">
        <v>1414</v>
      </c>
      <c r="H568">
        <v>1</v>
      </c>
      <c r="I568" t="s">
        <v>1860</v>
      </c>
      <c r="J568">
        <v>2.1800000000000002</v>
      </c>
      <c r="K568" t="s">
        <v>41</v>
      </c>
      <c r="L568" s="3">
        <v>45396</v>
      </c>
      <c r="M568" t="s">
        <v>20</v>
      </c>
      <c r="N568">
        <v>35</v>
      </c>
    </row>
    <row r="569" spans="1:14" x14ac:dyDescent="0.25">
      <c r="A569" t="s">
        <v>1861</v>
      </c>
      <c r="B569" t="s">
        <v>64</v>
      </c>
      <c r="C569" t="s">
        <v>1862</v>
      </c>
      <c r="D569" t="s">
        <v>16</v>
      </c>
      <c r="E569" t="s">
        <v>48</v>
      </c>
      <c r="F569">
        <v>21</v>
      </c>
      <c r="G569" t="s">
        <v>1863</v>
      </c>
      <c r="H569">
        <v>2</v>
      </c>
      <c r="I569">
        <v>54.46</v>
      </c>
      <c r="J569">
        <v>13.05</v>
      </c>
      <c r="K569" t="s">
        <v>19</v>
      </c>
      <c r="L569" s="3">
        <v>45500</v>
      </c>
      <c r="M569" t="s">
        <v>48</v>
      </c>
      <c r="N569">
        <v>21</v>
      </c>
    </row>
    <row r="570" spans="1:14" x14ac:dyDescent="0.25">
      <c r="A570" t="s">
        <v>1864</v>
      </c>
      <c r="B570" t="s">
        <v>1865</v>
      </c>
      <c r="C570" t="s">
        <v>1866</v>
      </c>
      <c r="D570" t="s">
        <v>129</v>
      </c>
      <c r="E570" t="s">
        <v>70</v>
      </c>
      <c r="F570">
        <v>52</v>
      </c>
      <c r="G570" t="s">
        <v>1867</v>
      </c>
      <c r="H570">
        <v>2</v>
      </c>
      <c r="I570">
        <v>7.45</v>
      </c>
      <c r="J570">
        <v>3.64</v>
      </c>
      <c r="K570" t="s">
        <v>19</v>
      </c>
      <c r="L570" s="3">
        <v>44939</v>
      </c>
      <c r="M570" t="s">
        <v>20</v>
      </c>
      <c r="N570">
        <v>52</v>
      </c>
    </row>
    <row r="571" spans="1:14" x14ac:dyDescent="0.25">
      <c r="A571" t="s">
        <v>1868</v>
      </c>
      <c r="B571" t="s">
        <v>1869</v>
      </c>
      <c r="C571" t="s">
        <v>1870</v>
      </c>
      <c r="D571" t="s">
        <v>30</v>
      </c>
      <c r="E571" t="s">
        <v>85</v>
      </c>
      <c r="F571">
        <v>60</v>
      </c>
      <c r="G571" t="s">
        <v>1871</v>
      </c>
      <c r="H571">
        <v>2</v>
      </c>
      <c r="I571">
        <v>36.979999999999997</v>
      </c>
      <c r="J571">
        <v>11.05</v>
      </c>
      <c r="K571" t="s">
        <v>41</v>
      </c>
      <c r="L571" s="3">
        <v>45513</v>
      </c>
      <c r="M571" t="s">
        <v>34</v>
      </c>
      <c r="N571">
        <v>60</v>
      </c>
    </row>
    <row r="572" spans="1:14" x14ac:dyDescent="0.25">
      <c r="A572" t="s">
        <v>1872</v>
      </c>
      <c r="B572" t="s">
        <v>1873</v>
      </c>
      <c r="C572" s="3">
        <v>45327</v>
      </c>
      <c r="D572" t="s">
        <v>30</v>
      </c>
      <c r="E572" t="s">
        <v>45</v>
      </c>
      <c r="F572">
        <v>33</v>
      </c>
      <c r="G572" t="s">
        <v>1874</v>
      </c>
      <c r="H572">
        <v>-1</v>
      </c>
      <c r="I572" t="s">
        <v>25</v>
      </c>
      <c r="J572">
        <v>-3.06</v>
      </c>
      <c r="K572" t="s">
        <v>19</v>
      </c>
      <c r="L572" s="3">
        <v>45327</v>
      </c>
      <c r="M572" t="s">
        <v>48</v>
      </c>
      <c r="N572">
        <v>33</v>
      </c>
    </row>
    <row r="573" spans="1:14" x14ac:dyDescent="0.25">
      <c r="A573" t="s">
        <v>437</v>
      </c>
      <c r="B573" t="s">
        <v>438</v>
      </c>
      <c r="C573" s="1">
        <v>45386</v>
      </c>
      <c r="D573" t="s">
        <v>30</v>
      </c>
      <c r="E573" t="s">
        <v>31</v>
      </c>
      <c r="F573">
        <v>74</v>
      </c>
      <c r="G573" t="s">
        <v>439</v>
      </c>
      <c r="H573">
        <v>3</v>
      </c>
      <c r="I573">
        <v>24.02</v>
      </c>
      <c r="J573">
        <v>11.88</v>
      </c>
      <c r="K573" t="s">
        <v>41</v>
      </c>
      <c r="L573" s="3">
        <v>45386</v>
      </c>
      <c r="M573" t="s">
        <v>34</v>
      </c>
      <c r="N573">
        <v>74</v>
      </c>
    </row>
    <row r="574" spans="1:14" x14ac:dyDescent="0.25">
      <c r="A574" t="s">
        <v>1875</v>
      </c>
      <c r="B574" t="s">
        <v>1876</v>
      </c>
      <c r="C574" t="s">
        <v>1877</v>
      </c>
      <c r="D574" t="s">
        <v>16</v>
      </c>
      <c r="E574" t="s">
        <v>65</v>
      </c>
      <c r="F574" t="s">
        <v>25</v>
      </c>
      <c r="G574" t="s">
        <v>1878</v>
      </c>
      <c r="H574">
        <v>1</v>
      </c>
      <c r="I574">
        <v>27.2</v>
      </c>
      <c r="J574" s="2">
        <v>9.31</v>
      </c>
      <c r="K574" t="s">
        <v>41</v>
      </c>
      <c r="L574" s="3">
        <v>45439</v>
      </c>
      <c r="M574" t="s">
        <v>48</v>
      </c>
    </row>
    <row r="575" spans="1:14" x14ac:dyDescent="0.25">
      <c r="A575" t="s">
        <v>1879</v>
      </c>
      <c r="B575" t="s">
        <v>1718</v>
      </c>
      <c r="C575" s="1">
        <v>45369</v>
      </c>
      <c r="D575" t="s">
        <v>51</v>
      </c>
      <c r="E575" t="s">
        <v>60</v>
      </c>
      <c r="F575" t="s">
        <v>25</v>
      </c>
      <c r="G575" t="s">
        <v>258</v>
      </c>
      <c r="H575">
        <v>2</v>
      </c>
      <c r="I575">
        <v>37.86</v>
      </c>
      <c r="J575">
        <v>16.55</v>
      </c>
      <c r="K575" t="s">
        <v>41</v>
      </c>
      <c r="L575" s="3">
        <v>45369</v>
      </c>
      <c r="M575" t="s">
        <v>48</v>
      </c>
    </row>
    <row r="576" spans="1:14" x14ac:dyDescent="0.25">
      <c r="A576" t="s">
        <v>1880</v>
      </c>
      <c r="B576" t="s">
        <v>194</v>
      </c>
      <c r="C576" s="3">
        <v>45280</v>
      </c>
      <c r="D576" t="s">
        <v>24</v>
      </c>
      <c r="E576" t="s">
        <v>31</v>
      </c>
      <c r="F576" t="s">
        <v>173</v>
      </c>
      <c r="G576" t="s">
        <v>1881</v>
      </c>
      <c r="H576">
        <v>1</v>
      </c>
      <c r="I576">
        <v>16.93</v>
      </c>
      <c r="J576" t="s">
        <v>1882</v>
      </c>
      <c r="K576" t="s">
        <v>19</v>
      </c>
      <c r="L576" s="3">
        <v>45280</v>
      </c>
      <c r="M576" t="s">
        <v>34</v>
      </c>
      <c r="N576">
        <v>30</v>
      </c>
    </row>
    <row r="577" spans="1:14" x14ac:dyDescent="0.25">
      <c r="A577" t="s">
        <v>1883</v>
      </c>
      <c r="B577" t="s">
        <v>297</v>
      </c>
      <c r="C577" t="s">
        <v>1884</v>
      </c>
      <c r="D577" t="s">
        <v>129</v>
      </c>
      <c r="E577" t="s">
        <v>60</v>
      </c>
      <c r="F577">
        <v>31</v>
      </c>
      <c r="G577" t="s">
        <v>1885</v>
      </c>
      <c r="H577">
        <v>4</v>
      </c>
      <c r="I577">
        <v>76.349999999999994</v>
      </c>
      <c r="J577">
        <v>30.51</v>
      </c>
      <c r="K577" t="s">
        <v>41</v>
      </c>
      <c r="L577" s="3">
        <v>44950</v>
      </c>
      <c r="M577" t="s">
        <v>48</v>
      </c>
      <c r="N577">
        <v>31</v>
      </c>
    </row>
    <row r="578" spans="1:14" x14ac:dyDescent="0.25">
      <c r="A578" t="s">
        <v>1886</v>
      </c>
      <c r="B578" t="s">
        <v>194</v>
      </c>
      <c r="C578" s="3">
        <v>45530</v>
      </c>
      <c r="D578" t="s">
        <v>16</v>
      </c>
      <c r="E578" t="s">
        <v>65</v>
      </c>
      <c r="F578">
        <v>28</v>
      </c>
      <c r="G578" t="s">
        <v>119</v>
      </c>
      <c r="H578">
        <v>2</v>
      </c>
      <c r="I578">
        <v>30.2</v>
      </c>
      <c r="J578" t="s">
        <v>1887</v>
      </c>
      <c r="K578" t="s">
        <v>19</v>
      </c>
      <c r="L578" s="3">
        <v>45530</v>
      </c>
      <c r="M578" t="s">
        <v>48</v>
      </c>
      <c r="N578">
        <v>28</v>
      </c>
    </row>
    <row r="579" spans="1:14" x14ac:dyDescent="0.25">
      <c r="A579" t="s">
        <v>1888</v>
      </c>
      <c r="B579" t="s">
        <v>438</v>
      </c>
      <c r="C579" t="s">
        <v>1889</v>
      </c>
      <c r="D579" t="s">
        <v>129</v>
      </c>
      <c r="E579" t="s">
        <v>38</v>
      </c>
      <c r="F579">
        <v>70</v>
      </c>
      <c r="G579" t="s">
        <v>1298</v>
      </c>
      <c r="H579">
        <v>1</v>
      </c>
      <c r="I579">
        <v>3.43</v>
      </c>
      <c r="J579">
        <v>1.27</v>
      </c>
      <c r="K579" t="s">
        <v>19</v>
      </c>
      <c r="L579" s="3">
        <v>45116</v>
      </c>
      <c r="M579" t="s">
        <v>34</v>
      </c>
      <c r="N579">
        <v>70</v>
      </c>
    </row>
    <row r="580" spans="1:14" x14ac:dyDescent="0.25">
      <c r="A580" t="s">
        <v>1890</v>
      </c>
      <c r="B580" t="s">
        <v>1891</v>
      </c>
      <c r="C580" t="s">
        <v>1892</v>
      </c>
      <c r="D580" t="s">
        <v>30</v>
      </c>
      <c r="E580" t="s">
        <v>45</v>
      </c>
      <c r="F580">
        <v>29</v>
      </c>
      <c r="G580" t="s">
        <v>1893</v>
      </c>
      <c r="H580">
        <v>1</v>
      </c>
      <c r="I580">
        <v>28.37</v>
      </c>
      <c r="J580" t="s">
        <v>1894</v>
      </c>
      <c r="K580" t="s">
        <v>41</v>
      </c>
      <c r="L580" s="3">
        <v>45328</v>
      </c>
      <c r="M580" t="s">
        <v>48</v>
      </c>
      <c r="N580">
        <v>29</v>
      </c>
    </row>
    <row r="581" spans="1:14" x14ac:dyDescent="0.25">
      <c r="A581" t="s">
        <v>1895</v>
      </c>
      <c r="B581" t="s">
        <v>1896</v>
      </c>
      <c r="C581" s="1">
        <v>45308</v>
      </c>
      <c r="D581" t="s">
        <v>51</v>
      </c>
      <c r="E581" t="s">
        <v>31</v>
      </c>
      <c r="F581">
        <v>50</v>
      </c>
      <c r="G581" t="s">
        <v>182</v>
      </c>
      <c r="H581">
        <v>4</v>
      </c>
      <c r="I581">
        <v>64.88</v>
      </c>
      <c r="J581" t="s">
        <v>1897</v>
      </c>
      <c r="K581" t="s">
        <v>19</v>
      </c>
      <c r="L581" s="3">
        <v>45308</v>
      </c>
      <c r="M581" t="s">
        <v>34</v>
      </c>
      <c r="N581">
        <v>50</v>
      </c>
    </row>
    <row r="582" spans="1:14" x14ac:dyDescent="0.25">
      <c r="A582" t="s">
        <v>1898</v>
      </c>
      <c r="B582" t="s">
        <v>1157</v>
      </c>
      <c r="C582" s="3">
        <v>44957</v>
      </c>
      <c r="D582" t="s">
        <v>30</v>
      </c>
      <c r="E582" t="s">
        <v>31</v>
      </c>
      <c r="F582">
        <v>50</v>
      </c>
      <c r="G582" t="s">
        <v>1899</v>
      </c>
      <c r="H582">
        <v>2</v>
      </c>
      <c r="I582" t="s">
        <v>1900</v>
      </c>
      <c r="J582">
        <v>23.37</v>
      </c>
      <c r="K582" t="s">
        <v>41</v>
      </c>
      <c r="L582" s="3">
        <v>44957</v>
      </c>
      <c r="M582" t="s">
        <v>34</v>
      </c>
      <c r="N582">
        <v>50</v>
      </c>
    </row>
    <row r="583" spans="1:14" x14ac:dyDescent="0.25">
      <c r="A583" t="s">
        <v>1901</v>
      </c>
      <c r="B583" t="s">
        <v>1902</v>
      </c>
      <c r="C583" s="1">
        <v>45623</v>
      </c>
      <c r="D583" t="s">
        <v>30</v>
      </c>
      <c r="F583">
        <v>22</v>
      </c>
      <c r="G583" t="s">
        <v>1903</v>
      </c>
      <c r="H583">
        <v>1</v>
      </c>
      <c r="I583" t="s">
        <v>1904</v>
      </c>
      <c r="J583" s="2">
        <v>5.48</v>
      </c>
      <c r="K583" t="s">
        <v>19</v>
      </c>
      <c r="L583" s="3">
        <v>45623</v>
      </c>
      <c r="M583" t="s">
        <v>20</v>
      </c>
      <c r="N583">
        <v>22</v>
      </c>
    </row>
    <row r="584" spans="1:14" x14ac:dyDescent="0.25">
      <c r="A584" t="s">
        <v>1905</v>
      </c>
      <c r="B584" t="s">
        <v>414</v>
      </c>
      <c r="C584" s="3">
        <v>45261</v>
      </c>
      <c r="D584" t="s">
        <v>30</v>
      </c>
      <c r="E584" t="s">
        <v>60</v>
      </c>
      <c r="F584" t="s">
        <v>25</v>
      </c>
      <c r="G584" t="s">
        <v>1906</v>
      </c>
      <c r="H584">
        <v>2</v>
      </c>
      <c r="I584" s="2">
        <v>23.29</v>
      </c>
      <c r="J584" s="2">
        <v>6.16</v>
      </c>
      <c r="K584" t="s">
        <v>41</v>
      </c>
      <c r="L584" s="3">
        <v>45261</v>
      </c>
      <c r="M584" t="s">
        <v>48</v>
      </c>
    </row>
    <row r="585" spans="1:14" x14ac:dyDescent="0.25">
      <c r="A585" t="s">
        <v>1907</v>
      </c>
      <c r="B585" t="s">
        <v>696</v>
      </c>
      <c r="C585" t="s">
        <v>1908</v>
      </c>
      <c r="D585" t="s">
        <v>51</v>
      </c>
      <c r="E585" t="s">
        <v>60</v>
      </c>
      <c r="F585">
        <v>31</v>
      </c>
      <c r="G585" t="s">
        <v>1909</v>
      </c>
      <c r="H585">
        <v>2</v>
      </c>
      <c r="I585">
        <v>82.22</v>
      </c>
      <c r="J585" s="2">
        <v>32.07</v>
      </c>
      <c r="K585" t="s">
        <v>19</v>
      </c>
      <c r="L585" s="3">
        <v>45587</v>
      </c>
      <c r="M585" t="s">
        <v>48</v>
      </c>
      <c r="N585">
        <v>31</v>
      </c>
    </row>
    <row r="586" spans="1:14" x14ac:dyDescent="0.25">
      <c r="A586" t="s">
        <v>1910</v>
      </c>
      <c r="B586" t="s">
        <v>896</v>
      </c>
      <c r="C586" t="s">
        <v>1911</v>
      </c>
      <c r="D586" t="s">
        <v>51</v>
      </c>
      <c r="E586" t="s">
        <v>45</v>
      </c>
      <c r="F586">
        <v>22</v>
      </c>
      <c r="G586" t="s">
        <v>1912</v>
      </c>
      <c r="H586">
        <v>3</v>
      </c>
      <c r="I586">
        <v>131.96</v>
      </c>
      <c r="J586">
        <v>54.78</v>
      </c>
      <c r="K586" t="s">
        <v>41</v>
      </c>
      <c r="L586" s="3">
        <v>45559</v>
      </c>
      <c r="M586" t="s">
        <v>48</v>
      </c>
      <c r="N586">
        <v>22</v>
      </c>
    </row>
    <row r="587" spans="1:14" x14ac:dyDescent="0.25">
      <c r="A587" t="s">
        <v>1913</v>
      </c>
      <c r="B587" t="s">
        <v>546</v>
      </c>
      <c r="C587" s="1">
        <v>45657</v>
      </c>
      <c r="D587" t="s">
        <v>24</v>
      </c>
      <c r="E587" t="s">
        <v>48</v>
      </c>
      <c r="F587">
        <v>15</v>
      </c>
      <c r="G587" t="s">
        <v>1914</v>
      </c>
      <c r="H587">
        <v>1</v>
      </c>
      <c r="I587">
        <v>40.729999999999997</v>
      </c>
      <c r="J587" s="2">
        <v>25.49</v>
      </c>
      <c r="K587" t="s">
        <v>19</v>
      </c>
      <c r="L587" s="3">
        <v>45657</v>
      </c>
      <c r="M587" t="s">
        <v>48</v>
      </c>
      <c r="N587">
        <v>15</v>
      </c>
    </row>
    <row r="588" spans="1:14" x14ac:dyDescent="0.25">
      <c r="A588" t="s">
        <v>1915</v>
      </c>
      <c r="B588" t="s">
        <v>854</v>
      </c>
      <c r="C588" s="1">
        <v>45078</v>
      </c>
      <c r="D588" t="s">
        <v>16</v>
      </c>
      <c r="E588" t="s">
        <v>48</v>
      </c>
      <c r="F588">
        <v>55</v>
      </c>
      <c r="G588" t="s">
        <v>1916</v>
      </c>
      <c r="H588">
        <v>1</v>
      </c>
      <c r="I588">
        <v>17.37</v>
      </c>
      <c r="J588" s="2">
        <v>7.39</v>
      </c>
      <c r="K588" t="s">
        <v>19</v>
      </c>
      <c r="L588" s="3">
        <v>45078</v>
      </c>
      <c r="M588" t="s">
        <v>48</v>
      </c>
      <c r="N588">
        <v>55</v>
      </c>
    </row>
    <row r="589" spans="1:14" x14ac:dyDescent="0.25">
      <c r="A589" t="s">
        <v>1917</v>
      </c>
      <c r="B589" t="s">
        <v>335</v>
      </c>
      <c r="C589" t="s">
        <v>1918</v>
      </c>
      <c r="D589" t="s">
        <v>51</v>
      </c>
      <c r="E589" t="s">
        <v>48</v>
      </c>
      <c r="F589">
        <v>21</v>
      </c>
      <c r="G589" t="s">
        <v>1919</v>
      </c>
      <c r="H589">
        <v>1</v>
      </c>
      <c r="I589">
        <v>47.98</v>
      </c>
      <c r="J589" s="2">
        <v>14.52</v>
      </c>
      <c r="K589" t="s">
        <v>19</v>
      </c>
      <c r="L589" s="3">
        <v>45466</v>
      </c>
      <c r="M589" t="s">
        <v>48</v>
      </c>
      <c r="N589">
        <v>21</v>
      </c>
    </row>
    <row r="590" spans="1:14" x14ac:dyDescent="0.25">
      <c r="A590" t="s">
        <v>1920</v>
      </c>
      <c r="B590" t="s">
        <v>160</v>
      </c>
      <c r="C590" t="s">
        <v>1921</v>
      </c>
      <c r="D590" t="s">
        <v>51</v>
      </c>
      <c r="E590" t="s">
        <v>45</v>
      </c>
      <c r="F590">
        <v>68</v>
      </c>
      <c r="G590" t="s">
        <v>1922</v>
      </c>
      <c r="H590">
        <v>1</v>
      </c>
      <c r="I590" s="2">
        <v>27.43</v>
      </c>
      <c r="J590">
        <v>13.4</v>
      </c>
      <c r="K590" t="s">
        <v>19</v>
      </c>
      <c r="L590" s="3">
        <v>45276</v>
      </c>
      <c r="M590" t="s">
        <v>48</v>
      </c>
      <c r="N590">
        <v>68</v>
      </c>
    </row>
    <row r="591" spans="1:14" x14ac:dyDescent="0.25">
      <c r="A591" t="s">
        <v>1923</v>
      </c>
      <c r="B591" t="s">
        <v>1269</v>
      </c>
      <c r="C591" t="s">
        <v>1924</v>
      </c>
      <c r="D591" t="s">
        <v>129</v>
      </c>
      <c r="E591" t="s">
        <v>38</v>
      </c>
      <c r="F591">
        <v>66</v>
      </c>
      <c r="G591" t="s">
        <v>1925</v>
      </c>
      <c r="H591">
        <v>2</v>
      </c>
      <c r="I591">
        <v>12.23</v>
      </c>
      <c r="J591" t="s">
        <v>1926</v>
      </c>
      <c r="K591" t="s">
        <v>41</v>
      </c>
      <c r="L591" s="3">
        <v>45375</v>
      </c>
      <c r="M591" t="s">
        <v>34</v>
      </c>
      <c r="N591">
        <v>66</v>
      </c>
    </row>
    <row r="592" spans="1:14" x14ac:dyDescent="0.25">
      <c r="A592" t="s">
        <v>1927</v>
      </c>
      <c r="B592" t="s">
        <v>1928</v>
      </c>
      <c r="C592" t="s">
        <v>1929</v>
      </c>
      <c r="D592" t="s">
        <v>16</v>
      </c>
      <c r="E592" t="s">
        <v>34</v>
      </c>
      <c r="F592">
        <v>30</v>
      </c>
      <c r="G592" t="s">
        <v>320</v>
      </c>
      <c r="H592">
        <v>-2</v>
      </c>
      <c r="I592">
        <v>-21.02</v>
      </c>
      <c r="J592">
        <v>-5.95</v>
      </c>
      <c r="K592" t="s">
        <v>41</v>
      </c>
      <c r="L592" s="3">
        <v>44959</v>
      </c>
      <c r="M592" t="s">
        <v>34</v>
      </c>
      <c r="N592">
        <v>30</v>
      </c>
    </row>
    <row r="593" spans="1:14" x14ac:dyDescent="0.25">
      <c r="A593" t="s">
        <v>1930</v>
      </c>
      <c r="B593" t="s">
        <v>1931</v>
      </c>
      <c r="C593" s="1">
        <v>45097</v>
      </c>
      <c r="D593" t="s">
        <v>51</v>
      </c>
      <c r="E593" t="s">
        <v>25</v>
      </c>
      <c r="F593">
        <v>24</v>
      </c>
      <c r="G593" t="s">
        <v>1932</v>
      </c>
      <c r="H593">
        <v>2</v>
      </c>
      <c r="I593">
        <v>78.88</v>
      </c>
      <c r="J593" t="s">
        <v>1933</v>
      </c>
      <c r="K593" t="s">
        <v>41</v>
      </c>
      <c r="L593" s="3">
        <v>45097</v>
      </c>
      <c r="M593" t="s">
        <v>20</v>
      </c>
      <c r="N593">
        <v>24</v>
      </c>
    </row>
    <row r="594" spans="1:14" x14ac:dyDescent="0.25">
      <c r="A594" t="s">
        <v>1934</v>
      </c>
      <c r="B594" t="s">
        <v>803</v>
      </c>
      <c r="C594" t="s">
        <v>1935</v>
      </c>
      <c r="D594" t="s">
        <v>129</v>
      </c>
      <c r="E594" t="s">
        <v>65</v>
      </c>
      <c r="F594">
        <v>73</v>
      </c>
      <c r="G594" t="s">
        <v>1936</v>
      </c>
      <c r="H594">
        <v>1</v>
      </c>
      <c r="I594">
        <v>13.04</v>
      </c>
      <c r="J594" t="s">
        <v>1937</v>
      </c>
      <c r="K594" t="s">
        <v>41</v>
      </c>
      <c r="L594" s="3">
        <v>45501</v>
      </c>
      <c r="M594" t="s">
        <v>48</v>
      </c>
      <c r="N594">
        <v>73</v>
      </c>
    </row>
    <row r="595" spans="1:14" x14ac:dyDescent="0.25">
      <c r="A595" t="s">
        <v>1938</v>
      </c>
      <c r="B595" t="s">
        <v>1137</v>
      </c>
      <c r="C595" t="s">
        <v>1939</v>
      </c>
      <c r="D595" t="s">
        <v>30</v>
      </c>
      <c r="E595" t="s">
        <v>132</v>
      </c>
      <c r="F595">
        <v>25</v>
      </c>
      <c r="G595" t="s">
        <v>1940</v>
      </c>
      <c r="H595">
        <v>1</v>
      </c>
      <c r="I595">
        <v>12.27</v>
      </c>
      <c r="J595" s="2">
        <v>6.04</v>
      </c>
      <c r="K595" t="s">
        <v>41</v>
      </c>
      <c r="L595" s="3">
        <v>45497</v>
      </c>
      <c r="M595" t="s">
        <v>132</v>
      </c>
      <c r="N595">
        <v>25</v>
      </c>
    </row>
    <row r="596" spans="1:14" x14ac:dyDescent="0.25">
      <c r="A596" t="s">
        <v>1941</v>
      </c>
      <c r="B596" t="s">
        <v>276</v>
      </c>
      <c r="C596" t="s">
        <v>319</v>
      </c>
      <c r="D596" t="s">
        <v>129</v>
      </c>
      <c r="E596" t="s">
        <v>60</v>
      </c>
      <c r="F596">
        <v>17</v>
      </c>
      <c r="G596" t="s">
        <v>1942</v>
      </c>
      <c r="H596">
        <v>1</v>
      </c>
      <c r="I596" t="s">
        <v>1943</v>
      </c>
      <c r="J596" t="s">
        <v>1944</v>
      </c>
      <c r="K596" t="s">
        <v>19</v>
      </c>
      <c r="L596" s="3">
        <v>45066</v>
      </c>
      <c r="M596" t="s">
        <v>48</v>
      </c>
      <c r="N596">
        <v>17</v>
      </c>
    </row>
    <row r="597" spans="1:14" x14ac:dyDescent="0.25">
      <c r="A597" t="s">
        <v>1945</v>
      </c>
      <c r="B597" t="s">
        <v>1344</v>
      </c>
      <c r="C597" s="3">
        <v>45410</v>
      </c>
      <c r="D597" t="s">
        <v>30</v>
      </c>
      <c r="E597" t="s">
        <v>60</v>
      </c>
      <c r="F597">
        <v>46</v>
      </c>
      <c r="G597" t="s">
        <v>1946</v>
      </c>
      <c r="H597">
        <v>3</v>
      </c>
      <c r="I597">
        <v>66.180000000000007</v>
      </c>
      <c r="J597">
        <v>28.99</v>
      </c>
      <c r="K597" t="s">
        <v>41</v>
      </c>
      <c r="L597" s="3">
        <v>45410</v>
      </c>
      <c r="M597" t="s">
        <v>48</v>
      </c>
      <c r="N597">
        <v>46</v>
      </c>
    </row>
    <row r="598" spans="1:14" x14ac:dyDescent="0.25">
      <c r="A598" t="s">
        <v>1947</v>
      </c>
      <c r="B598" t="s">
        <v>1948</v>
      </c>
      <c r="C598" t="s">
        <v>1949</v>
      </c>
      <c r="D598" t="s">
        <v>30</v>
      </c>
      <c r="E598" t="s">
        <v>45</v>
      </c>
      <c r="F598">
        <v>34</v>
      </c>
      <c r="G598" t="s">
        <v>894</v>
      </c>
      <c r="H598">
        <v>3</v>
      </c>
      <c r="I598">
        <v>92.47</v>
      </c>
      <c r="J598">
        <v>41.57</v>
      </c>
      <c r="K598" t="s">
        <v>19</v>
      </c>
      <c r="L598" s="3">
        <v>45386</v>
      </c>
      <c r="M598" t="s">
        <v>48</v>
      </c>
      <c r="N598">
        <v>34</v>
      </c>
    </row>
    <row r="599" spans="1:14" x14ac:dyDescent="0.25">
      <c r="A599" t="s">
        <v>1950</v>
      </c>
      <c r="B599" t="s">
        <v>450</v>
      </c>
      <c r="C599" t="s">
        <v>1951</v>
      </c>
      <c r="D599" t="s">
        <v>30</v>
      </c>
      <c r="E599" t="s">
        <v>85</v>
      </c>
      <c r="F599">
        <v>14</v>
      </c>
      <c r="G599" t="s">
        <v>1754</v>
      </c>
      <c r="H599">
        <v>3</v>
      </c>
      <c r="I599" s="2">
        <v>74.680000000000007</v>
      </c>
      <c r="J599">
        <v>30.1</v>
      </c>
      <c r="K599" t="s">
        <v>19</v>
      </c>
      <c r="L599" s="3">
        <v>45093</v>
      </c>
      <c r="M599" t="s">
        <v>34</v>
      </c>
      <c r="N599">
        <v>14</v>
      </c>
    </row>
    <row r="600" spans="1:14" x14ac:dyDescent="0.25">
      <c r="A600" t="s">
        <v>1952</v>
      </c>
      <c r="B600" t="s">
        <v>1121</v>
      </c>
      <c r="C600" s="1">
        <v>45304</v>
      </c>
      <c r="D600" t="s">
        <v>30</v>
      </c>
      <c r="E600" t="s">
        <v>60</v>
      </c>
      <c r="F600">
        <v>14</v>
      </c>
      <c r="G600" t="s">
        <v>1689</v>
      </c>
      <c r="H600">
        <v>2</v>
      </c>
      <c r="J600">
        <v>20.21</v>
      </c>
      <c r="K600" t="s">
        <v>19</v>
      </c>
      <c r="L600" s="3">
        <v>45304</v>
      </c>
      <c r="M600" t="s">
        <v>48</v>
      </c>
      <c r="N600">
        <v>14</v>
      </c>
    </row>
    <row r="601" spans="1:14" x14ac:dyDescent="0.25">
      <c r="A601" t="s">
        <v>1953</v>
      </c>
      <c r="B601" t="s">
        <v>1429</v>
      </c>
      <c r="C601" s="1">
        <v>45489</v>
      </c>
      <c r="D601" t="s">
        <v>30</v>
      </c>
      <c r="E601" t="s">
        <v>25</v>
      </c>
      <c r="F601">
        <v>68</v>
      </c>
      <c r="G601" t="s">
        <v>1925</v>
      </c>
      <c r="H601">
        <v>1</v>
      </c>
      <c r="I601">
        <v>9.58</v>
      </c>
      <c r="J601" t="s">
        <v>1954</v>
      </c>
      <c r="K601" t="s">
        <v>19</v>
      </c>
      <c r="L601" s="3">
        <v>45489</v>
      </c>
      <c r="M601" t="s">
        <v>20</v>
      </c>
      <c r="N601">
        <v>68</v>
      </c>
    </row>
    <row r="602" spans="1:14" x14ac:dyDescent="0.25">
      <c r="A602" t="s">
        <v>1955</v>
      </c>
      <c r="B602" t="s">
        <v>507</v>
      </c>
      <c r="C602" t="s">
        <v>1956</v>
      </c>
      <c r="D602" t="s">
        <v>24</v>
      </c>
      <c r="E602" t="s">
        <v>31</v>
      </c>
      <c r="F602">
        <v>70</v>
      </c>
      <c r="G602" t="s">
        <v>1957</v>
      </c>
      <c r="H602">
        <v>3</v>
      </c>
      <c r="I602" t="s">
        <v>1958</v>
      </c>
      <c r="J602" t="s">
        <v>1959</v>
      </c>
      <c r="K602" t="s">
        <v>41</v>
      </c>
      <c r="L602" s="3">
        <v>44931</v>
      </c>
      <c r="M602" t="s">
        <v>34</v>
      </c>
      <c r="N602">
        <v>70</v>
      </c>
    </row>
    <row r="603" spans="1:14" x14ac:dyDescent="0.25">
      <c r="A603" t="s">
        <v>1960</v>
      </c>
      <c r="B603" t="s">
        <v>1961</v>
      </c>
      <c r="C603" s="1">
        <v>45181</v>
      </c>
      <c r="D603" t="s">
        <v>129</v>
      </c>
      <c r="E603" t="s">
        <v>60</v>
      </c>
      <c r="F603">
        <v>73</v>
      </c>
      <c r="G603" t="s">
        <v>1962</v>
      </c>
      <c r="H603">
        <v>1</v>
      </c>
      <c r="I603" t="s">
        <v>1963</v>
      </c>
      <c r="J603">
        <v>6.19</v>
      </c>
      <c r="K603" t="s">
        <v>19</v>
      </c>
      <c r="L603" s="3">
        <v>45181</v>
      </c>
      <c r="M603" t="s">
        <v>48</v>
      </c>
      <c r="N603">
        <v>73</v>
      </c>
    </row>
    <row r="604" spans="1:14" x14ac:dyDescent="0.25">
      <c r="A604" t="s">
        <v>1964</v>
      </c>
      <c r="B604" t="s">
        <v>808</v>
      </c>
      <c r="C604" t="s">
        <v>1965</v>
      </c>
      <c r="D604" t="s">
        <v>129</v>
      </c>
      <c r="E604" t="s">
        <v>34</v>
      </c>
      <c r="F604">
        <v>29</v>
      </c>
      <c r="G604" t="s">
        <v>1966</v>
      </c>
      <c r="H604">
        <v>3</v>
      </c>
      <c r="I604" t="s">
        <v>1967</v>
      </c>
      <c r="J604">
        <v>14.88</v>
      </c>
      <c r="K604" t="s">
        <v>19</v>
      </c>
      <c r="L604" s="3">
        <v>45591</v>
      </c>
      <c r="M604" t="s">
        <v>34</v>
      </c>
      <c r="N604">
        <v>29</v>
      </c>
    </row>
    <row r="605" spans="1:14" x14ac:dyDescent="0.25">
      <c r="A605" t="s">
        <v>1968</v>
      </c>
      <c r="B605" t="s">
        <v>128</v>
      </c>
      <c r="C605" t="s">
        <v>1969</v>
      </c>
      <c r="D605" t="s">
        <v>30</v>
      </c>
      <c r="E605" t="s">
        <v>31</v>
      </c>
      <c r="F605">
        <v>64</v>
      </c>
      <c r="G605" t="s">
        <v>1314</v>
      </c>
      <c r="H605">
        <v>1</v>
      </c>
      <c r="I605" t="s">
        <v>1970</v>
      </c>
      <c r="J605">
        <v>16.420000000000002</v>
      </c>
      <c r="K605" t="s">
        <v>41</v>
      </c>
      <c r="L605" s="3">
        <v>45463</v>
      </c>
      <c r="M605" t="s">
        <v>34</v>
      </c>
      <c r="N605">
        <v>64</v>
      </c>
    </row>
    <row r="606" spans="1:14" x14ac:dyDescent="0.25">
      <c r="A606" t="s">
        <v>1971</v>
      </c>
      <c r="B606" t="s">
        <v>1473</v>
      </c>
      <c r="C606" s="1">
        <v>45142</v>
      </c>
      <c r="D606" t="s">
        <v>129</v>
      </c>
      <c r="E606" t="s">
        <v>45</v>
      </c>
      <c r="F606">
        <v>45</v>
      </c>
      <c r="G606" t="s">
        <v>1972</v>
      </c>
      <c r="H606">
        <v>1</v>
      </c>
      <c r="I606" t="s">
        <v>1973</v>
      </c>
      <c r="J606" t="s">
        <v>1974</v>
      </c>
      <c r="K606" t="s">
        <v>19</v>
      </c>
      <c r="L606" s="3">
        <v>45142</v>
      </c>
      <c r="M606" t="s">
        <v>48</v>
      </c>
      <c r="N606">
        <v>45</v>
      </c>
    </row>
    <row r="607" spans="1:14" x14ac:dyDescent="0.25">
      <c r="A607" t="s">
        <v>1695</v>
      </c>
      <c r="B607" t="s">
        <v>742</v>
      </c>
      <c r="C607" t="s">
        <v>1696</v>
      </c>
      <c r="D607" t="s">
        <v>16</v>
      </c>
      <c r="E607" t="s">
        <v>25</v>
      </c>
      <c r="F607">
        <v>73</v>
      </c>
      <c r="G607" t="s">
        <v>1697</v>
      </c>
      <c r="H607">
        <v>6</v>
      </c>
      <c r="I607">
        <v>176.41</v>
      </c>
      <c r="J607">
        <v>56.19</v>
      </c>
      <c r="K607" t="s">
        <v>19</v>
      </c>
      <c r="L607" s="3">
        <v>45626</v>
      </c>
      <c r="M607" t="s">
        <v>20</v>
      </c>
      <c r="N607">
        <v>73</v>
      </c>
    </row>
    <row r="608" spans="1:14" x14ac:dyDescent="0.25">
      <c r="A608" t="s">
        <v>1975</v>
      </c>
      <c r="B608" t="s">
        <v>234</v>
      </c>
      <c r="C608" s="1">
        <v>45195</v>
      </c>
      <c r="D608" t="s">
        <v>30</v>
      </c>
      <c r="E608" t="s">
        <v>60</v>
      </c>
      <c r="F608">
        <v>63</v>
      </c>
      <c r="G608" t="s">
        <v>253</v>
      </c>
      <c r="H608">
        <v>1</v>
      </c>
      <c r="I608" t="s">
        <v>1976</v>
      </c>
      <c r="J608">
        <v>6.84</v>
      </c>
      <c r="K608" t="s">
        <v>19</v>
      </c>
      <c r="L608" s="3">
        <v>45195</v>
      </c>
      <c r="M608" t="s">
        <v>48</v>
      </c>
      <c r="N608">
        <v>63</v>
      </c>
    </row>
    <row r="609" spans="1:14" x14ac:dyDescent="0.25">
      <c r="A609" t="s">
        <v>1977</v>
      </c>
      <c r="B609" t="s">
        <v>742</v>
      </c>
      <c r="C609" t="s">
        <v>1978</v>
      </c>
      <c r="D609" t="s">
        <v>30</v>
      </c>
      <c r="E609" t="s">
        <v>60</v>
      </c>
      <c r="F609">
        <v>69</v>
      </c>
      <c r="G609" t="s">
        <v>1979</v>
      </c>
      <c r="H609">
        <v>1</v>
      </c>
      <c r="I609">
        <v>41.7</v>
      </c>
      <c r="J609">
        <v>13.08</v>
      </c>
      <c r="K609" t="s">
        <v>19</v>
      </c>
      <c r="L609" s="3">
        <v>45240</v>
      </c>
      <c r="M609" t="s">
        <v>48</v>
      </c>
      <c r="N609">
        <v>69</v>
      </c>
    </row>
    <row r="610" spans="1:14" x14ac:dyDescent="0.25">
      <c r="A610" t="s">
        <v>1980</v>
      </c>
      <c r="B610" t="s">
        <v>68</v>
      </c>
      <c r="C610" t="s">
        <v>1981</v>
      </c>
      <c r="D610" t="s">
        <v>30</v>
      </c>
      <c r="E610" t="s">
        <v>70</v>
      </c>
      <c r="F610">
        <v>67</v>
      </c>
      <c r="G610" t="s">
        <v>1982</v>
      </c>
      <c r="H610">
        <v>5</v>
      </c>
      <c r="I610">
        <v>143.88</v>
      </c>
      <c r="J610" t="s">
        <v>1983</v>
      </c>
      <c r="K610" t="s">
        <v>41</v>
      </c>
      <c r="L610" s="3">
        <v>45438</v>
      </c>
      <c r="M610" t="s">
        <v>20</v>
      </c>
      <c r="N610">
        <v>67</v>
      </c>
    </row>
    <row r="611" spans="1:14" x14ac:dyDescent="0.25">
      <c r="A611" t="s">
        <v>1984</v>
      </c>
      <c r="B611" t="s">
        <v>1457</v>
      </c>
      <c r="C611" s="3">
        <v>44936</v>
      </c>
      <c r="D611" t="s">
        <v>16</v>
      </c>
      <c r="E611" t="s">
        <v>31</v>
      </c>
      <c r="F611">
        <v>36</v>
      </c>
      <c r="G611" t="s">
        <v>1206</v>
      </c>
      <c r="H611">
        <v>1</v>
      </c>
      <c r="I611">
        <v>18.14</v>
      </c>
      <c r="J611">
        <v>7.3</v>
      </c>
      <c r="K611" t="s">
        <v>19</v>
      </c>
      <c r="L611" s="3">
        <v>44936</v>
      </c>
      <c r="M611" t="s">
        <v>34</v>
      </c>
      <c r="N611">
        <v>36</v>
      </c>
    </row>
    <row r="612" spans="1:14" x14ac:dyDescent="0.25">
      <c r="A612" t="s">
        <v>1985</v>
      </c>
      <c r="B612" t="s">
        <v>1986</v>
      </c>
      <c r="C612" t="s">
        <v>1987</v>
      </c>
      <c r="D612" t="s">
        <v>24</v>
      </c>
      <c r="E612" t="s">
        <v>38</v>
      </c>
      <c r="F612">
        <v>68</v>
      </c>
      <c r="G612" t="s">
        <v>1988</v>
      </c>
      <c r="H612">
        <v>1</v>
      </c>
      <c r="I612" s="2">
        <v>5.37</v>
      </c>
      <c r="J612">
        <v>1.7</v>
      </c>
      <c r="K612" t="s">
        <v>41</v>
      </c>
      <c r="L612" s="3">
        <v>45421</v>
      </c>
      <c r="M612" t="s">
        <v>34</v>
      </c>
      <c r="N612">
        <v>68</v>
      </c>
    </row>
    <row r="613" spans="1:14" x14ac:dyDescent="0.25">
      <c r="A613" t="s">
        <v>1989</v>
      </c>
      <c r="B613" t="s">
        <v>176</v>
      </c>
      <c r="C613" s="1">
        <v>45371</v>
      </c>
      <c r="D613" t="s">
        <v>51</v>
      </c>
      <c r="E613" t="s">
        <v>48</v>
      </c>
      <c r="F613">
        <v>19</v>
      </c>
      <c r="G613" t="s">
        <v>1990</v>
      </c>
      <c r="H613">
        <v>1</v>
      </c>
      <c r="I613" t="s">
        <v>1991</v>
      </c>
      <c r="J613" t="s">
        <v>1992</v>
      </c>
      <c r="K613" t="s">
        <v>41</v>
      </c>
      <c r="L613" s="3">
        <v>45371</v>
      </c>
      <c r="M613" t="s">
        <v>48</v>
      </c>
      <c r="N613">
        <v>19</v>
      </c>
    </row>
    <row r="614" spans="1:14" x14ac:dyDescent="0.25">
      <c r="A614" t="s">
        <v>1993</v>
      </c>
      <c r="B614" t="s">
        <v>387</v>
      </c>
      <c r="C614" s="3">
        <v>44985</v>
      </c>
      <c r="D614" t="s">
        <v>24</v>
      </c>
      <c r="E614" t="s">
        <v>38</v>
      </c>
      <c r="F614">
        <v>25</v>
      </c>
      <c r="G614" t="s">
        <v>424</v>
      </c>
      <c r="H614">
        <v>2</v>
      </c>
      <c r="I614">
        <v>15.8</v>
      </c>
      <c r="J614">
        <v>8.75</v>
      </c>
      <c r="K614" t="s">
        <v>41</v>
      </c>
      <c r="L614" s="3">
        <v>44985</v>
      </c>
      <c r="M614" t="s">
        <v>34</v>
      </c>
      <c r="N614">
        <v>25</v>
      </c>
    </row>
    <row r="615" spans="1:14" x14ac:dyDescent="0.25">
      <c r="A615" t="s">
        <v>1994</v>
      </c>
      <c r="B615" t="s">
        <v>1722</v>
      </c>
      <c r="C615" t="s">
        <v>1995</v>
      </c>
      <c r="D615" t="s">
        <v>129</v>
      </c>
      <c r="E615" t="s">
        <v>34</v>
      </c>
      <c r="F615">
        <v>44</v>
      </c>
      <c r="G615" t="s">
        <v>1996</v>
      </c>
      <c r="H615">
        <v>2</v>
      </c>
      <c r="I615" s="2">
        <v>27.48</v>
      </c>
      <c r="J615">
        <v>16.010000000000002</v>
      </c>
      <c r="K615" t="s">
        <v>19</v>
      </c>
      <c r="L615" s="3">
        <v>45295</v>
      </c>
      <c r="M615" t="s">
        <v>34</v>
      </c>
      <c r="N615">
        <v>44</v>
      </c>
    </row>
    <row r="616" spans="1:14" x14ac:dyDescent="0.25">
      <c r="A616" t="s">
        <v>1997</v>
      </c>
      <c r="B616" t="s">
        <v>157</v>
      </c>
      <c r="C616" t="s">
        <v>1998</v>
      </c>
      <c r="D616" t="s">
        <v>16</v>
      </c>
      <c r="E616" t="s">
        <v>34</v>
      </c>
      <c r="F616">
        <v>62</v>
      </c>
      <c r="G616" t="s">
        <v>1999</v>
      </c>
      <c r="H616">
        <v>1</v>
      </c>
      <c r="I616">
        <v>5.09</v>
      </c>
      <c r="J616" t="s">
        <v>2000</v>
      </c>
      <c r="K616" t="s">
        <v>41</v>
      </c>
      <c r="L616" s="3">
        <v>45483</v>
      </c>
      <c r="M616" t="s">
        <v>34</v>
      </c>
      <c r="N616">
        <v>62</v>
      </c>
    </row>
    <row r="617" spans="1:14" x14ac:dyDescent="0.25">
      <c r="A617" t="s">
        <v>2001</v>
      </c>
      <c r="B617" t="s">
        <v>22</v>
      </c>
      <c r="C617" t="s">
        <v>1331</v>
      </c>
      <c r="D617" t="s">
        <v>129</v>
      </c>
      <c r="E617" t="s">
        <v>34</v>
      </c>
      <c r="F617">
        <v>17</v>
      </c>
      <c r="G617" t="s">
        <v>2002</v>
      </c>
      <c r="H617">
        <v>1</v>
      </c>
      <c r="I617" s="2">
        <v>14.62</v>
      </c>
      <c r="J617">
        <v>4.76</v>
      </c>
      <c r="K617" t="s">
        <v>41</v>
      </c>
      <c r="L617" s="3">
        <v>45009</v>
      </c>
      <c r="M617" t="s">
        <v>34</v>
      </c>
      <c r="N617">
        <v>17</v>
      </c>
    </row>
    <row r="618" spans="1:14" x14ac:dyDescent="0.25">
      <c r="A618" t="s">
        <v>1562</v>
      </c>
      <c r="B618" t="s">
        <v>242</v>
      </c>
      <c r="C618" t="s">
        <v>1563</v>
      </c>
      <c r="D618" t="s">
        <v>129</v>
      </c>
      <c r="E618" t="s">
        <v>60</v>
      </c>
      <c r="F618">
        <v>36</v>
      </c>
      <c r="G618" t="s">
        <v>1564</v>
      </c>
      <c r="H618">
        <v>2</v>
      </c>
      <c r="I618">
        <v>11.04</v>
      </c>
      <c r="J618">
        <v>3.78</v>
      </c>
      <c r="K618" t="s">
        <v>19</v>
      </c>
      <c r="L618" s="3">
        <v>45380</v>
      </c>
      <c r="M618" t="s">
        <v>48</v>
      </c>
      <c r="N618">
        <v>36</v>
      </c>
    </row>
    <row r="619" spans="1:14" x14ac:dyDescent="0.25">
      <c r="A619" t="s">
        <v>2003</v>
      </c>
      <c r="B619" t="s">
        <v>1126</v>
      </c>
      <c r="C619" t="s">
        <v>1194</v>
      </c>
      <c r="D619" t="s">
        <v>24</v>
      </c>
      <c r="E619" t="s">
        <v>60</v>
      </c>
      <c r="F619">
        <v>38</v>
      </c>
      <c r="G619" t="s">
        <v>1501</v>
      </c>
      <c r="H619">
        <v>5</v>
      </c>
      <c r="I619">
        <v>63.4</v>
      </c>
      <c r="J619" t="s">
        <v>2004</v>
      </c>
      <c r="K619" t="s">
        <v>19</v>
      </c>
      <c r="L619" s="3">
        <v>45086</v>
      </c>
      <c r="M619" t="s">
        <v>48</v>
      </c>
      <c r="N619">
        <v>38</v>
      </c>
    </row>
    <row r="620" spans="1:14" x14ac:dyDescent="0.25">
      <c r="A620" t="s">
        <v>49</v>
      </c>
      <c r="B620" t="s">
        <v>50</v>
      </c>
      <c r="C620" s="1">
        <v>45631</v>
      </c>
      <c r="D620" t="s">
        <v>51</v>
      </c>
      <c r="F620">
        <v>55</v>
      </c>
      <c r="G620" t="s">
        <v>52</v>
      </c>
      <c r="H620">
        <v>2</v>
      </c>
      <c r="I620" t="s">
        <v>53</v>
      </c>
      <c r="J620" t="s">
        <v>54</v>
      </c>
      <c r="K620" t="s">
        <v>41</v>
      </c>
      <c r="L620" s="3">
        <v>45631</v>
      </c>
      <c r="M620" t="s">
        <v>20</v>
      </c>
      <c r="N620">
        <v>55</v>
      </c>
    </row>
    <row r="621" spans="1:14" x14ac:dyDescent="0.25">
      <c r="A621" t="s">
        <v>2005</v>
      </c>
      <c r="B621" t="s">
        <v>276</v>
      </c>
      <c r="C621" t="s">
        <v>2006</v>
      </c>
      <c r="D621" t="s">
        <v>129</v>
      </c>
      <c r="E621" t="s">
        <v>65</v>
      </c>
      <c r="F621">
        <v>52</v>
      </c>
      <c r="G621" t="s">
        <v>189</v>
      </c>
      <c r="H621">
        <v>2</v>
      </c>
      <c r="I621">
        <v>4.12</v>
      </c>
      <c r="J621">
        <v>1.97</v>
      </c>
      <c r="K621" t="s">
        <v>19</v>
      </c>
      <c r="L621" s="3">
        <v>45542</v>
      </c>
      <c r="M621" t="s">
        <v>48</v>
      </c>
      <c r="N621">
        <v>52</v>
      </c>
    </row>
    <row r="622" spans="1:14" x14ac:dyDescent="0.25">
      <c r="A622" t="s">
        <v>2007</v>
      </c>
      <c r="B622" t="s">
        <v>1422</v>
      </c>
      <c r="C622" s="1">
        <v>45244</v>
      </c>
      <c r="D622" t="s">
        <v>30</v>
      </c>
      <c r="E622" t="s">
        <v>132</v>
      </c>
      <c r="F622">
        <v>57</v>
      </c>
      <c r="G622" t="s">
        <v>1031</v>
      </c>
      <c r="H622">
        <v>1</v>
      </c>
      <c r="I622" s="2">
        <v>19.079999999999998</v>
      </c>
      <c r="J622">
        <v>7.04</v>
      </c>
      <c r="K622" t="s">
        <v>41</v>
      </c>
      <c r="L622" s="3">
        <v>45244</v>
      </c>
      <c r="M622" t="s">
        <v>132</v>
      </c>
      <c r="N622">
        <v>57</v>
      </c>
    </row>
    <row r="623" spans="1:14" x14ac:dyDescent="0.25">
      <c r="A623" t="s">
        <v>2008</v>
      </c>
      <c r="B623" t="s">
        <v>1062</v>
      </c>
      <c r="C623" s="1">
        <v>45499</v>
      </c>
      <c r="D623" t="s">
        <v>30</v>
      </c>
      <c r="E623" t="s">
        <v>48</v>
      </c>
      <c r="F623">
        <v>23</v>
      </c>
      <c r="G623" t="s">
        <v>2009</v>
      </c>
      <c r="H623">
        <v>5</v>
      </c>
      <c r="I623">
        <v>151.29</v>
      </c>
      <c r="J623" t="s">
        <v>2010</v>
      </c>
      <c r="K623" t="s">
        <v>41</v>
      </c>
      <c r="L623" s="3">
        <v>45499</v>
      </c>
      <c r="M623" t="s">
        <v>48</v>
      </c>
      <c r="N623">
        <v>23</v>
      </c>
    </row>
    <row r="624" spans="1:14" x14ac:dyDescent="0.25">
      <c r="A624" t="s">
        <v>2011</v>
      </c>
      <c r="B624" t="s">
        <v>1293</v>
      </c>
      <c r="C624" t="s">
        <v>2012</v>
      </c>
      <c r="D624" t="s">
        <v>16</v>
      </c>
      <c r="E624" t="s">
        <v>85</v>
      </c>
      <c r="F624">
        <v>72</v>
      </c>
      <c r="G624" t="s">
        <v>1057</v>
      </c>
      <c r="H624">
        <v>3</v>
      </c>
      <c r="I624">
        <v>90.83</v>
      </c>
      <c r="J624">
        <v>31.63</v>
      </c>
      <c r="K624" t="s">
        <v>19</v>
      </c>
      <c r="L624" s="3">
        <v>45473</v>
      </c>
      <c r="M624" t="s">
        <v>34</v>
      </c>
      <c r="N624">
        <v>72</v>
      </c>
    </row>
    <row r="625" spans="1:14" x14ac:dyDescent="0.25">
      <c r="A625" t="s">
        <v>2013</v>
      </c>
      <c r="B625" t="s">
        <v>2014</v>
      </c>
      <c r="C625" s="1">
        <v>44995</v>
      </c>
      <c r="D625" t="s">
        <v>16</v>
      </c>
      <c r="E625" t="s">
        <v>60</v>
      </c>
      <c r="F625">
        <v>26</v>
      </c>
      <c r="G625" t="s">
        <v>2015</v>
      </c>
      <c r="H625">
        <v>2</v>
      </c>
      <c r="I625" s="2">
        <v>15.53</v>
      </c>
      <c r="J625" t="s">
        <v>25</v>
      </c>
      <c r="K625" t="s">
        <v>41</v>
      </c>
      <c r="L625" s="3">
        <v>44995</v>
      </c>
      <c r="M625" t="s">
        <v>48</v>
      </c>
      <c r="N625">
        <v>26</v>
      </c>
    </row>
    <row r="626" spans="1:14" x14ac:dyDescent="0.25">
      <c r="A626" t="s">
        <v>2016</v>
      </c>
      <c r="B626" t="s">
        <v>1718</v>
      </c>
      <c r="C626" s="3">
        <v>45397</v>
      </c>
      <c r="D626" t="s">
        <v>30</v>
      </c>
      <c r="E626" t="s">
        <v>85</v>
      </c>
      <c r="F626">
        <v>55</v>
      </c>
      <c r="G626" t="s">
        <v>891</v>
      </c>
      <c r="H626">
        <v>2</v>
      </c>
      <c r="I626" s="2">
        <v>46.7</v>
      </c>
      <c r="J626">
        <v>25.23</v>
      </c>
      <c r="K626" t="s">
        <v>19</v>
      </c>
      <c r="L626" s="3">
        <v>45397</v>
      </c>
      <c r="M626" t="s">
        <v>34</v>
      </c>
      <c r="N626">
        <v>55</v>
      </c>
    </row>
    <row r="627" spans="1:14" x14ac:dyDescent="0.25">
      <c r="A627" t="s">
        <v>2017</v>
      </c>
      <c r="B627" t="s">
        <v>2018</v>
      </c>
      <c r="C627" t="s">
        <v>2019</v>
      </c>
      <c r="D627" t="s">
        <v>51</v>
      </c>
      <c r="E627" t="s">
        <v>48</v>
      </c>
      <c r="F627">
        <v>38</v>
      </c>
      <c r="G627" t="s">
        <v>2020</v>
      </c>
      <c r="H627">
        <v>1</v>
      </c>
      <c r="I627">
        <v>53.83</v>
      </c>
      <c r="J627">
        <v>21.81</v>
      </c>
      <c r="K627" t="s">
        <v>19</v>
      </c>
      <c r="L627" s="3">
        <v>45409</v>
      </c>
      <c r="M627" t="s">
        <v>48</v>
      </c>
      <c r="N627">
        <v>38</v>
      </c>
    </row>
    <row r="628" spans="1:14" x14ac:dyDescent="0.25">
      <c r="A628" t="s">
        <v>2021</v>
      </c>
      <c r="B628" t="s">
        <v>147</v>
      </c>
      <c r="C628" t="s">
        <v>2022</v>
      </c>
      <c r="D628" t="s">
        <v>129</v>
      </c>
      <c r="E628" t="s">
        <v>34</v>
      </c>
      <c r="F628">
        <v>42</v>
      </c>
      <c r="G628" t="s">
        <v>2023</v>
      </c>
      <c r="H628">
        <v>1</v>
      </c>
      <c r="I628">
        <v>12.74</v>
      </c>
      <c r="J628" s="2">
        <v>5.43</v>
      </c>
      <c r="K628" t="s">
        <v>19</v>
      </c>
      <c r="L628" s="3">
        <v>45074</v>
      </c>
      <c r="M628" t="s">
        <v>34</v>
      </c>
      <c r="N628">
        <v>42</v>
      </c>
    </row>
    <row r="629" spans="1:14" x14ac:dyDescent="0.25">
      <c r="A629" t="s">
        <v>55</v>
      </c>
      <c r="B629" t="s">
        <v>56</v>
      </c>
      <c r="C629" s="1">
        <v>45144</v>
      </c>
      <c r="D629" t="s">
        <v>51</v>
      </c>
      <c r="E629" t="s">
        <v>38</v>
      </c>
      <c r="F629">
        <v>65</v>
      </c>
      <c r="G629" t="s">
        <v>57</v>
      </c>
      <c r="H629">
        <v>2</v>
      </c>
      <c r="I629">
        <v>15.74</v>
      </c>
      <c r="J629" s="2">
        <v>7.12</v>
      </c>
      <c r="K629" t="s">
        <v>41</v>
      </c>
      <c r="L629" s="3">
        <v>45144</v>
      </c>
      <c r="M629" t="s">
        <v>34</v>
      </c>
      <c r="N629">
        <v>65</v>
      </c>
    </row>
    <row r="630" spans="1:14" x14ac:dyDescent="0.25">
      <c r="A630" t="s">
        <v>2024</v>
      </c>
      <c r="B630" t="s">
        <v>387</v>
      </c>
      <c r="C630" s="1">
        <v>44960</v>
      </c>
      <c r="D630" t="s">
        <v>16</v>
      </c>
      <c r="E630" t="s">
        <v>60</v>
      </c>
      <c r="F630">
        <v>46</v>
      </c>
      <c r="G630" t="s">
        <v>2025</v>
      </c>
      <c r="H630">
        <v>4</v>
      </c>
      <c r="I630">
        <v>70.33</v>
      </c>
      <c r="J630" t="s">
        <v>25</v>
      </c>
      <c r="K630" t="s">
        <v>19</v>
      </c>
      <c r="L630" s="3">
        <v>44960</v>
      </c>
      <c r="M630" t="s">
        <v>48</v>
      </c>
      <c r="N630">
        <v>46</v>
      </c>
    </row>
    <row r="631" spans="1:14" x14ac:dyDescent="0.25">
      <c r="A631" t="s">
        <v>2026</v>
      </c>
      <c r="B631" t="s">
        <v>426</v>
      </c>
      <c r="C631" s="1">
        <v>45459</v>
      </c>
      <c r="D631" t="s">
        <v>129</v>
      </c>
      <c r="E631" t="s">
        <v>60</v>
      </c>
      <c r="F631">
        <v>43</v>
      </c>
      <c r="G631" t="s">
        <v>2027</v>
      </c>
      <c r="H631">
        <v>1</v>
      </c>
      <c r="I631">
        <v>4.24</v>
      </c>
      <c r="J631">
        <v>1.89</v>
      </c>
      <c r="K631" t="s">
        <v>19</v>
      </c>
      <c r="L631" s="3">
        <v>45459</v>
      </c>
      <c r="M631" t="s">
        <v>48</v>
      </c>
      <c r="N631">
        <v>43</v>
      </c>
    </row>
    <row r="632" spans="1:14" x14ac:dyDescent="0.25">
      <c r="A632" t="s">
        <v>468</v>
      </c>
      <c r="B632" t="s">
        <v>469</v>
      </c>
      <c r="C632" s="1">
        <v>45514</v>
      </c>
      <c r="D632" t="s">
        <v>24</v>
      </c>
      <c r="E632" t="s">
        <v>48</v>
      </c>
      <c r="F632">
        <v>51</v>
      </c>
      <c r="G632" t="s">
        <v>470</v>
      </c>
      <c r="H632">
        <v>5</v>
      </c>
      <c r="I632">
        <v>72.209999999999994</v>
      </c>
      <c r="J632" t="s">
        <v>471</v>
      </c>
      <c r="K632" t="s">
        <v>19</v>
      </c>
      <c r="L632" s="3">
        <v>45514</v>
      </c>
      <c r="M632" t="s">
        <v>48</v>
      </c>
      <c r="N632">
        <v>51</v>
      </c>
    </row>
    <row r="633" spans="1:14" x14ac:dyDescent="0.25">
      <c r="A633" t="s">
        <v>2028</v>
      </c>
      <c r="B633" t="s">
        <v>314</v>
      </c>
      <c r="C633" t="s">
        <v>2029</v>
      </c>
      <c r="D633" t="s">
        <v>51</v>
      </c>
      <c r="E633" t="s">
        <v>31</v>
      </c>
      <c r="F633">
        <v>39</v>
      </c>
      <c r="G633" t="s">
        <v>2030</v>
      </c>
      <c r="H633">
        <v>4</v>
      </c>
      <c r="I633">
        <v>169.25</v>
      </c>
      <c r="J633">
        <v>105.16</v>
      </c>
      <c r="K633" t="s">
        <v>41</v>
      </c>
      <c r="L633" s="3">
        <v>45261</v>
      </c>
      <c r="M633" t="s">
        <v>34</v>
      </c>
      <c r="N633">
        <v>39</v>
      </c>
    </row>
    <row r="634" spans="1:14" x14ac:dyDescent="0.25">
      <c r="A634" t="s">
        <v>2031</v>
      </c>
      <c r="B634" t="s">
        <v>176</v>
      </c>
      <c r="C634" t="s">
        <v>2032</v>
      </c>
      <c r="D634" t="s">
        <v>129</v>
      </c>
      <c r="E634" t="s">
        <v>85</v>
      </c>
      <c r="F634">
        <v>64</v>
      </c>
      <c r="G634" t="s">
        <v>395</v>
      </c>
      <c r="H634">
        <v>4</v>
      </c>
      <c r="I634">
        <v>40.17</v>
      </c>
      <c r="J634">
        <v>18.649999999999999</v>
      </c>
      <c r="K634" t="s">
        <v>41</v>
      </c>
      <c r="L634" s="3">
        <v>45522</v>
      </c>
      <c r="M634" t="s">
        <v>34</v>
      </c>
      <c r="N634">
        <v>64</v>
      </c>
    </row>
    <row r="635" spans="1:14" x14ac:dyDescent="0.25">
      <c r="A635" t="s">
        <v>2033</v>
      </c>
      <c r="B635" t="s">
        <v>450</v>
      </c>
      <c r="C635" t="s">
        <v>2034</v>
      </c>
      <c r="D635" t="s">
        <v>24</v>
      </c>
      <c r="E635" t="s">
        <v>85</v>
      </c>
      <c r="F635">
        <v>72</v>
      </c>
      <c r="G635" t="s">
        <v>2035</v>
      </c>
      <c r="H635">
        <v>2</v>
      </c>
      <c r="I635" t="s">
        <v>2036</v>
      </c>
      <c r="J635">
        <v>23.25</v>
      </c>
      <c r="K635" t="s">
        <v>41</v>
      </c>
      <c r="L635" s="3">
        <v>45418</v>
      </c>
      <c r="M635" t="s">
        <v>34</v>
      </c>
      <c r="N635">
        <v>72</v>
      </c>
    </row>
    <row r="636" spans="1:14" x14ac:dyDescent="0.25">
      <c r="A636" t="s">
        <v>2037</v>
      </c>
      <c r="B636" t="s">
        <v>1126</v>
      </c>
      <c r="C636" t="s">
        <v>2038</v>
      </c>
      <c r="D636" t="s">
        <v>51</v>
      </c>
      <c r="E636" t="s">
        <v>34</v>
      </c>
      <c r="F636">
        <v>73</v>
      </c>
      <c r="G636" t="s">
        <v>2039</v>
      </c>
      <c r="H636">
        <v>4</v>
      </c>
      <c r="I636" t="s">
        <v>2040</v>
      </c>
      <c r="J636">
        <v>111.1</v>
      </c>
      <c r="K636" t="s">
        <v>19</v>
      </c>
      <c r="L636" s="3">
        <v>44943</v>
      </c>
      <c r="M636" t="s">
        <v>34</v>
      </c>
      <c r="N636">
        <v>73</v>
      </c>
    </row>
    <row r="637" spans="1:14" x14ac:dyDescent="0.25">
      <c r="A637" t="s">
        <v>2041</v>
      </c>
      <c r="B637" t="s">
        <v>434</v>
      </c>
      <c r="C637" t="s">
        <v>2042</v>
      </c>
      <c r="D637" t="s">
        <v>129</v>
      </c>
      <c r="E637" t="s">
        <v>31</v>
      </c>
      <c r="F637">
        <v>38</v>
      </c>
      <c r="G637" t="s">
        <v>2043</v>
      </c>
      <c r="H637">
        <v>2</v>
      </c>
      <c r="I637">
        <v>11.67</v>
      </c>
      <c r="J637" t="s">
        <v>2044</v>
      </c>
      <c r="K637" t="s">
        <v>19</v>
      </c>
      <c r="L637" s="3">
        <v>45209</v>
      </c>
      <c r="M637" t="s">
        <v>34</v>
      </c>
      <c r="N637">
        <v>38</v>
      </c>
    </row>
    <row r="638" spans="1:14" x14ac:dyDescent="0.25">
      <c r="A638" t="s">
        <v>2045</v>
      </c>
      <c r="B638" t="s">
        <v>172</v>
      </c>
      <c r="C638" s="1">
        <v>45146</v>
      </c>
      <c r="D638" t="s">
        <v>16</v>
      </c>
      <c r="E638" t="s">
        <v>65</v>
      </c>
      <c r="F638">
        <v>70</v>
      </c>
      <c r="G638" t="s">
        <v>1636</v>
      </c>
      <c r="H638">
        <v>2</v>
      </c>
      <c r="I638">
        <v>42.22</v>
      </c>
      <c r="J638" t="s">
        <v>2046</v>
      </c>
      <c r="K638" t="s">
        <v>41</v>
      </c>
      <c r="L638" s="3">
        <v>45146</v>
      </c>
      <c r="M638" t="s">
        <v>48</v>
      </c>
      <c r="N638">
        <v>70</v>
      </c>
    </row>
    <row r="639" spans="1:14" x14ac:dyDescent="0.25">
      <c r="A639" t="s">
        <v>2047</v>
      </c>
      <c r="B639" t="s">
        <v>215</v>
      </c>
      <c r="C639" t="s">
        <v>2048</v>
      </c>
      <c r="D639" t="s">
        <v>24</v>
      </c>
      <c r="E639" t="s">
        <v>48</v>
      </c>
      <c r="F639">
        <v>26</v>
      </c>
      <c r="G639" t="s">
        <v>2049</v>
      </c>
      <c r="H639">
        <v>1</v>
      </c>
      <c r="I639">
        <v>13.41</v>
      </c>
      <c r="J639" t="s">
        <v>2050</v>
      </c>
      <c r="K639" t="s">
        <v>19</v>
      </c>
      <c r="L639" s="3">
        <v>45123</v>
      </c>
      <c r="M639" t="s">
        <v>48</v>
      </c>
      <c r="N639">
        <v>26</v>
      </c>
    </row>
    <row r="640" spans="1:14" x14ac:dyDescent="0.25">
      <c r="A640" t="s">
        <v>2051</v>
      </c>
      <c r="B640" t="s">
        <v>2052</v>
      </c>
      <c r="C640" t="s">
        <v>2053</v>
      </c>
      <c r="D640" t="s">
        <v>30</v>
      </c>
      <c r="E640" t="s">
        <v>38</v>
      </c>
      <c r="F640">
        <v>60</v>
      </c>
      <c r="G640" t="s">
        <v>1008</v>
      </c>
      <c r="H640">
        <v>1</v>
      </c>
      <c r="I640" s="2">
        <v>7.99</v>
      </c>
      <c r="J640">
        <v>2.97</v>
      </c>
      <c r="K640" t="s">
        <v>41</v>
      </c>
      <c r="L640" s="3">
        <v>45516</v>
      </c>
      <c r="M640" t="s">
        <v>34</v>
      </c>
      <c r="N640">
        <v>60</v>
      </c>
    </row>
    <row r="641" spans="1:14" x14ac:dyDescent="0.25">
      <c r="A641" t="s">
        <v>2054</v>
      </c>
      <c r="B641" t="s">
        <v>1484</v>
      </c>
      <c r="C641" s="1">
        <v>45265</v>
      </c>
      <c r="D641" t="s">
        <v>51</v>
      </c>
      <c r="E641" t="s">
        <v>34</v>
      </c>
      <c r="F641">
        <v>33</v>
      </c>
      <c r="G641" t="s">
        <v>2055</v>
      </c>
      <c r="H641">
        <v>2</v>
      </c>
      <c r="I641" t="s">
        <v>2056</v>
      </c>
      <c r="J641">
        <v>16.309999999999999</v>
      </c>
      <c r="K641" t="s">
        <v>41</v>
      </c>
      <c r="L641" s="3">
        <v>45265</v>
      </c>
      <c r="M641" t="s">
        <v>34</v>
      </c>
      <c r="N641">
        <v>33</v>
      </c>
    </row>
    <row r="642" spans="1:14" x14ac:dyDescent="0.25">
      <c r="A642" t="s">
        <v>2057</v>
      </c>
      <c r="B642" t="s">
        <v>1838</v>
      </c>
      <c r="C642" t="s">
        <v>2058</v>
      </c>
      <c r="D642" t="s">
        <v>16</v>
      </c>
      <c r="E642" t="s">
        <v>38</v>
      </c>
      <c r="F642">
        <v>74</v>
      </c>
      <c r="G642" t="s">
        <v>2059</v>
      </c>
      <c r="H642">
        <v>1</v>
      </c>
      <c r="I642" t="s">
        <v>2060</v>
      </c>
      <c r="J642">
        <v>5.18</v>
      </c>
      <c r="K642" t="s">
        <v>41</v>
      </c>
      <c r="L642" s="3">
        <v>45429</v>
      </c>
      <c r="M642" t="s">
        <v>34</v>
      </c>
      <c r="N642">
        <v>74</v>
      </c>
    </row>
    <row r="643" spans="1:14" x14ac:dyDescent="0.25">
      <c r="A643" t="s">
        <v>2054</v>
      </c>
      <c r="B643" t="s">
        <v>1484</v>
      </c>
      <c r="C643" s="1">
        <v>45265</v>
      </c>
      <c r="D643" t="s">
        <v>51</v>
      </c>
      <c r="E643" t="s">
        <v>34</v>
      </c>
      <c r="F643">
        <v>33</v>
      </c>
      <c r="G643" t="s">
        <v>2055</v>
      </c>
      <c r="H643">
        <v>2</v>
      </c>
      <c r="I643" t="s">
        <v>2056</v>
      </c>
      <c r="J643">
        <v>16.309999999999999</v>
      </c>
      <c r="K643" t="s">
        <v>41</v>
      </c>
      <c r="L643" s="3">
        <v>45265</v>
      </c>
      <c r="M643" t="s">
        <v>34</v>
      </c>
      <c r="N643">
        <v>33</v>
      </c>
    </row>
    <row r="644" spans="1:14" x14ac:dyDescent="0.25">
      <c r="A644" t="s">
        <v>2061</v>
      </c>
      <c r="B644" t="s">
        <v>947</v>
      </c>
      <c r="C644" s="1">
        <v>45154</v>
      </c>
      <c r="D644" t="s">
        <v>30</v>
      </c>
      <c r="E644" t="s">
        <v>132</v>
      </c>
      <c r="F644">
        <v>45</v>
      </c>
      <c r="G644" t="s">
        <v>2062</v>
      </c>
      <c r="H644">
        <v>2</v>
      </c>
      <c r="I644">
        <v>67.209999999999994</v>
      </c>
      <c r="J644">
        <v>26.95</v>
      </c>
      <c r="K644" t="s">
        <v>41</v>
      </c>
      <c r="L644" s="3">
        <v>45154</v>
      </c>
      <c r="M644" t="s">
        <v>132</v>
      </c>
      <c r="N644">
        <v>45</v>
      </c>
    </row>
    <row r="645" spans="1:14" x14ac:dyDescent="0.25">
      <c r="A645" t="s">
        <v>1472</v>
      </c>
      <c r="B645" t="s">
        <v>1473</v>
      </c>
      <c r="C645" s="3">
        <v>45228</v>
      </c>
      <c r="D645" t="s">
        <v>129</v>
      </c>
      <c r="E645" t="s">
        <v>31</v>
      </c>
      <c r="F645">
        <v>53</v>
      </c>
      <c r="G645" t="s">
        <v>1474</v>
      </c>
      <c r="H645">
        <v>1</v>
      </c>
      <c r="I645">
        <v>20.309999999999999</v>
      </c>
      <c r="J645">
        <v>4.57</v>
      </c>
      <c r="K645" t="s">
        <v>19</v>
      </c>
      <c r="L645" s="3">
        <v>45228</v>
      </c>
      <c r="M645" t="s">
        <v>34</v>
      </c>
      <c r="N645">
        <v>53</v>
      </c>
    </row>
    <row r="646" spans="1:14" x14ac:dyDescent="0.25">
      <c r="A646" t="s">
        <v>2063</v>
      </c>
      <c r="B646" t="s">
        <v>657</v>
      </c>
      <c r="C646" t="s">
        <v>2064</v>
      </c>
      <c r="D646" t="s">
        <v>24</v>
      </c>
      <c r="E646" t="s">
        <v>45</v>
      </c>
      <c r="G646" t="s">
        <v>698</v>
      </c>
      <c r="H646">
        <v>2</v>
      </c>
      <c r="I646">
        <v>54.02</v>
      </c>
      <c r="J646">
        <v>20.64</v>
      </c>
      <c r="K646" t="s">
        <v>19</v>
      </c>
      <c r="L646" s="3">
        <v>45310</v>
      </c>
      <c r="M646" t="s">
        <v>48</v>
      </c>
    </row>
    <row r="647" spans="1:14" x14ac:dyDescent="0.25">
      <c r="A647" t="s">
        <v>2065</v>
      </c>
      <c r="B647" t="s">
        <v>223</v>
      </c>
      <c r="C647" s="3">
        <v>45065</v>
      </c>
      <c r="D647" t="s">
        <v>51</v>
      </c>
      <c r="E647" t="s">
        <v>60</v>
      </c>
      <c r="F647" t="s">
        <v>25</v>
      </c>
      <c r="G647" t="s">
        <v>1867</v>
      </c>
      <c r="H647">
        <v>4</v>
      </c>
      <c r="I647">
        <v>147.83000000000001</v>
      </c>
      <c r="J647">
        <v>75.86</v>
      </c>
      <c r="K647" t="s">
        <v>41</v>
      </c>
      <c r="L647" s="3">
        <v>45065</v>
      </c>
      <c r="M647" t="s">
        <v>48</v>
      </c>
    </row>
    <row r="648" spans="1:14" x14ac:dyDescent="0.25">
      <c r="A648" t="s">
        <v>739</v>
      </c>
      <c r="B648" t="s">
        <v>234</v>
      </c>
      <c r="C648" s="1">
        <v>45190</v>
      </c>
      <c r="D648" t="s">
        <v>24</v>
      </c>
      <c r="E648" t="s">
        <v>45</v>
      </c>
      <c r="F648">
        <v>70</v>
      </c>
      <c r="G648" t="s">
        <v>740</v>
      </c>
      <c r="H648">
        <v>2</v>
      </c>
      <c r="I648">
        <v>16.23</v>
      </c>
      <c r="J648">
        <v>3.68</v>
      </c>
      <c r="K648" t="s">
        <v>41</v>
      </c>
      <c r="L648" s="3">
        <v>45190</v>
      </c>
      <c r="M648" t="s">
        <v>48</v>
      </c>
      <c r="N648">
        <v>70</v>
      </c>
    </row>
    <row r="649" spans="1:14" x14ac:dyDescent="0.25">
      <c r="A649" t="s">
        <v>2066</v>
      </c>
      <c r="B649" t="s">
        <v>1192</v>
      </c>
      <c r="C649" t="s">
        <v>2067</v>
      </c>
      <c r="D649" t="s">
        <v>30</v>
      </c>
      <c r="E649" t="s">
        <v>60</v>
      </c>
      <c r="F649">
        <v>17</v>
      </c>
      <c r="G649" t="s">
        <v>2068</v>
      </c>
      <c r="H649">
        <v>3</v>
      </c>
      <c r="I649">
        <v>39.01</v>
      </c>
      <c r="J649">
        <v>20.43</v>
      </c>
      <c r="K649" t="s">
        <v>19</v>
      </c>
      <c r="L649" s="3">
        <v>45436</v>
      </c>
      <c r="M649" t="s">
        <v>48</v>
      </c>
      <c r="N649">
        <v>17</v>
      </c>
    </row>
    <row r="650" spans="1:14" x14ac:dyDescent="0.25">
      <c r="A650" t="s">
        <v>2069</v>
      </c>
      <c r="B650" t="s">
        <v>546</v>
      </c>
      <c r="C650" t="s">
        <v>2070</v>
      </c>
      <c r="D650" t="s">
        <v>16</v>
      </c>
      <c r="E650" t="s">
        <v>85</v>
      </c>
      <c r="F650">
        <v>63</v>
      </c>
      <c r="G650" t="s">
        <v>2071</v>
      </c>
      <c r="H650">
        <v>1</v>
      </c>
      <c r="I650">
        <v>35.04</v>
      </c>
      <c r="J650" s="2">
        <v>16.48</v>
      </c>
      <c r="K650" t="s">
        <v>41</v>
      </c>
      <c r="L650" s="3">
        <v>45620</v>
      </c>
      <c r="M650" t="s">
        <v>34</v>
      </c>
      <c r="N650">
        <v>63</v>
      </c>
    </row>
    <row r="651" spans="1:14" x14ac:dyDescent="0.25">
      <c r="A651" t="s">
        <v>2072</v>
      </c>
      <c r="B651" t="s">
        <v>625</v>
      </c>
      <c r="C651" t="s">
        <v>2073</v>
      </c>
      <c r="D651" t="s">
        <v>24</v>
      </c>
      <c r="E651" t="s">
        <v>65</v>
      </c>
      <c r="F651">
        <v>13</v>
      </c>
      <c r="G651" t="s">
        <v>2074</v>
      </c>
      <c r="H651">
        <v>1</v>
      </c>
      <c r="I651" t="s">
        <v>2075</v>
      </c>
      <c r="J651" t="s">
        <v>2076</v>
      </c>
      <c r="K651" t="s">
        <v>41</v>
      </c>
      <c r="L651" s="3">
        <v>45001</v>
      </c>
      <c r="M651" t="s">
        <v>48</v>
      </c>
      <c r="N651">
        <v>13</v>
      </c>
    </row>
    <row r="652" spans="1:14" x14ac:dyDescent="0.25">
      <c r="A652" t="s">
        <v>2077</v>
      </c>
      <c r="B652" t="s">
        <v>2078</v>
      </c>
      <c r="C652" t="s">
        <v>2079</v>
      </c>
      <c r="D652" t="s">
        <v>24</v>
      </c>
      <c r="E652" t="s">
        <v>65</v>
      </c>
      <c r="F652">
        <v>73</v>
      </c>
      <c r="G652" t="s">
        <v>2080</v>
      </c>
      <c r="H652">
        <v>-2</v>
      </c>
      <c r="I652">
        <v>-12.38</v>
      </c>
      <c r="J652" t="s">
        <v>2081</v>
      </c>
      <c r="K652" t="s">
        <v>41</v>
      </c>
      <c r="L652" s="3">
        <v>45388</v>
      </c>
      <c r="M652" t="s">
        <v>48</v>
      </c>
      <c r="N652">
        <v>73</v>
      </c>
    </row>
    <row r="653" spans="1:14" x14ac:dyDescent="0.25">
      <c r="A653" t="s">
        <v>2082</v>
      </c>
      <c r="B653" t="s">
        <v>165</v>
      </c>
      <c r="C653" t="s">
        <v>2083</v>
      </c>
      <c r="D653" t="s">
        <v>129</v>
      </c>
      <c r="E653" t="s">
        <v>34</v>
      </c>
      <c r="F653">
        <v>31</v>
      </c>
      <c r="G653" t="s">
        <v>2084</v>
      </c>
      <c r="H653">
        <v>1</v>
      </c>
      <c r="I653">
        <v>16.71</v>
      </c>
      <c r="J653" t="s">
        <v>2085</v>
      </c>
      <c r="K653" t="s">
        <v>41</v>
      </c>
      <c r="L653" s="3">
        <v>45272</v>
      </c>
      <c r="M653" t="s">
        <v>34</v>
      </c>
      <c r="N653">
        <v>31</v>
      </c>
    </row>
    <row r="654" spans="1:14" x14ac:dyDescent="0.25">
      <c r="A654" t="s">
        <v>2086</v>
      </c>
      <c r="B654" t="s">
        <v>1030</v>
      </c>
      <c r="C654" s="1">
        <v>45471</v>
      </c>
      <c r="D654" t="s">
        <v>129</v>
      </c>
      <c r="E654" t="s">
        <v>70</v>
      </c>
      <c r="F654">
        <v>19</v>
      </c>
      <c r="G654" t="s">
        <v>280</v>
      </c>
      <c r="H654">
        <v>1</v>
      </c>
      <c r="I654" s="2">
        <v>11.69</v>
      </c>
      <c r="J654">
        <v>3.85</v>
      </c>
      <c r="K654" t="s">
        <v>41</v>
      </c>
      <c r="L654" s="3">
        <v>45471</v>
      </c>
      <c r="M654" t="s">
        <v>20</v>
      </c>
      <c r="N654">
        <v>19</v>
      </c>
    </row>
    <row r="655" spans="1:14" x14ac:dyDescent="0.25">
      <c r="A655" t="s">
        <v>2087</v>
      </c>
      <c r="B655" t="s">
        <v>242</v>
      </c>
      <c r="C655" s="1">
        <v>45260</v>
      </c>
      <c r="D655" t="s">
        <v>129</v>
      </c>
      <c r="E655" t="s">
        <v>85</v>
      </c>
      <c r="F655">
        <v>43</v>
      </c>
      <c r="G655" t="s">
        <v>1812</v>
      </c>
      <c r="H655">
        <v>1</v>
      </c>
      <c r="I655">
        <v>3.55</v>
      </c>
      <c r="J655">
        <v>1.29</v>
      </c>
      <c r="K655" t="s">
        <v>19</v>
      </c>
      <c r="L655" s="3">
        <v>45260</v>
      </c>
      <c r="M655" t="s">
        <v>34</v>
      </c>
      <c r="N655">
        <v>43</v>
      </c>
    </row>
    <row r="656" spans="1:14" x14ac:dyDescent="0.25">
      <c r="A656" t="s">
        <v>2088</v>
      </c>
      <c r="B656" t="s">
        <v>1229</v>
      </c>
      <c r="C656" s="1">
        <v>45505</v>
      </c>
      <c r="D656" t="s">
        <v>30</v>
      </c>
      <c r="E656" t="s">
        <v>85</v>
      </c>
      <c r="F656">
        <v>39</v>
      </c>
      <c r="G656" t="s">
        <v>2089</v>
      </c>
      <c r="H656">
        <v>1</v>
      </c>
      <c r="I656" s="2">
        <v>16.54</v>
      </c>
      <c r="J656" t="s">
        <v>2090</v>
      </c>
      <c r="K656" t="s">
        <v>19</v>
      </c>
      <c r="L656" s="3">
        <v>45505</v>
      </c>
      <c r="M656" t="s">
        <v>34</v>
      </c>
      <c r="N656">
        <v>39</v>
      </c>
    </row>
    <row r="657" spans="1:14" x14ac:dyDescent="0.25">
      <c r="A657" t="s">
        <v>2091</v>
      </c>
      <c r="B657" t="s">
        <v>780</v>
      </c>
      <c r="C657" t="s">
        <v>2092</v>
      </c>
      <c r="D657" t="s">
        <v>129</v>
      </c>
      <c r="E657" t="s">
        <v>34</v>
      </c>
      <c r="F657">
        <v>44</v>
      </c>
      <c r="G657" t="s">
        <v>2093</v>
      </c>
      <c r="H657">
        <v>2</v>
      </c>
      <c r="I657">
        <v>10.3</v>
      </c>
      <c r="J657" t="s">
        <v>2094</v>
      </c>
      <c r="K657" t="s">
        <v>19</v>
      </c>
      <c r="L657" s="3">
        <v>45411</v>
      </c>
      <c r="M657" t="s">
        <v>34</v>
      </c>
      <c r="N657">
        <v>44</v>
      </c>
    </row>
    <row r="658" spans="1:14" x14ac:dyDescent="0.25">
      <c r="A658" t="s">
        <v>2095</v>
      </c>
      <c r="B658" t="s">
        <v>1030</v>
      </c>
      <c r="C658" t="s">
        <v>1359</v>
      </c>
      <c r="D658" t="s">
        <v>24</v>
      </c>
      <c r="E658" t="s">
        <v>34</v>
      </c>
      <c r="F658">
        <v>48</v>
      </c>
      <c r="G658" t="s">
        <v>2096</v>
      </c>
      <c r="H658">
        <v>3</v>
      </c>
      <c r="I658">
        <v>60.45</v>
      </c>
      <c r="J658" s="2">
        <v>33.46</v>
      </c>
      <c r="K658" t="s">
        <v>41</v>
      </c>
      <c r="L658" s="3">
        <v>45651</v>
      </c>
      <c r="M658" t="s">
        <v>34</v>
      </c>
      <c r="N658">
        <v>48</v>
      </c>
    </row>
    <row r="659" spans="1:14" x14ac:dyDescent="0.25">
      <c r="A659" t="s">
        <v>932</v>
      </c>
      <c r="B659" t="s">
        <v>933</v>
      </c>
      <c r="C659" s="1">
        <v>45026</v>
      </c>
      <c r="D659" t="s">
        <v>30</v>
      </c>
      <c r="E659" t="s">
        <v>38</v>
      </c>
      <c r="F659">
        <v>75</v>
      </c>
      <c r="G659" t="s">
        <v>541</v>
      </c>
      <c r="H659">
        <v>1</v>
      </c>
      <c r="I659">
        <v>8.94</v>
      </c>
      <c r="J659" t="s">
        <v>25</v>
      </c>
      <c r="K659" t="s">
        <v>41</v>
      </c>
      <c r="L659" s="3">
        <v>45026</v>
      </c>
      <c r="M659" t="s">
        <v>34</v>
      </c>
      <c r="N659">
        <v>75</v>
      </c>
    </row>
    <row r="660" spans="1:14" x14ac:dyDescent="0.25">
      <c r="A660" t="s">
        <v>2097</v>
      </c>
      <c r="B660" t="s">
        <v>1157</v>
      </c>
      <c r="C660" t="s">
        <v>634</v>
      </c>
      <c r="D660" t="s">
        <v>51</v>
      </c>
      <c r="E660" t="s">
        <v>38</v>
      </c>
      <c r="F660">
        <v>19</v>
      </c>
      <c r="G660" t="s">
        <v>26</v>
      </c>
      <c r="H660">
        <v>3</v>
      </c>
      <c r="I660" s="2">
        <v>61.9</v>
      </c>
      <c r="J660" t="s">
        <v>2098</v>
      </c>
      <c r="K660" t="s">
        <v>19</v>
      </c>
      <c r="L660" s="3">
        <v>45119</v>
      </c>
      <c r="M660" t="s">
        <v>34</v>
      </c>
      <c r="N660">
        <v>19</v>
      </c>
    </row>
    <row r="661" spans="1:14" x14ac:dyDescent="0.25">
      <c r="A661" t="s">
        <v>2099</v>
      </c>
      <c r="B661" t="s">
        <v>1429</v>
      </c>
      <c r="C661" s="1">
        <v>45074</v>
      </c>
      <c r="D661" t="s">
        <v>24</v>
      </c>
      <c r="E661" t="s">
        <v>60</v>
      </c>
      <c r="F661">
        <v>54</v>
      </c>
      <c r="G661" t="s">
        <v>992</v>
      </c>
      <c r="H661">
        <v>2</v>
      </c>
      <c r="J661" t="s">
        <v>2100</v>
      </c>
      <c r="K661" t="s">
        <v>19</v>
      </c>
      <c r="L661" s="3">
        <v>45074</v>
      </c>
      <c r="M661" t="s">
        <v>48</v>
      </c>
      <c r="N661">
        <v>54</v>
      </c>
    </row>
    <row r="662" spans="1:14" x14ac:dyDescent="0.25">
      <c r="A662" t="s">
        <v>2101</v>
      </c>
      <c r="B662" t="s">
        <v>202</v>
      </c>
      <c r="C662" t="s">
        <v>2102</v>
      </c>
      <c r="D662" t="s">
        <v>129</v>
      </c>
      <c r="E662" t="s">
        <v>34</v>
      </c>
      <c r="F662">
        <v>48</v>
      </c>
      <c r="G662" t="s">
        <v>2103</v>
      </c>
      <c r="H662">
        <v>-3</v>
      </c>
      <c r="I662" s="2">
        <v>-5.29</v>
      </c>
      <c r="J662">
        <v>-1.22</v>
      </c>
      <c r="K662" t="s">
        <v>41</v>
      </c>
      <c r="L662" s="3">
        <v>45491</v>
      </c>
      <c r="M662" t="s">
        <v>34</v>
      </c>
      <c r="N662">
        <v>48</v>
      </c>
    </row>
    <row r="663" spans="1:14" x14ac:dyDescent="0.25">
      <c r="A663" t="s">
        <v>2104</v>
      </c>
      <c r="B663" t="s">
        <v>1199</v>
      </c>
      <c r="C663" t="s">
        <v>2105</v>
      </c>
      <c r="D663" t="s">
        <v>51</v>
      </c>
      <c r="E663" t="s">
        <v>60</v>
      </c>
      <c r="F663" t="s">
        <v>1063</v>
      </c>
      <c r="G663" t="s">
        <v>2106</v>
      </c>
      <c r="H663">
        <v>3</v>
      </c>
      <c r="I663">
        <v>144.66</v>
      </c>
      <c r="J663">
        <v>74.61</v>
      </c>
      <c r="K663" t="s">
        <v>41</v>
      </c>
      <c r="L663" s="3">
        <v>45040</v>
      </c>
      <c r="M663" t="s">
        <v>48</v>
      </c>
      <c r="N663">
        <v>18</v>
      </c>
    </row>
    <row r="664" spans="1:14" x14ac:dyDescent="0.25">
      <c r="A664" t="s">
        <v>296</v>
      </c>
      <c r="B664" t="s">
        <v>2107</v>
      </c>
      <c r="C664" t="s">
        <v>298</v>
      </c>
      <c r="D664" t="s">
        <v>129</v>
      </c>
      <c r="E664" t="s">
        <v>2108</v>
      </c>
      <c r="F664">
        <v>27</v>
      </c>
      <c r="G664" t="s">
        <v>2109</v>
      </c>
      <c r="H664">
        <v>1</v>
      </c>
      <c r="I664">
        <v>4.2</v>
      </c>
      <c r="J664" s="2">
        <v>1.27</v>
      </c>
      <c r="K664" t="s">
        <v>41</v>
      </c>
      <c r="L664" s="3">
        <v>45510</v>
      </c>
      <c r="M664" t="s">
        <v>20</v>
      </c>
      <c r="N664">
        <v>27</v>
      </c>
    </row>
    <row r="665" spans="1:14" x14ac:dyDescent="0.25">
      <c r="A665" t="s">
        <v>2110</v>
      </c>
      <c r="B665" t="s">
        <v>1687</v>
      </c>
      <c r="C665" t="s">
        <v>2111</v>
      </c>
      <c r="D665" t="s">
        <v>51</v>
      </c>
      <c r="E665" t="s">
        <v>38</v>
      </c>
      <c r="F665">
        <v>50</v>
      </c>
      <c r="G665" t="s">
        <v>2112</v>
      </c>
      <c r="H665">
        <v>1</v>
      </c>
      <c r="I665" t="s">
        <v>2113</v>
      </c>
      <c r="J665" t="s">
        <v>2114</v>
      </c>
      <c r="K665" t="s">
        <v>41</v>
      </c>
      <c r="L665" s="3">
        <v>45368</v>
      </c>
      <c r="M665" t="s">
        <v>34</v>
      </c>
      <c r="N665">
        <v>50</v>
      </c>
    </row>
    <row r="666" spans="1:14" x14ac:dyDescent="0.25">
      <c r="A666" t="s">
        <v>2115</v>
      </c>
      <c r="B666" t="s">
        <v>1542</v>
      </c>
      <c r="C666" t="s">
        <v>2116</v>
      </c>
      <c r="D666" t="s">
        <v>16</v>
      </c>
      <c r="E666" t="s">
        <v>48</v>
      </c>
      <c r="F666">
        <v>69</v>
      </c>
      <c r="G666" t="s">
        <v>2117</v>
      </c>
      <c r="H666">
        <v>4</v>
      </c>
      <c r="I666">
        <v>57.93</v>
      </c>
      <c r="J666" s="2">
        <v>18.09</v>
      </c>
      <c r="K666" t="s">
        <v>19</v>
      </c>
      <c r="L666" s="3">
        <v>45229</v>
      </c>
      <c r="M666" t="s">
        <v>48</v>
      </c>
      <c r="N666">
        <v>69</v>
      </c>
    </row>
    <row r="667" spans="1:14" x14ac:dyDescent="0.25">
      <c r="A667" t="s">
        <v>2118</v>
      </c>
      <c r="B667" t="s">
        <v>944</v>
      </c>
      <c r="C667" t="s">
        <v>2119</v>
      </c>
      <c r="D667" t="s">
        <v>30</v>
      </c>
      <c r="E667" t="s">
        <v>65</v>
      </c>
      <c r="F667">
        <v>64</v>
      </c>
      <c r="G667" t="s">
        <v>2120</v>
      </c>
      <c r="H667">
        <v>2</v>
      </c>
      <c r="I667">
        <v>19.8</v>
      </c>
      <c r="J667">
        <v>7.57</v>
      </c>
      <c r="K667" t="s">
        <v>41</v>
      </c>
      <c r="L667" s="3">
        <v>45589</v>
      </c>
      <c r="M667" t="s">
        <v>48</v>
      </c>
      <c r="N667">
        <v>64</v>
      </c>
    </row>
    <row r="668" spans="1:14" x14ac:dyDescent="0.25">
      <c r="A668" t="s">
        <v>2121</v>
      </c>
      <c r="B668" t="s">
        <v>763</v>
      </c>
      <c r="C668" t="s">
        <v>2122</v>
      </c>
      <c r="D668" t="s">
        <v>129</v>
      </c>
      <c r="F668">
        <v>20</v>
      </c>
      <c r="G668" t="s">
        <v>2123</v>
      </c>
      <c r="H668">
        <v>2</v>
      </c>
      <c r="I668">
        <v>17.38</v>
      </c>
      <c r="J668" s="2">
        <v>8.1300000000000008</v>
      </c>
      <c r="K668" t="s">
        <v>41</v>
      </c>
      <c r="L668" s="3">
        <v>45436</v>
      </c>
      <c r="M668" t="s">
        <v>20</v>
      </c>
      <c r="N668">
        <v>20</v>
      </c>
    </row>
    <row r="669" spans="1:14" x14ac:dyDescent="0.25">
      <c r="A669" t="s">
        <v>2124</v>
      </c>
      <c r="B669" t="s">
        <v>160</v>
      </c>
      <c r="C669" t="s">
        <v>2125</v>
      </c>
      <c r="D669" t="s">
        <v>51</v>
      </c>
      <c r="E669" t="s">
        <v>48</v>
      </c>
      <c r="F669">
        <v>62</v>
      </c>
      <c r="G669" t="s">
        <v>2126</v>
      </c>
      <c r="H669">
        <v>1</v>
      </c>
      <c r="I669">
        <v>55.73</v>
      </c>
      <c r="J669">
        <v>31.78</v>
      </c>
      <c r="K669" t="s">
        <v>41</v>
      </c>
      <c r="L669" s="3">
        <v>45294</v>
      </c>
      <c r="M669" t="s">
        <v>48</v>
      </c>
      <c r="N669">
        <v>62</v>
      </c>
    </row>
    <row r="670" spans="1:14" x14ac:dyDescent="0.25">
      <c r="A670" t="s">
        <v>2127</v>
      </c>
      <c r="B670" t="s">
        <v>1873</v>
      </c>
      <c r="C670" t="s">
        <v>2128</v>
      </c>
      <c r="D670" t="s">
        <v>129</v>
      </c>
      <c r="E670" t="s">
        <v>85</v>
      </c>
      <c r="F670">
        <v>49</v>
      </c>
      <c r="G670" t="s">
        <v>2129</v>
      </c>
      <c r="H670">
        <v>1</v>
      </c>
      <c r="I670">
        <v>3.6</v>
      </c>
      <c r="J670" t="s">
        <v>2130</v>
      </c>
      <c r="K670" t="s">
        <v>41</v>
      </c>
      <c r="L670" s="3">
        <v>45554</v>
      </c>
      <c r="M670" t="s">
        <v>34</v>
      </c>
      <c r="N670">
        <v>49</v>
      </c>
    </row>
    <row r="671" spans="1:14" x14ac:dyDescent="0.25">
      <c r="A671" t="s">
        <v>2131</v>
      </c>
      <c r="B671" t="s">
        <v>2132</v>
      </c>
      <c r="C671" t="s">
        <v>2133</v>
      </c>
      <c r="D671" t="s">
        <v>129</v>
      </c>
      <c r="E671" t="s">
        <v>38</v>
      </c>
      <c r="F671">
        <v>24</v>
      </c>
      <c r="G671" t="s">
        <v>1612</v>
      </c>
      <c r="H671">
        <v>1</v>
      </c>
      <c r="I671">
        <v>11.73</v>
      </c>
      <c r="J671">
        <v>7.34</v>
      </c>
      <c r="K671" t="s">
        <v>19</v>
      </c>
      <c r="L671" s="3">
        <v>45006</v>
      </c>
      <c r="M671" t="s">
        <v>34</v>
      </c>
      <c r="N671">
        <v>24</v>
      </c>
    </row>
    <row r="672" spans="1:14" x14ac:dyDescent="0.25">
      <c r="A672" t="s">
        <v>2134</v>
      </c>
      <c r="B672" t="s">
        <v>2135</v>
      </c>
      <c r="C672" t="s">
        <v>2136</v>
      </c>
      <c r="D672" t="s">
        <v>129</v>
      </c>
      <c r="E672" t="s">
        <v>85</v>
      </c>
      <c r="F672" t="s">
        <v>75</v>
      </c>
      <c r="G672" t="s">
        <v>2137</v>
      </c>
      <c r="H672">
        <v>3</v>
      </c>
      <c r="I672">
        <v>45.22</v>
      </c>
      <c r="J672">
        <v>15.49</v>
      </c>
      <c r="K672" t="s">
        <v>19</v>
      </c>
      <c r="L672" s="3">
        <v>45291</v>
      </c>
      <c r="M672" t="s">
        <v>34</v>
      </c>
      <c r="N672">
        <v>20</v>
      </c>
    </row>
    <row r="673" spans="1:14" x14ac:dyDescent="0.25">
      <c r="A673" t="s">
        <v>2138</v>
      </c>
      <c r="B673" t="s">
        <v>1869</v>
      </c>
      <c r="C673" t="s">
        <v>2139</v>
      </c>
      <c r="D673" t="s">
        <v>24</v>
      </c>
      <c r="E673" t="s">
        <v>48</v>
      </c>
      <c r="F673" t="s">
        <v>173</v>
      </c>
      <c r="G673" t="s">
        <v>2140</v>
      </c>
      <c r="H673">
        <v>1</v>
      </c>
      <c r="I673">
        <v>14.38</v>
      </c>
      <c r="J673" t="s">
        <v>2141</v>
      </c>
      <c r="K673" t="s">
        <v>19</v>
      </c>
      <c r="L673" s="3">
        <v>45217</v>
      </c>
      <c r="M673" t="s">
        <v>48</v>
      </c>
      <c r="N673">
        <v>30</v>
      </c>
    </row>
    <row r="674" spans="1:14" x14ac:dyDescent="0.25">
      <c r="A674" t="s">
        <v>2142</v>
      </c>
      <c r="B674" t="s">
        <v>1653</v>
      </c>
      <c r="C674" t="s">
        <v>2143</v>
      </c>
      <c r="D674" t="s">
        <v>16</v>
      </c>
      <c r="E674" t="s">
        <v>34</v>
      </c>
      <c r="F674">
        <v>33</v>
      </c>
      <c r="G674" t="s">
        <v>2144</v>
      </c>
      <c r="H674">
        <v>1</v>
      </c>
      <c r="I674" t="s">
        <v>2145</v>
      </c>
      <c r="J674" t="s">
        <v>2146</v>
      </c>
      <c r="K674" t="s">
        <v>41</v>
      </c>
      <c r="L674" s="3">
        <v>45607</v>
      </c>
      <c r="M674" t="s">
        <v>34</v>
      </c>
      <c r="N674">
        <v>33</v>
      </c>
    </row>
    <row r="675" spans="1:14" x14ac:dyDescent="0.25">
      <c r="A675" t="s">
        <v>2147</v>
      </c>
      <c r="B675" t="s">
        <v>234</v>
      </c>
      <c r="C675" s="1">
        <v>45079</v>
      </c>
      <c r="D675" t="s">
        <v>24</v>
      </c>
      <c r="E675" t="s">
        <v>48</v>
      </c>
      <c r="F675">
        <v>34</v>
      </c>
      <c r="G675" t="s">
        <v>2148</v>
      </c>
      <c r="H675">
        <v>1</v>
      </c>
      <c r="I675">
        <v>14.47</v>
      </c>
      <c r="J675" t="s">
        <v>2149</v>
      </c>
      <c r="K675" t="s">
        <v>19</v>
      </c>
      <c r="L675" s="3">
        <v>45079</v>
      </c>
      <c r="M675" t="s">
        <v>48</v>
      </c>
      <c r="N675">
        <v>34</v>
      </c>
    </row>
    <row r="676" spans="1:14" x14ac:dyDescent="0.25">
      <c r="A676" t="s">
        <v>2150</v>
      </c>
      <c r="B676" t="s">
        <v>803</v>
      </c>
      <c r="C676" s="1">
        <v>45090</v>
      </c>
      <c r="D676" t="s">
        <v>24</v>
      </c>
      <c r="E676" t="s">
        <v>85</v>
      </c>
      <c r="F676">
        <v>40</v>
      </c>
      <c r="G676" t="s">
        <v>1881</v>
      </c>
      <c r="H676">
        <v>1</v>
      </c>
      <c r="I676" t="s">
        <v>2151</v>
      </c>
      <c r="J676" s="2">
        <v>14.7</v>
      </c>
      <c r="K676" t="s">
        <v>19</v>
      </c>
      <c r="L676" s="3">
        <v>45090</v>
      </c>
      <c r="M676" t="s">
        <v>34</v>
      </c>
      <c r="N676">
        <v>40</v>
      </c>
    </row>
    <row r="677" spans="1:14" x14ac:dyDescent="0.25">
      <c r="A677" t="s">
        <v>2152</v>
      </c>
      <c r="B677" t="s">
        <v>619</v>
      </c>
      <c r="C677" s="3">
        <v>45035</v>
      </c>
      <c r="D677" t="s">
        <v>30</v>
      </c>
      <c r="E677" t="s">
        <v>31</v>
      </c>
      <c r="F677">
        <v>39</v>
      </c>
      <c r="G677" t="s">
        <v>1863</v>
      </c>
      <c r="H677">
        <v>2</v>
      </c>
      <c r="I677">
        <v>50.61</v>
      </c>
      <c r="J677" s="2">
        <v>21.9</v>
      </c>
      <c r="K677" t="s">
        <v>19</v>
      </c>
      <c r="L677" s="3">
        <v>45035</v>
      </c>
      <c r="M677" t="s">
        <v>34</v>
      </c>
      <c r="N677">
        <v>39</v>
      </c>
    </row>
    <row r="678" spans="1:14" x14ac:dyDescent="0.25">
      <c r="A678" t="s">
        <v>2153</v>
      </c>
      <c r="B678" t="s">
        <v>882</v>
      </c>
      <c r="C678" s="3">
        <v>45026</v>
      </c>
      <c r="D678" t="s">
        <v>51</v>
      </c>
      <c r="E678" t="s">
        <v>34</v>
      </c>
      <c r="F678">
        <v>72</v>
      </c>
      <c r="G678" t="s">
        <v>2154</v>
      </c>
      <c r="H678">
        <v>2</v>
      </c>
      <c r="I678" t="s">
        <v>2155</v>
      </c>
      <c r="J678" t="s">
        <v>2156</v>
      </c>
      <c r="K678" t="s">
        <v>19</v>
      </c>
      <c r="L678" s="3">
        <v>45026</v>
      </c>
      <c r="M678" t="s">
        <v>34</v>
      </c>
      <c r="N678">
        <v>72</v>
      </c>
    </row>
    <row r="679" spans="1:14" x14ac:dyDescent="0.25">
      <c r="A679" t="s">
        <v>2157</v>
      </c>
      <c r="B679" t="s">
        <v>390</v>
      </c>
      <c r="C679" s="1">
        <v>45202</v>
      </c>
      <c r="D679" t="s">
        <v>129</v>
      </c>
      <c r="E679" t="s">
        <v>60</v>
      </c>
      <c r="F679">
        <v>59</v>
      </c>
      <c r="G679" t="s">
        <v>2158</v>
      </c>
      <c r="H679">
        <v>1</v>
      </c>
      <c r="I679">
        <v>13.4</v>
      </c>
      <c r="J679" t="s">
        <v>2159</v>
      </c>
      <c r="K679" t="s">
        <v>19</v>
      </c>
      <c r="L679" s="3">
        <v>45202</v>
      </c>
      <c r="M679" t="s">
        <v>48</v>
      </c>
      <c r="N679">
        <v>59</v>
      </c>
    </row>
    <row r="680" spans="1:14" x14ac:dyDescent="0.25">
      <c r="A680" t="s">
        <v>2160</v>
      </c>
      <c r="B680" t="s">
        <v>1777</v>
      </c>
      <c r="C680" s="1">
        <v>45433</v>
      </c>
      <c r="D680" t="s">
        <v>51</v>
      </c>
      <c r="E680" t="s">
        <v>65</v>
      </c>
      <c r="F680">
        <v>25</v>
      </c>
      <c r="G680" t="s">
        <v>2161</v>
      </c>
      <c r="H680">
        <v>1</v>
      </c>
      <c r="I680">
        <v>14.81</v>
      </c>
      <c r="J680" t="s">
        <v>2162</v>
      </c>
      <c r="K680" t="s">
        <v>19</v>
      </c>
      <c r="L680" s="3">
        <v>45433</v>
      </c>
      <c r="M680" t="s">
        <v>48</v>
      </c>
      <c r="N680">
        <v>25</v>
      </c>
    </row>
    <row r="681" spans="1:14" x14ac:dyDescent="0.25">
      <c r="A681" t="s">
        <v>2163</v>
      </c>
      <c r="B681" t="s">
        <v>981</v>
      </c>
      <c r="C681" s="3">
        <v>45020</v>
      </c>
      <c r="D681" t="s">
        <v>129</v>
      </c>
      <c r="E681" t="s">
        <v>45</v>
      </c>
      <c r="F681">
        <v>69</v>
      </c>
      <c r="G681" t="s">
        <v>568</v>
      </c>
      <c r="H681">
        <v>2</v>
      </c>
      <c r="I681">
        <v>31.82</v>
      </c>
      <c r="J681">
        <v>12.07</v>
      </c>
      <c r="K681" t="s">
        <v>19</v>
      </c>
      <c r="L681" s="3">
        <v>45020</v>
      </c>
      <c r="M681" t="s">
        <v>48</v>
      </c>
      <c r="N681">
        <v>69</v>
      </c>
    </row>
    <row r="682" spans="1:14" x14ac:dyDescent="0.25">
      <c r="A682" t="s">
        <v>2164</v>
      </c>
      <c r="B682" t="s">
        <v>2165</v>
      </c>
      <c r="C682" t="s">
        <v>2166</v>
      </c>
      <c r="D682" t="s">
        <v>24</v>
      </c>
      <c r="E682" t="s">
        <v>65</v>
      </c>
      <c r="F682">
        <v>59</v>
      </c>
      <c r="G682" t="s">
        <v>2167</v>
      </c>
      <c r="H682">
        <v>1</v>
      </c>
      <c r="I682" s="2">
        <v>10.44</v>
      </c>
      <c r="J682">
        <v>5.86</v>
      </c>
      <c r="K682" t="s">
        <v>41</v>
      </c>
      <c r="L682" s="3">
        <v>45055</v>
      </c>
      <c r="M682" t="s">
        <v>48</v>
      </c>
      <c r="N682">
        <v>59</v>
      </c>
    </row>
    <row r="683" spans="1:14" x14ac:dyDescent="0.25">
      <c r="A683" t="s">
        <v>2168</v>
      </c>
      <c r="B683" t="s">
        <v>924</v>
      </c>
      <c r="C683" s="3">
        <v>45350</v>
      </c>
      <c r="D683" t="s">
        <v>30</v>
      </c>
      <c r="E683" t="s">
        <v>31</v>
      </c>
      <c r="F683">
        <v>25</v>
      </c>
      <c r="G683" t="s">
        <v>810</v>
      </c>
      <c r="H683">
        <v>2</v>
      </c>
      <c r="I683">
        <v>42.37</v>
      </c>
      <c r="J683">
        <v>10.42</v>
      </c>
      <c r="K683" t="s">
        <v>41</v>
      </c>
      <c r="L683" s="3">
        <v>45350</v>
      </c>
      <c r="M683" t="s">
        <v>34</v>
      </c>
      <c r="N683">
        <v>25</v>
      </c>
    </row>
    <row r="684" spans="1:14" x14ac:dyDescent="0.25">
      <c r="A684" t="s">
        <v>2169</v>
      </c>
      <c r="B684" t="s">
        <v>457</v>
      </c>
      <c r="C684" t="s">
        <v>2170</v>
      </c>
      <c r="D684" t="s">
        <v>30</v>
      </c>
      <c r="E684" t="s">
        <v>60</v>
      </c>
      <c r="F684">
        <v>72</v>
      </c>
      <c r="G684" t="s">
        <v>1689</v>
      </c>
      <c r="H684">
        <v>2</v>
      </c>
      <c r="I684">
        <v>60.72</v>
      </c>
      <c r="J684" t="s">
        <v>2171</v>
      </c>
      <c r="K684" t="s">
        <v>41</v>
      </c>
      <c r="L684" s="3">
        <v>45527</v>
      </c>
      <c r="M684" t="s">
        <v>48</v>
      </c>
      <c r="N684">
        <v>72</v>
      </c>
    </row>
    <row r="685" spans="1:14" x14ac:dyDescent="0.25">
      <c r="A685" t="s">
        <v>2172</v>
      </c>
      <c r="B685" t="s">
        <v>924</v>
      </c>
      <c r="C685" t="s">
        <v>2173</v>
      </c>
      <c r="D685" t="s">
        <v>129</v>
      </c>
      <c r="E685" t="s">
        <v>45</v>
      </c>
      <c r="F685" t="s">
        <v>1063</v>
      </c>
      <c r="G685" t="s">
        <v>2174</v>
      </c>
      <c r="H685">
        <v>1</v>
      </c>
      <c r="I685" s="2">
        <v>3.56</v>
      </c>
      <c r="J685">
        <v>2.37</v>
      </c>
      <c r="K685" t="s">
        <v>19</v>
      </c>
      <c r="L685" s="3">
        <v>45313</v>
      </c>
      <c r="M685" t="s">
        <v>48</v>
      </c>
      <c r="N685">
        <v>18</v>
      </c>
    </row>
    <row r="686" spans="1:14" x14ac:dyDescent="0.25">
      <c r="A686" t="s">
        <v>2175</v>
      </c>
      <c r="B686" t="s">
        <v>370</v>
      </c>
      <c r="C686" t="s">
        <v>2176</v>
      </c>
      <c r="D686" t="s">
        <v>129</v>
      </c>
      <c r="F686">
        <v>67</v>
      </c>
      <c r="G686" t="s">
        <v>2177</v>
      </c>
      <c r="H686">
        <v>2</v>
      </c>
      <c r="I686">
        <v>31.93</v>
      </c>
      <c r="J686">
        <v>11.91</v>
      </c>
      <c r="K686" t="s">
        <v>19</v>
      </c>
      <c r="L686" s="3">
        <v>45327</v>
      </c>
      <c r="M686" t="s">
        <v>20</v>
      </c>
      <c r="N686">
        <v>67</v>
      </c>
    </row>
    <row r="687" spans="1:14" x14ac:dyDescent="0.25">
      <c r="A687" t="s">
        <v>2178</v>
      </c>
      <c r="B687" t="s">
        <v>551</v>
      </c>
      <c r="C687" s="1">
        <v>45434</v>
      </c>
      <c r="D687" t="s">
        <v>30</v>
      </c>
      <c r="E687" t="s">
        <v>31</v>
      </c>
      <c r="F687">
        <v>32</v>
      </c>
      <c r="G687" t="s">
        <v>595</v>
      </c>
      <c r="H687">
        <v>1</v>
      </c>
      <c r="I687" s="2">
        <v>25.41</v>
      </c>
      <c r="J687">
        <v>8.3800000000000008</v>
      </c>
      <c r="K687" t="s">
        <v>41</v>
      </c>
      <c r="L687" s="3">
        <v>45434</v>
      </c>
      <c r="M687" t="s">
        <v>34</v>
      </c>
      <c r="N687">
        <v>32</v>
      </c>
    </row>
    <row r="688" spans="1:14" x14ac:dyDescent="0.25">
      <c r="A688" t="s">
        <v>2179</v>
      </c>
      <c r="B688" t="s">
        <v>490</v>
      </c>
      <c r="C688" s="3">
        <v>45596</v>
      </c>
      <c r="D688" t="s">
        <v>51</v>
      </c>
      <c r="E688" t="s">
        <v>45</v>
      </c>
      <c r="F688">
        <v>41</v>
      </c>
      <c r="G688" t="s">
        <v>2180</v>
      </c>
      <c r="H688">
        <v>-1</v>
      </c>
      <c r="I688" t="s">
        <v>2181</v>
      </c>
      <c r="J688" s="2">
        <v>-6.66</v>
      </c>
      <c r="K688" t="s">
        <v>41</v>
      </c>
      <c r="L688" s="3">
        <v>45596</v>
      </c>
      <c r="M688" t="s">
        <v>48</v>
      </c>
      <c r="N688">
        <v>41</v>
      </c>
    </row>
    <row r="689" spans="1:14" x14ac:dyDescent="0.25">
      <c r="A689" t="s">
        <v>142</v>
      </c>
      <c r="B689" t="s">
        <v>143</v>
      </c>
      <c r="C689" t="s">
        <v>144</v>
      </c>
      <c r="D689" t="s">
        <v>16</v>
      </c>
      <c r="E689" t="s">
        <v>38</v>
      </c>
      <c r="F689">
        <v>46</v>
      </c>
      <c r="G689" t="s">
        <v>145</v>
      </c>
      <c r="H689">
        <v>3</v>
      </c>
      <c r="I689">
        <v>48.76</v>
      </c>
      <c r="J689">
        <v>27.2</v>
      </c>
      <c r="K689" t="s">
        <v>41</v>
      </c>
      <c r="L689" s="3">
        <v>45621</v>
      </c>
      <c r="M689" t="s">
        <v>34</v>
      </c>
      <c r="N689">
        <v>46</v>
      </c>
    </row>
    <row r="690" spans="1:14" x14ac:dyDescent="0.25">
      <c r="A690" t="s">
        <v>2182</v>
      </c>
      <c r="B690" t="s">
        <v>422</v>
      </c>
      <c r="C690" s="1">
        <v>45484</v>
      </c>
      <c r="D690" t="s">
        <v>16</v>
      </c>
      <c r="E690" t="s">
        <v>60</v>
      </c>
      <c r="F690">
        <v>30</v>
      </c>
      <c r="G690" t="s">
        <v>368</v>
      </c>
      <c r="H690">
        <v>2</v>
      </c>
      <c r="I690">
        <v>41.86</v>
      </c>
      <c r="J690">
        <v>16.809999999999999</v>
      </c>
      <c r="K690" t="s">
        <v>41</v>
      </c>
      <c r="L690" s="3">
        <v>45484</v>
      </c>
      <c r="M690" t="s">
        <v>48</v>
      </c>
      <c r="N690">
        <v>30</v>
      </c>
    </row>
    <row r="691" spans="1:14" x14ac:dyDescent="0.25">
      <c r="A691" t="s">
        <v>2183</v>
      </c>
      <c r="B691" t="s">
        <v>483</v>
      </c>
      <c r="C691" s="1">
        <v>45610</v>
      </c>
      <c r="D691" t="s">
        <v>129</v>
      </c>
      <c r="E691" t="s">
        <v>38</v>
      </c>
      <c r="F691">
        <v>54</v>
      </c>
      <c r="G691" t="s">
        <v>2184</v>
      </c>
      <c r="H691">
        <v>1</v>
      </c>
      <c r="I691">
        <v>27.49</v>
      </c>
      <c r="J691">
        <v>12.73</v>
      </c>
      <c r="K691" t="s">
        <v>19</v>
      </c>
      <c r="L691" s="3">
        <v>45610</v>
      </c>
      <c r="M691" t="s">
        <v>34</v>
      </c>
      <c r="N691">
        <v>54</v>
      </c>
    </row>
    <row r="692" spans="1:14" x14ac:dyDescent="0.25">
      <c r="A692" t="s">
        <v>2185</v>
      </c>
      <c r="B692" t="s">
        <v>1736</v>
      </c>
      <c r="C692" t="s">
        <v>2186</v>
      </c>
      <c r="D692" t="s">
        <v>30</v>
      </c>
      <c r="E692" t="s">
        <v>65</v>
      </c>
      <c r="F692">
        <v>30</v>
      </c>
      <c r="G692" t="s">
        <v>86</v>
      </c>
      <c r="H692">
        <v>1</v>
      </c>
      <c r="I692">
        <v>16.7</v>
      </c>
      <c r="J692" t="s">
        <v>2187</v>
      </c>
      <c r="K692" t="s">
        <v>19</v>
      </c>
      <c r="L692" s="3">
        <v>44932</v>
      </c>
      <c r="M692" t="s">
        <v>48</v>
      </c>
      <c r="N692">
        <v>30</v>
      </c>
    </row>
    <row r="693" spans="1:14" x14ac:dyDescent="0.25">
      <c r="A693" t="s">
        <v>2188</v>
      </c>
      <c r="B693" t="s">
        <v>625</v>
      </c>
      <c r="C693" s="1">
        <v>45134</v>
      </c>
      <c r="D693" t="s">
        <v>24</v>
      </c>
      <c r="E693" t="s">
        <v>70</v>
      </c>
      <c r="F693">
        <v>25</v>
      </c>
      <c r="G693" t="s">
        <v>1843</v>
      </c>
      <c r="H693">
        <v>1</v>
      </c>
      <c r="I693">
        <v>12.68</v>
      </c>
      <c r="J693">
        <v>5.72</v>
      </c>
      <c r="K693" t="s">
        <v>19</v>
      </c>
      <c r="L693" s="3">
        <v>45134</v>
      </c>
      <c r="M693" t="s">
        <v>20</v>
      </c>
      <c r="N693">
        <v>25</v>
      </c>
    </row>
    <row r="694" spans="1:14" x14ac:dyDescent="0.25">
      <c r="A694" t="s">
        <v>2189</v>
      </c>
      <c r="B694" t="s">
        <v>301</v>
      </c>
      <c r="C694" s="3">
        <v>44985</v>
      </c>
      <c r="D694" t="s">
        <v>24</v>
      </c>
      <c r="E694" t="s">
        <v>38</v>
      </c>
      <c r="F694">
        <v>57</v>
      </c>
      <c r="G694" t="s">
        <v>2190</v>
      </c>
      <c r="H694">
        <v>1</v>
      </c>
      <c r="I694">
        <v>32.21</v>
      </c>
      <c r="J694">
        <v>9.84</v>
      </c>
      <c r="K694" t="s">
        <v>41</v>
      </c>
      <c r="L694" s="3">
        <v>44985</v>
      </c>
      <c r="M694" t="s">
        <v>34</v>
      </c>
      <c r="N694">
        <v>57</v>
      </c>
    </row>
    <row r="695" spans="1:14" x14ac:dyDescent="0.25">
      <c r="A695" t="s">
        <v>2191</v>
      </c>
      <c r="B695" t="s">
        <v>2192</v>
      </c>
      <c r="C695" s="1">
        <v>45549</v>
      </c>
      <c r="D695" t="s">
        <v>24</v>
      </c>
      <c r="E695" t="s">
        <v>25</v>
      </c>
      <c r="F695">
        <v>35</v>
      </c>
      <c r="G695" t="s">
        <v>901</v>
      </c>
      <c r="H695">
        <v>1</v>
      </c>
      <c r="I695">
        <v>24.23</v>
      </c>
      <c r="J695" t="s">
        <v>2193</v>
      </c>
      <c r="K695" t="s">
        <v>19</v>
      </c>
      <c r="L695" s="3">
        <v>45549</v>
      </c>
      <c r="M695" t="s">
        <v>20</v>
      </c>
      <c r="N695">
        <v>35</v>
      </c>
    </row>
    <row r="696" spans="1:14" x14ac:dyDescent="0.25">
      <c r="A696" t="s">
        <v>2194</v>
      </c>
      <c r="B696" t="s">
        <v>763</v>
      </c>
      <c r="C696" s="3">
        <v>45583</v>
      </c>
      <c r="D696" t="s">
        <v>129</v>
      </c>
      <c r="E696" t="s">
        <v>85</v>
      </c>
      <c r="F696">
        <v>16</v>
      </c>
      <c r="G696" t="s">
        <v>1650</v>
      </c>
      <c r="H696">
        <v>2</v>
      </c>
      <c r="I696" s="2">
        <v>24.21</v>
      </c>
      <c r="J696">
        <v>9.7799999999999994</v>
      </c>
      <c r="K696" t="s">
        <v>19</v>
      </c>
      <c r="L696" s="3">
        <v>45583</v>
      </c>
      <c r="M696" t="s">
        <v>34</v>
      </c>
      <c r="N696">
        <v>16</v>
      </c>
    </row>
    <row r="697" spans="1:14" x14ac:dyDescent="0.25">
      <c r="A697" t="s">
        <v>2195</v>
      </c>
      <c r="B697" t="s">
        <v>589</v>
      </c>
      <c r="C697" t="s">
        <v>2196</v>
      </c>
      <c r="D697" t="s">
        <v>30</v>
      </c>
      <c r="E697" t="s">
        <v>48</v>
      </c>
      <c r="F697">
        <v>26</v>
      </c>
      <c r="G697" t="s">
        <v>2197</v>
      </c>
      <c r="H697">
        <v>2</v>
      </c>
      <c r="I697" s="2">
        <v>82.16</v>
      </c>
      <c r="J697">
        <v>44.61</v>
      </c>
      <c r="K697" t="s">
        <v>19</v>
      </c>
      <c r="L697" s="3">
        <v>45474</v>
      </c>
      <c r="M697" t="s">
        <v>48</v>
      </c>
      <c r="N697">
        <v>26</v>
      </c>
    </row>
    <row r="698" spans="1:14" x14ac:dyDescent="0.25">
      <c r="A698" t="s">
        <v>2198</v>
      </c>
      <c r="B698" t="s">
        <v>2199</v>
      </c>
      <c r="C698" t="s">
        <v>2200</v>
      </c>
      <c r="D698" t="s">
        <v>51</v>
      </c>
      <c r="E698" t="s">
        <v>31</v>
      </c>
      <c r="F698">
        <v>56</v>
      </c>
      <c r="G698" t="s">
        <v>2201</v>
      </c>
      <c r="H698">
        <v>1</v>
      </c>
      <c r="I698" s="2">
        <v>24.68</v>
      </c>
      <c r="J698">
        <v>10.89</v>
      </c>
      <c r="K698" t="s">
        <v>19</v>
      </c>
      <c r="L698" s="3">
        <v>45032</v>
      </c>
      <c r="M698" t="s">
        <v>34</v>
      </c>
      <c r="N698">
        <v>56</v>
      </c>
    </row>
    <row r="699" spans="1:14" x14ac:dyDescent="0.25">
      <c r="A699" t="s">
        <v>2202</v>
      </c>
      <c r="B699" t="s">
        <v>1986</v>
      </c>
      <c r="C699" t="s">
        <v>2203</v>
      </c>
      <c r="D699" t="s">
        <v>51</v>
      </c>
      <c r="E699" t="s">
        <v>85</v>
      </c>
      <c r="F699" t="s">
        <v>173</v>
      </c>
      <c r="G699" t="s">
        <v>872</v>
      </c>
      <c r="H699">
        <v>2</v>
      </c>
      <c r="I699" t="s">
        <v>2204</v>
      </c>
      <c r="J699" s="2">
        <v>32.47</v>
      </c>
      <c r="K699" t="s">
        <v>19</v>
      </c>
      <c r="L699" s="3">
        <v>45016</v>
      </c>
      <c r="M699" t="s">
        <v>34</v>
      </c>
      <c r="N699">
        <v>30</v>
      </c>
    </row>
    <row r="700" spans="1:14" x14ac:dyDescent="0.25">
      <c r="A700" t="s">
        <v>2205</v>
      </c>
      <c r="B700" t="s">
        <v>370</v>
      </c>
      <c r="C700" s="1">
        <v>45339</v>
      </c>
      <c r="D700" t="s">
        <v>24</v>
      </c>
      <c r="E700" t="s">
        <v>38</v>
      </c>
      <c r="F700">
        <v>54</v>
      </c>
      <c r="G700" t="s">
        <v>2206</v>
      </c>
      <c r="H700">
        <v>3</v>
      </c>
      <c r="I700">
        <v>63.13</v>
      </c>
      <c r="J700">
        <v>17.350000000000001</v>
      </c>
      <c r="K700" t="s">
        <v>41</v>
      </c>
      <c r="L700" s="3">
        <v>45339</v>
      </c>
      <c r="M700" t="s">
        <v>34</v>
      </c>
      <c r="N700">
        <v>54</v>
      </c>
    </row>
    <row r="701" spans="1:14" x14ac:dyDescent="0.25">
      <c r="A701" t="s">
        <v>2207</v>
      </c>
      <c r="B701" t="s">
        <v>110</v>
      </c>
      <c r="C701" t="s">
        <v>2208</v>
      </c>
      <c r="D701" t="s">
        <v>129</v>
      </c>
      <c r="E701" t="s">
        <v>45</v>
      </c>
      <c r="F701">
        <v>28</v>
      </c>
      <c r="G701" t="s">
        <v>2209</v>
      </c>
      <c r="H701">
        <v>1</v>
      </c>
      <c r="I701" s="2">
        <v>12.43</v>
      </c>
      <c r="J701" s="2">
        <v>4.96</v>
      </c>
      <c r="K701" t="s">
        <v>19</v>
      </c>
      <c r="L701" s="3">
        <v>45428</v>
      </c>
      <c r="M701" t="s">
        <v>48</v>
      </c>
      <c r="N701">
        <v>28</v>
      </c>
    </row>
    <row r="702" spans="1:14" x14ac:dyDescent="0.25">
      <c r="A702" t="s">
        <v>2210</v>
      </c>
      <c r="B702" t="s">
        <v>2211</v>
      </c>
      <c r="C702" s="3">
        <v>45652</v>
      </c>
      <c r="D702" t="s">
        <v>16</v>
      </c>
      <c r="E702" t="s">
        <v>25</v>
      </c>
      <c r="F702">
        <v>13</v>
      </c>
      <c r="G702" t="s">
        <v>2212</v>
      </c>
      <c r="H702">
        <v>1</v>
      </c>
      <c r="I702">
        <v>31.82</v>
      </c>
      <c r="J702">
        <v>10.68</v>
      </c>
      <c r="K702" t="s">
        <v>41</v>
      </c>
      <c r="L702" s="3">
        <v>45652</v>
      </c>
      <c r="M702" t="s">
        <v>20</v>
      </c>
      <c r="N702">
        <v>13</v>
      </c>
    </row>
    <row r="703" spans="1:14" x14ac:dyDescent="0.25">
      <c r="A703" t="s">
        <v>2213</v>
      </c>
      <c r="B703" t="s">
        <v>2214</v>
      </c>
      <c r="C703" s="1">
        <v>44957</v>
      </c>
      <c r="D703" t="s">
        <v>16</v>
      </c>
      <c r="E703" t="s">
        <v>25</v>
      </c>
      <c r="F703">
        <v>29</v>
      </c>
      <c r="G703" t="s">
        <v>2215</v>
      </c>
      <c r="H703">
        <v>1</v>
      </c>
      <c r="I703">
        <v>34.090000000000003</v>
      </c>
      <c r="J703">
        <v>7.99</v>
      </c>
      <c r="K703" t="s">
        <v>19</v>
      </c>
      <c r="L703" s="3">
        <v>44957</v>
      </c>
      <c r="M703" t="s">
        <v>20</v>
      </c>
      <c r="N703">
        <v>29</v>
      </c>
    </row>
    <row r="704" spans="1:14" x14ac:dyDescent="0.25">
      <c r="A704" t="s">
        <v>2216</v>
      </c>
      <c r="B704" t="s">
        <v>1429</v>
      </c>
      <c r="C704" s="3">
        <v>44937</v>
      </c>
      <c r="D704" t="s">
        <v>129</v>
      </c>
      <c r="E704" t="s">
        <v>31</v>
      </c>
      <c r="F704">
        <v>26</v>
      </c>
      <c r="G704" t="s">
        <v>2217</v>
      </c>
      <c r="H704">
        <v>2</v>
      </c>
      <c r="I704" s="2">
        <v>24.2</v>
      </c>
      <c r="J704">
        <v>9.86</v>
      </c>
      <c r="K704" t="s">
        <v>19</v>
      </c>
      <c r="L704" s="3">
        <v>44937</v>
      </c>
      <c r="M704" t="s">
        <v>34</v>
      </c>
      <c r="N704">
        <v>26</v>
      </c>
    </row>
    <row r="705" spans="1:14" x14ac:dyDescent="0.25">
      <c r="A705" t="s">
        <v>2218</v>
      </c>
      <c r="B705" t="s">
        <v>2219</v>
      </c>
      <c r="C705" s="1">
        <v>45233</v>
      </c>
      <c r="D705" t="s">
        <v>30</v>
      </c>
      <c r="E705" t="s">
        <v>85</v>
      </c>
      <c r="F705">
        <v>72</v>
      </c>
      <c r="G705" t="s">
        <v>1111</v>
      </c>
      <c r="H705">
        <v>1</v>
      </c>
      <c r="I705" t="s">
        <v>2220</v>
      </c>
      <c r="J705">
        <v>22.68</v>
      </c>
      <c r="K705" t="s">
        <v>19</v>
      </c>
      <c r="L705" s="3">
        <v>45233</v>
      </c>
      <c r="M705" t="s">
        <v>34</v>
      </c>
      <c r="N705">
        <v>72</v>
      </c>
    </row>
    <row r="706" spans="1:14" x14ac:dyDescent="0.25">
      <c r="A706" t="s">
        <v>2221</v>
      </c>
      <c r="B706" t="s">
        <v>2222</v>
      </c>
      <c r="C706" t="s">
        <v>1297</v>
      </c>
      <c r="D706" t="s">
        <v>129</v>
      </c>
      <c r="E706" t="s">
        <v>31</v>
      </c>
      <c r="F706">
        <v>29</v>
      </c>
      <c r="G706" t="s">
        <v>2223</v>
      </c>
      <c r="H706">
        <v>1</v>
      </c>
      <c r="I706">
        <v>17.52</v>
      </c>
      <c r="J706">
        <v>6</v>
      </c>
      <c r="K706" t="s">
        <v>19</v>
      </c>
      <c r="L706" s="3">
        <v>45654</v>
      </c>
      <c r="M706" t="s">
        <v>34</v>
      </c>
      <c r="N706">
        <v>29</v>
      </c>
    </row>
    <row r="707" spans="1:14" x14ac:dyDescent="0.25">
      <c r="A707" t="s">
        <v>2224</v>
      </c>
      <c r="B707" t="s">
        <v>1457</v>
      </c>
      <c r="C707" s="1">
        <v>45412</v>
      </c>
      <c r="D707" t="s">
        <v>24</v>
      </c>
      <c r="E707" t="s">
        <v>85</v>
      </c>
      <c r="F707">
        <v>59</v>
      </c>
      <c r="G707" t="s">
        <v>2225</v>
      </c>
      <c r="H707">
        <v>1</v>
      </c>
      <c r="I707">
        <v>4.46</v>
      </c>
      <c r="J707" t="s">
        <v>205</v>
      </c>
      <c r="K707" t="s">
        <v>19</v>
      </c>
      <c r="L707" s="3">
        <v>45412</v>
      </c>
      <c r="M707" t="s">
        <v>34</v>
      </c>
      <c r="N707">
        <v>59</v>
      </c>
    </row>
    <row r="708" spans="1:14" x14ac:dyDescent="0.25">
      <c r="A708" t="s">
        <v>1390</v>
      </c>
      <c r="B708" t="s">
        <v>2226</v>
      </c>
      <c r="C708" s="3">
        <v>44979</v>
      </c>
      <c r="D708" t="s">
        <v>24</v>
      </c>
      <c r="E708" t="s">
        <v>31</v>
      </c>
      <c r="F708">
        <v>27</v>
      </c>
      <c r="G708" t="s">
        <v>1550</v>
      </c>
      <c r="H708">
        <v>2</v>
      </c>
      <c r="I708" t="s">
        <v>1393</v>
      </c>
      <c r="J708" s="2">
        <v>11.17</v>
      </c>
      <c r="K708" t="s">
        <v>19</v>
      </c>
      <c r="L708" s="3">
        <v>44979</v>
      </c>
      <c r="M708" t="s">
        <v>34</v>
      </c>
      <c r="N708">
        <v>27</v>
      </c>
    </row>
    <row r="709" spans="1:14" x14ac:dyDescent="0.25">
      <c r="A709" t="s">
        <v>2227</v>
      </c>
      <c r="B709" t="s">
        <v>487</v>
      </c>
      <c r="C709" s="1">
        <v>45157</v>
      </c>
      <c r="D709" t="s">
        <v>24</v>
      </c>
      <c r="E709" t="s">
        <v>65</v>
      </c>
      <c r="F709">
        <v>20</v>
      </c>
      <c r="G709" t="s">
        <v>2228</v>
      </c>
      <c r="H709">
        <v>1</v>
      </c>
      <c r="I709">
        <v>19.68</v>
      </c>
      <c r="J709">
        <v>8.81</v>
      </c>
      <c r="K709" t="s">
        <v>19</v>
      </c>
      <c r="L709" s="3">
        <v>45157</v>
      </c>
      <c r="M709" t="s">
        <v>48</v>
      </c>
      <c r="N709">
        <v>20</v>
      </c>
    </row>
    <row r="710" spans="1:14" x14ac:dyDescent="0.25">
      <c r="A710" t="s">
        <v>2229</v>
      </c>
      <c r="B710" t="s">
        <v>1074</v>
      </c>
      <c r="C710" t="s">
        <v>2230</v>
      </c>
      <c r="D710" t="s">
        <v>51</v>
      </c>
      <c r="E710" t="s">
        <v>31</v>
      </c>
      <c r="F710">
        <v>19</v>
      </c>
      <c r="G710" t="s">
        <v>2231</v>
      </c>
      <c r="H710">
        <v>1</v>
      </c>
      <c r="I710" t="s">
        <v>2232</v>
      </c>
      <c r="J710">
        <v>11.27</v>
      </c>
      <c r="K710" t="s">
        <v>41</v>
      </c>
      <c r="L710" s="3">
        <v>45211</v>
      </c>
      <c r="M710" t="s">
        <v>34</v>
      </c>
      <c r="N710">
        <v>19</v>
      </c>
    </row>
    <row r="711" spans="1:14" x14ac:dyDescent="0.25">
      <c r="A711" t="s">
        <v>2233</v>
      </c>
      <c r="B711" t="s">
        <v>1130</v>
      </c>
      <c r="C711" s="1">
        <v>45321</v>
      </c>
      <c r="D711" t="s">
        <v>24</v>
      </c>
      <c r="E711" t="s">
        <v>70</v>
      </c>
      <c r="F711">
        <v>70</v>
      </c>
      <c r="G711" t="s">
        <v>2234</v>
      </c>
      <c r="H711">
        <v>1</v>
      </c>
      <c r="I711">
        <v>8.1999999999999993</v>
      </c>
      <c r="J711">
        <v>4.2699999999999996</v>
      </c>
      <c r="K711" t="s">
        <v>19</v>
      </c>
      <c r="L711" s="3">
        <v>45321</v>
      </c>
      <c r="M711" t="s">
        <v>20</v>
      </c>
      <c r="N711">
        <v>70</v>
      </c>
    </row>
    <row r="712" spans="1:14" x14ac:dyDescent="0.25">
      <c r="A712" t="s">
        <v>2235</v>
      </c>
      <c r="B712" t="s">
        <v>405</v>
      </c>
      <c r="C712" s="1">
        <v>45115</v>
      </c>
      <c r="D712" t="s">
        <v>51</v>
      </c>
      <c r="E712" t="s">
        <v>45</v>
      </c>
      <c r="F712">
        <v>47</v>
      </c>
      <c r="G712" t="s">
        <v>2236</v>
      </c>
      <c r="H712">
        <v>1</v>
      </c>
      <c r="I712">
        <v>12.78</v>
      </c>
      <c r="J712">
        <v>2.81</v>
      </c>
      <c r="K712" t="s">
        <v>41</v>
      </c>
      <c r="L712" s="3">
        <v>45115</v>
      </c>
      <c r="M712" t="s">
        <v>48</v>
      </c>
      <c r="N712">
        <v>47</v>
      </c>
    </row>
    <row r="713" spans="1:14" x14ac:dyDescent="0.25">
      <c r="A713" t="s">
        <v>2237</v>
      </c>
      <c r="B713" t="s">
        <v>1344</v>
      </c>
      <c r="C713" s="3">
        <v>45239</v>
      </c>
      <c r="D713" t="s">
        <v>51</v>
      </c>
      <c r="E713" t="s">
        <v>60</v>
      </c>
      <c r="F713">
        <v>57</v>
      </c>
      <c r="G713" t="s">
        <v>1324</v>
      </c>
      <c r="H713">
        <v>2</v>
      </c>
      <c r="I713" s="2">
        <v>31.72</v>
      </c>
      <c r="J713" t="s">
        <v>2238</v>
      </c>
      <c r="K713" t="s">
        <v>19</v>
      </c>
      <c r="L713" s="3">
        <v>45239</v>
      </c>
      <c r="M713" t="s">
        <v>48</v>
      </c>
      <c r="N713">
        <v>57</v>
      </c>
    </row>
    <row r="714" spans="1:14" x14ac:dyDescent="0.25">
      <c r="A714" t="s">
        <v>2239</v>
      </c>
      <c r="B714" t="s">
        <v>339</v>
      </c>
      <c r="C714" s="1">
        <v>45322</v>
      </c>
      <c r="D714" t="s">
        <v>16</v>
      </c>
      <c r="E714" t="s">
        <v>70</v>
      </c>
      <c r="F714">
        <v>40</v>
      </c>
      <c r="G714" t="s">
        <v>1442</v>
      </c>
      <c r="H714">
        <v>2</v>
      </c>
      <c r="I714" t="s">
        <v>2240</v>
      </c>
      <c r="J714" t="s">
        <v>2241</v>
      </c>
      <c r="K714" t="s">
        <v>41</v>
      </c>
      <c r="L714" s="3">
        <v>45322</v>
      </c>
      <c r="M714" t="s">
        <v>20</v>
      </c>
      <c r="N714">
        <v>40</v>
      </c>
    </row>
    <row r="715" spans="1:14" x14ac:dyDescent="0.25">
      <c r="A715" t="s">
        <v>2242</v>
      </c>
      <c r="B715" t="s">
        <v>896</v>
      </c>
      <c r="C715" t="s">
        <v>2243</v>
      </c>
      <c r="D715" t="s">
        <v>16</v>
      </c>
      <c r="E715" t="s">
        <v>31</v>
      </c>
      <c r="F715">
        <v>18</v>
      </c>
      <c r="G715" t="s">
        <v>2244</v>
      </c>
      <c r="H715">
        <v>-2</v>
      </c>
      <c r="I715">
        <v>-35.76</v>
      </c>
      <c r="J715">
        <v>-17.850000000000001</v>
      </c>
      <c r="K715" t="s">
        <v>41</v>
      </c>
      <c r="L715" s="3">
        <v>45286</v>
      </c>
      <c r="M715" t="s">
        <v>34</v>
      </c>
      <c r="N715">
        <v>18</v>
      </c>
    </row>
    <row r="716" spans="1:14" x14ac:dyDescent="0.25">
      <c r="A716" t="s">
        <v>2245</v>
      </c>
      <c r="B716" t="s">
        <v>1367</v>
      </c>
      <c r="C716" t="s">
        <v>669</v>
      </c>
      <c r="D716" t="s">
        <v>24</v>
      </c>
      <c r="E716" t="s">
        <v>25</v>
      </c>
      <c r="F716">
        <v>16</v>
      </c>
      <c r="G716" t="s">
        <v>1462</v>
      </c>
      <c r="H716">
        <v>3</v>
      </c>
      <c r="I716">
        <v>32.47</v>
      </c>
      <c r="J716" s="2">
        <v>22.08</v>
      </c>
      <c r="K716" t="s">
        <v>41</v>
      </c>
      <c r="L716" s="3">
        <v>44982</v>
      </c>
      <c r="M716" t="s">
        <v>20</v>
      </c>
      <c r="N716">
        <v>16</v>
      </c>
    </row>
    <row r="717" spans="1:14" x14ac:dyDescent="0.25">
      <c r="A717" t="s">
        <v>2246</v>
      </c>
      <c r="B717" t="s">
        <v>2247</v>
      </c>
      <c r="C717" s="1">
        <v>45262</v>
      </c>
      <c r="D717" t="s">
        <v>51</v>
      </c>
      <c r="E717" t="s">
        <v>65</v>
      </c>
      <c r="F717">
        <v>60</v>
      </c>
      <c r="G717" t="s">
        <v>209</v>
      </c>
      <c r="H717">
        <v>1</v>
      </c>
      <c r="I717">
        <v>24.11</v>
      </c>
      <c r="J717">
        <v>16.39</v>
      </c>
      <c r="K717" t="s">
        <v>41</v>
      </c>
      <c r="L717" s="3">
        <v>45262</v>
      </c>
      <c r="M717" t="s">
        <v>48</v>
      </c>
      <c r="N717">
        <v>60</v>
      </c>
    </row>
    <row r="718" spans="1:14" x14ac:dyDescent="0.25">
      <c r="A718" t="s">
        <v>2248</v>
      </c>
      <c r="B718" t="s">
        <v>1311</v>
      </c>
      <c r="C718" s="1">
        <v>44992</v>
      </c>
      <c r="D718" t="s">
        <v>129</v>
      </c>
      <c r="E718" t="s">
        <v>85</v>
      </c>
      <c r="F718">
        <v>33</v>
      </c>
      <c r="G718" t="s">
        <v>2249</v>
      </c>
      <c r="H718">
        <v>1</v>
      </c>
      <c r="I718" s="2">
        <v>13.06</v>
      </c>
      <c r="J718" t="s">
        <v>2250</v>
      </c>
      <c r="K718" t="s">
        <v>19</v>
      </c>
      <c r="L718" s="3">
        <v>44992</v>
      </c>
      <c r="M718" t="s">
        <v>34</v>
      </c>
      <c r="N718">
        <v>33</v>
      </c>
    </row>
    <row r="719" spans="1:14" x14ac:dyDescent="0.25">
      <c r="A719" t="s">
        <v>2251</v>
      </c>
      <c r="B719" t="s">
        <v>249</v>
      </c>
      <c r="C719" s="3">
        <v>45203</v>
      </c>
      <c r="D719" t="s">
        <v>16</v>
      </c>
      <c r="E719" t="s">
        <v>38</v>
      </c>
      <c r="F719">
        <v>38</v>
      </c>
      <c r="G719" t="s">
        <v>2252</v>
      </c>
      <c r="H719">
        <v>1</v>
      </c>
      <c r="I719" t="s">
        <v>2253</v>
      </c>
      <c r="J719" t="s">
        <v>2254</v>
      </c>
      <c r="K719" t="s">
        <v>19</v>
      </c>
      <c r="L719" s="3">
        <v>45203</v>
      </c>
      <c r="M719" t="s">
        <v>34</v>
      </c>
      <c r="N719">
        <v>38</v>
      </c>
    </row>
    <row r="720" spans="1:14" x14ac:dyDescent="0.25">
      <c r="A720" t="s">
        <v>2255</v>
      </c>
      <c r="B720" t="s">
        <v>2256</v>
      </c>
      <c r="C720" s="1">
        <v>45139</v>
      </c>
      <c r="D720" t="s">
        <v>30</v>
      </c>
      <c r="E720" t="s">
        <v>65</v>
      </c>
      <c r="F720">
        <v>24</v>
      </c>
      <c r="G720" t="s">
        <v>2257</v>
      </c>
      <c r="H720">
        <v>2</v>
      </c>
      <c r="I720" s="2">
        <v>24.78</v>
      </c>
      <c r="J720" t="s">
        <v>2258</v>
      </c>
      <c r="K720" t="s">
        <v>41</v>
      </c>
      <c r="L720" s="3">
        <v>45139</v>
      </c>
      <c r="M720" t="s">
        <v>48</v>
      </c>
      <c r="N720">
        <v>24</v>
      </c>
    </row>
    <row r="721" spans="1:14" x14ac:dyDescent="0.25">
      <c r="A721" t="s">
        <v>2259</v>
      </c>
      <c r="B721" t="s">
        <v>450</v>
      </c>
      <c r="C721" s="3">
        <v>45246</v>
      </c>
      <c r="D721" t="s">
        <v>16</v>
      </c>
      <c r="E721" t="s">
        <v>38</v>
      </c>
      <c r="F721">
        <v>13</v>
      </c>
      <c r="G721" t="s">
        <v>2260</v>
      </c>
      <c r="H721">
        <v>1</v>
      </c>
      <c r="I721">
        <v>36.47</v>
      </c>
      <c r="J721">
        <v>12.82</v>
      </c>
      <c r="K721" t="s">
        <v>19</v>
      </c>
      <c r="L721" s="3">
        <v>45246</v>
      </c>
      <c r="M721" t="s">
        <v>34</v>
      </c>
      <c r="N721">
        <v>13</v>
      </c>
    </row>
    <row r="722" spans="1:14" x14ac:dyDescent="0.25">
      <c r="A722" t="s">
        <v>1211</v>
      </c>
      <c r="B722" t="s">
        <v>1212</v>
      </c>
      <c r="C722" t="s">
        <v>1213</v>
      </c>
      <c r="D722" t="s">
        <v>16</v>
      </c>
      <c r="E722" t="s">
        <v>45</v>
      </c>
      <c r="F722">
        <v>61</v>
      </c>
      <c r="G722" t="s">
        <v>1214</v>
      </c>
      <c r="H722">
        <v>4</v>
      </c>
      <c r="I722">
        <v>22.26</v>
      </c>
      <c r="J722">
        <v>9.26</v>
      </c>
      <c r="K722" t="s">
        <v>41</v>
      </c>
      <c r="L722" s="3">
        <v>45028</v>
      </c>
      <c r="M722" t="s">
        <v>48</v>
      </c>
      <c r="N722">
        <v>61</v>
      </c>
    </row>
    <row r="723" spans="1:14" x14ac:dyDescent="0.25">
      <c r="A723" t="s">
        <v>2261</v>
      </c>
      <c r="B723" t="s">
        <v>1066</v>
      </c>
      <c r="C723" t="s">
        <v>788</v>
      </c>
      <c r="D723" t="s">
        <v>30</v>
      </c>
      <c r="E723" t="s">
        <v>85</v>
      </c>
      <c r="F723">
        <v>56</v>
      </c>
      <c r="G723" t="s">
        <v>2262</v>
      </c>
      <c r="H723">
        <v>1</v>
      </c>
      <c r="I723">
        <v>25.07</v>
      </c>
      <c r="J723">
        <v>12.33</v>
      </c>
      <c r="K723" t="s">
        <v>19</v>
      </c>
      <c r="L723" s="3">
        <v>44969</v>
      </c>
      <c r="M723" t="s">
        <v>34</v>
      </c>
      <c r="N723">
        <v>56</v>
      </c>
    </row>
    <row r="724" spans="1:14" x14ac:dyDescent="0.25">
      <c r="A724" t="s">
        <v>2263</v>
      </c>
      <c r="B724" t="s">
        <v>2264</v>
      </c>
      <c r="C724" s="3">
        <v>44985</v>
      </c>
      <c r="D724" t="s">
        <v>30</v>
      </c>
      <c r="E724" t="s">
        <v>60</v>
      </c>
      <c r="F724">
        <v>75</v>
      </c>
      <c r="G724" t="s">
        <v>2265</v>
      </c>
      <c r="H724">
        <v>1</v>
      </c>
      <c r="I724" s="2">
        <v>35.89</v>
      </c>
      <c r="J724" s="2">
        <v>15.09</v>
      </c>
      <c r="K724" t="s">
        <v>41</v>
      </c>
      <c r="L724" s="3">
        <v>44985</v>
      </c>
      <c r="M724" t="s">
        <v>48</v>
      </c>
      <c r="N724">
        <v>75</v>
      </c>
    </row>
    <row r="725" spans="1:14" x14ac:dyDescent="0.25">
      <c r="A725" t="s">
        <v>2266</v>
      </c>
      <c r="B725" t="s">
        <v>1059</v>
      </c>
      <c r="C725" s="1">
        <v>45483</v>
      </c>
      <c r="D725" t="s">
        <v>51</v>
      </c>
      <c r="E725" t="s">
        <v>48</v>
      </c>
      <c r="F725">
        <v>31</v>
      </c>
      <c r="G725" t="s">
        <v>1111</v>
      </c>
      <c r="H725">
        <v>1</v>
      </c>
      <c r="I725" s="2">
        <v>37.53</v>
      </c>
      <c r="J725">
        <v>15.25</v>
      </c>
      <c r="K725" t="s">
        <v>19</v>
      </c>
      <c r="L725" s="3">
        <v>45483</v>
      </c>
      <c r="M725" t="s">
        <v>48</v>
      </c>
      <c r="N725">
        <v>31</v>
      </c>
    </row>
    <row r="726" spans="1:14" x14ac:dyDescent="0.25">
      <c r="A726" t="s">
        <v>2267</v>
      </c>
      <c r="B726" t="s">
        <v>941</v>
      </c>
      <c r="C726" s="1">
        <v>44937</v>
      </c>
      <c r="D726" t="s">
        <v>16</v>
      </c>
      <c r="E726" t="s">
        <v>25</v>
      </c>
      <c r="F726">
        <v>43</v>
      </c>
      <c r="G726" t="s">
        <v>2268</v>
      </c>
      <c r="H726">
        <v>4</v>
      </c>
      <c r="I726">
        <v>160.38</v>
      </c>
      <c r="J726" t="s">
        <v>2269</v>
      </c>
      <c r="K726" t="s">
        <v>19</v>
      </c>
      <c r="L726" s="3">
        <v>44937</v>
      </c>
      <c r="M726" t="s">
        <v>20</v>
      </c>
      <c r="N726">
        <v>43</v>
      </c>
    </row>
    <row r="727" spans="1:14" x14ac:dyDescent="0.25">
      <c r="A727" t="s">
        <v>2270</v>
      </c>
      <c r="B727" t="s">
        <v>1030</v>
      </c>
      <c r="C727" t="s">
        <v>2271</v>
      </c>
      <c r="D727" t="s">
        <v>16</v>
      </c>
      <c r="E727" t="s">
        <v>60</v>
      </c>
      <c r="F727">
        <v>27</v>
      </c>
      <c r="G727" t="s">
        <v>2272</v>
      </c>
      <c r="H727">
        <v>1</v>
      </c>
      <c r="I727">
        <v>17.690000000000001</v>
      </c>
      <c r="J727">
        <v>4.34</v>
      </c>
      <c r="K727" t="s">
        <v>41</v>
      </c>
      <c r="L727" s="3">
        <v>45205</v>
      </c>
      <c r="M727" t="s">
        <v>48</v>
      </c>
      <c r="N727">
        <v>27</v>
      </c>
    </row>
    <row r="728" spans="1:14" x14ac:dyDescent="0.25">
      <c r="A728" t="s">
        <v>2273</v>
      </c>
      <c r="B728" t="s">
        <v>374</v>
      </c>
      <c r="C728" t="s">
        <v>2274</v>
      </c>
      <c r="D728" t="s">
        <v>129</v>
      </c>
      <c r="E728" t="s">
        <v>65</v>
      </c>
      <c r="F728">
        <v>42</v>
      </c>
      <c r="G728" t="s">
        <v>1790</v>
      </c>
      <c r="H728">
        <v>1</v>
      </c>
      <c r="I728">
        <v>13.5</v>
      </c>
      <c r="J728" s="2">
        <v>5.44</v>
      </c>
      <c r="K728" t="s">
        <v>19</v>
      </c>
      <c r="L728" s="3">
        <v>45203</v>
      </c>
      <c r="M728" t="s">
        <v>48</v>
      </c>
      <c r="N728">
        <v>42</v>
      </c>
    </row>
    <row r="729" spans="1:14" x14ac:dyDescent="0.25">
      <c r="A729" t="s">
        <v>2275</v>
      </c>
      <c r="B729" t="s">
        <v>143</v>
      </c>
      <c r="C729" s="1">
        <v>45647</v>
      </c>
      <c r="D729" t="s">
        <v>24</v>
      </c>
      <c r="E729" t="s">
        <v>85</v>
      </c>
      <c r="F729">
        <v>66</v>
      </c>
      <c r="G729" t="s">
        <v>2276</v>
      </c>
      <c r="H729">
        <v>2</v>
      </c>
      <c r="I729" s="2">
        <v>66.44</v>
      </c>
      <c r="J729">
        <v>22.05</v>
      </c>
      <c r="K729" t="s">
        <v>19</v>
      </c>
      <c r="L729" s="3">
        <v>45647</v>
      </c>
      <c r="M729" t="s">
        <v>34</v>
      </c>
      <c r="N729">
        <v>66</v>
      </c>
    </row>
    <row r="730" spans="1:14" x14ac:dyDescent="0.25">
      <c r="A730" t="s">
        <v>2277</v>
      </c>
      <c r="B730" t="s">
        <v>625</v>
      </c>
      <c r="C730" s="1">
        <v>45107</v>
      </c>
      <c r="D730" t="s">
        <v>16</v>
      </c>
      <c r="E730" t="s">
        <v>70</v>
      </c>
      <c r="F730">
        <v>32</v>
      </c>
      <c r="G730" t="s">
        <v>1277</v>
      </c>
      <c r="H730">
        <v>1</v>
      </c>
      <c r="I730">
        <v>18.46</v>
      </c>
      <c r="J730" s="2">
        <v>9.26</v>
      </c>
      <c r="K730" t="s">
        <v>19</v>
      </c>
      <c r="L730" s="3">
        <v>45107</v>
      </c>
      <c r="M730" t="s">
        <v>20</v>
      </c>
      <c r="N730">
        <v>32</v>
      </c>
    </row>
    <row r="731" spans="1:14" x14ac:dyDescent="0.25">
      <c r="A731" t="s">
        <v>2278</v>
      </c>
      <c r="B731" t="s">
        <v>1062</v>
      </c>
      <c r="C731" s="3">
        <v>44985</v>
      </c>
      <c r="D731" t="s">
        <v>51</v>
      </c>
      <c r="E731" t="s">
        <v>45</v>
      </c>
      <c r="F731">
        <v>18</v>
      </c>
      <c r="G731" t="s">
        <v>2279</v>
      </c>
      <c r="H731">
        <v>2</v>
      </c>
      <c r="I731" s="2">
        <v>128.47999999999999</v>
      </c>
      <c r="J731">
        <v>42.77</v>
      </c>
      <c r="K731" t="s">
        <v>19</v>
      </c>
      <c r="L731" s="3">
        <v>44985</v>
      </c>
      <c r="M731" t="s">
        <v>48</v>
      </c>
      <c r="N731">
        <v>18</v>
      </c>
    </row>
    <row r="732" spans="1:14" x14ac:dyDescent="0.25">
      <c r="A732" t="s">
        <v>2280</v>
      </c>
      <c r="B732" t="s">
        <v>619</v>
      </c>
      <c r="C732" s="3">
        <v>44985</v>
      </c>
      <c r="D732" t="s">
        <v>129</v>
      </c>
      <c r="E732" t="s">
        <v>85</v>
      </c>
      <c r="F732">
        <v>51</v>
      </c>
      <c r="G732" t="s">
        <v>1689</v>
      </c>
      <c r="H732">
        <v>1</v>
      </c>
      <c r="I732" s="2">
        <v>9.25</v>
      </c>
      <c r="J732">
        <v>3.89</v>
      </c>
      <c r="K732" t="s">
        <v>41</v>
      </c>
      <c r="L732" s="3">
        <v>44985</v>
      </c>
      <c r="M732" t="s">
        <v>34</v>
      </c>
      <c r="N732">
        <v>51</v>
      </c>
    </row>
    <row r="733" spans="1:14" x14ac:dyDescent="0.25">
      <c r="A733" t="s">
        <v>2281</v>
      </c>
      <c r="B733" t="s">
        <v>1476</v>
      </c>
      <c r="C733" s="1">
        <v>45563</v>
      </c>
      <c r="D733" t="s">
        <v>51</v>
      </c>
      <c r="E733" t="s">
        <v>65</v>
      </c>
      <c r="F733">
        <v>43</v>
      </c>
      <c r="G733" t="s">
        <v>2282</v>
      </c>
      <c r="H733">
        <v>2</v>
      </c>
      <c r="I733">
        <v>25.69</v>
      </c>
      <c r="J733" t="s">
        <v>2283</v>
      </c>
      <c r="K733" t="s">
        <v>41</v>
      </c>
      <c r="L733" s="3">
        <v>45563</v>
      </c>
      <c r="M733" t="s">
        <v>48</v>
      </c>
      <c r="N733">
        <v>43</v>
      </c>
    </row>
    <row r="734" spans="1:14" x14ac:dyDescent="0.25">
      <c r="A734" t="s">
        <v>2284</v>
      </c>
      <c r="B734" t="s">
        <v>1653</v>
      </c>
      <c r="C734" t="s">
        <v>2285</v>
      </c>
      <c r="D734" t="s">
        <v>129</v>
      </c>
      <c r="E734" t="s">
        <v>31</v>
      </c>
      <c r="F734">
        <v>51</v>
      </c>
      <c r="G734" t="s">
        <v>2286</v>
      </c>
      <c r="H734">
        <v>1</v>
      </c>
      <c r="I734">
        <v>13.22</v>
      </c>
      <c r="J734">
        <v>7.32</v>
      </c>
      <c r="K734" t="s">
        <v>41</v>
      </c>
      <c r="L734" s="3">
        <v>45497</v>
      </c>
      <c r="M734" t="s">
        <v>34</v>
      </c>
      <c r="N734">
        <v>51</v>
      </c>
    </row>
    <row r="735" spans="1:14" x14ac:dyDescent="0.25">
      <c r="A735" t="s">
        <v>2287</v>
      </c>
      <c r="B735" t="s">
        <v>121</v>
      </c>
      <c r="C735" t="s">
        <v>1194</v>
      </c>
      <c r="D735" t="s">
        <v>24</v>
      </c>
      <c r="E735" t="s">
        <v>85</v>
      </c>
      <c r="F735">
        <v>50</v>
      </c>
      <c r="G735" t="s">
        <v>2288</v>
      </c>
      <c r="H735">
        <v>2</v>
      </c>
      <c r="I735">
        <v>8.92</v>
      </c>
      <c r="J735" t="s">
        <v>2289</v>
      </c>
      <c r="K735" t="s">
        <v>41</v>
      </c>
      <c r="L735" s="3">
        <v>45086</v>
      </c>
      <c r="M735" t="s">
        <v>34</v>
      </c>
      <c r="N735">
        <v>50</v>
      </c>
    </row>
    <row r="736" spans="1:14" x14ac:dyDescent="0.25">
      <c r="A736" t="s">
        <v>2290</v>
      </c>
      <c r="B736" t="s">
        <v>15</v>
      </c>
      <c r="C736" s="3">
        <v>44987</v>
      </c>
      <c r="D736" t="s">
        <v>16</v>
      </c>
      <c r="E736" t="s">
        <v>38</v>
      </c>
      <c r="F736">
        <v>68</v>
      </c>
      <c r="G736" t="s">
        <v>2291</v>
      </c>
      <c r="H736">
        <v>2</v>
      </c>
      <c r="I736">
        <v>46.53</v>
      </c>
      <c r="J736">
        <v>12.85</v>
      </c>
      <c r="K736" t="s">
        <v>41</v>
      </c>
      <c r="L736" s="3">
        <v>44987</v>
      </c>
      <c r="M736" t="s">
        <v>34</v>
      </c>
      <c r="N736">
        <v>68</v>
      </c>
    </row>
    <row r="737" spans="1:14" x14ac:dyDescent="0.25">
      <c r="A737" t="s">
        <v>2292</v>
      </c>
      <c r="B737" t="s">
        <v>566</v>
      </c>
      <c r="C737" t="s">
        <v>871</v>
      </c>
      <c r="D737" t="s">
        <v>24</v>
      </c>
      <c r="E737" t="s">
        <v>60</v>
      </c>
      <c r="F737">
        <v>25</v>
      </c>
      <c r="G737" t="s">
        <v>574</v>
      </c>
      <c r="H737">
        <v>1</v>
      </c>
      <c r="I737" t="s">
        <v>2238</v>
      </c>
      <c r="J737" s="2">
        <v>4.25</v>
      </c>
      <c r="K737" t="s">
        <v>19</v>
      </c>
      <c r="L737" s="3">
        <v>45578</v>
      </c>
      <c r="M737" t="s">
        <v>48</v>
      </c>
      <c r="N737">
        <v>25</v>
      </c>
    </row>
    <row r="738" spans="1:14" x14ac:dyDescent="0.25">
      <c r="A738" t="s">
        <v>2293</v>
      </c>
      <c r="B738" t="s">
        <v>679</v>
      </c>
      <c r="C738" s="1">
        <v>45132</v>
      </c>
      <c r="D738" t="s">
        <v>16</v>
      </c>
      <c r="E738" t="s">
        <v>70</v>
      </c>
      <c r="F738">
        <v>26</v>
      </c>
      <c r="G738" t="s">
        <v>2294</v>
      </c>
      <c r="H738">
        <v>1</v>
      </c>
      <c r="I738" t="s">
        <v>2295</v>
      </c>
      <c r="J738">
        <v>6.82</v>
      </c>
      <c r="K738" t="s">
        <v>41</v>
      </c>
      <c r="L738" s="3">
        <v>45132</v>
      </c>
      <c r="M738" t="s">
        <v>20</v>
      </c>
      <c r="N738">
        <v>26</v>
      </c>
    </row>
    <row r="739" spans="1:14" x14ac:dyDescent="0.25">
      <c r="A739" t="s">
        <v>2296</v>
      </c>
      <c r="B739" t="s">
        <v>981</v>
      </c>
      <c r="C739" t="s">
        <v>2297</v>
      </c>
      <c r="D739" t="s">
        <v>24</v>
      </c>
      <c r="E739" t="s">
        <v>60</v>
      </c>
      <c r="F739">
        <v>20</v>
      </c>
      <c r="G739" t="s">
        <v>1885</v>
      </c>
      <c r="H739">
        <v>2</v>
      </c>
      <c r="I739">
        <v>40.92</v>
      </c>
      <c r="J739">
        <v>19.68</v>
      </c>
      <c r="K739" t="s">
        <v>19</v>
      </c>
      <c r="L739" s="3">
        <v>45002</v>
      </c>
      <c r="M739" t="s">
        <v>48</v>
      </c>
      <c r="N739">
        <v>20</v>
      </c>
    </row>
    <row r="740" spans="1:14" x14ac:dyDescent="0.25">
      <c r="A740" t="s">
        <v>2298</v>
      </c>
      <c r="B740" t="s">
        <v>483</v>
      </c>
      <c r="C740" s="1">
        <v>44962</v>
      </c>
      <c r="D740" t="s">
        <v>24</v>
      </c>
      <c r="E740" t="s">
        <v>34</v>
      </c>
      <c r="F740">
        <v>27</v>
      </c>
      <c r="G740" t="s">
        <v>620</v>
      </c>
      <c r="H740">
        <v>2</v>
      </c>
      <c r="I740">
        <v>17.64</v>
      </c>
      <c r="J740">
        <v>7.79</v>
      </c>
      <c r="K740" t="s">
        <v>19</v>
      </c>
      <c r="L740" s="3">
        <v>44962</v>
      </c>
      <c r="M740" t="s">
        <v>34</v>
      </c>
      <c r="N740">
        <v>27</v>
      </c>
    </row>
    <row r="741" spans="1:14" x14ac:dyDescent="0.25">
      <c r="A741" t="s">
        <v>2299</v>
      </c>
      <c r="B741" t="s">
        <v>157</v>
      </c>
      <c r="C741" t="s">
        <v>2300</v>
      </c>
      <c r="D741" t="s">
        <v>24</v>
      </c>
      <c r="E741" t="s">
        <v>65</v>
      </c>
      <c r="F741">
        <v>18</v>
      </c>
      <c r="G741" t="s">
        <v>2301</v>
      </c>
      <c r="H741">
        <v>1</v>
      </c>
      <c r="I741" t="s">
        <v>2302</v>
      </c>
      <c r="J741" s="2">
        <v>8.89</v>
      </c>
      <c r="K741" t="s">
        <v>41</v>
      </c>
      <c r="L741" s="3">
        <v>45113</v>
      </c>
      <c r="M741" t="s">
        <v>48</v>
      </c>
      <c r="N741">
        <v>18</v>
      </c>
    </row>
    <row r="742" spans="1:14" x14ac:dyDescent="0.25">
      <c r="A742" t="s">
        <v>2303</v>
      </c>
      <c r="B742" t="s">
        <v>2018</v>
      </c>
      <c r="C742" t="s">
        <v>2304</v>
      </c>
      <c r="D742" t="s">
        <v>30</v>
      </c>
      <c r="E742" t="s">
        <v>60</v>
      </c>
      <c r="F742">
        <v>74</v>
      </c>
      <c r="G742" t="s">
        <v>2305</v>
      </c>
      <c r="H742">
        <v>4</v>
      </c>
      <c r="I742">
        <v>32.46</v>
      </c>
      <c r="J742">
        <v>15.38</v>
      </c>
      <c r="K742" t="s">
        <v>41</v>
      </c>
      <c r="L742" s="3">
        <v>45528</v>
      </c>
      <c r="M742" t="s">
        <v>48</v>
      </c>
      <c r="N742">
        <v>74</v>
      </c>
    </row>
    <row r="743" spans="1:14" x14ac:dyDescent="0.25">
      <c r="A743" t="s">
        <v>2306</v>
      </c>
      <c r="B743" t="s">
        <v>83</v>
      </c>
      <c r="C743" s="1">
        <v>45091</v>
      </c>
      <c r="D743" t="s">
        <v>129</v>
      </c>
      <c r="E743" t="s">
        <v>48</v>
      </c>
      <c r="F743">
        <v>54</v>
      </c>
      <c r="G743" t="s">
        <v>2307</v>
      </c>
      <c r="H743">
        <v>2</v>
      </c>
      <c r="I743">
        <v>30.48</v>
      </c>
      <c r="J743">
        <v>13.55</v>
      </c>
      <c r="K743" t="s">
        <v>41</v>
      </c>
      <c r="L743" s="3">
        <v>45091</v>
      </c>
      <c r="M743" t="s">
        <v>48</v>
      </c>
      <c r="N743">
        <v>54</v>
      </c>
    </row>
    <row r="744" spans="1:14" x14ac:dyDescent="0.25">
      <c r="A744" t="s">
        <v>2308</v>
      </c>
      <c r="B744" t="s">
        <v>2309</v>
      </c>
      <c r="C744" t="s">
        <v>2310</v>
      </c>
      <c r="D744" t="s">
        <v>129</v>
      </c>
      <c r="E744" t="s">
        <v>34</v>
      </c>
      <c r="F744">
        <v>60</v>
      </c>
      <c r="G744" t="s">
        <v>2311</v>
      </c>
      <c r="H744">
        <v>2</v>
      </c>
      <c r="I744">
        <v>26.7</v>
      </c>
      <c r="J744">
        <v>9.83</v>
      </c>
      <c r="K744" t="s">
        <v>19</v>
      </c>
      <c r="L744" s="3">
        <v>45584</v>
      </c>
      <c r="M744" t="s">
        <v>34</v>
      </c>
      <c r="N744">
        <v>60</v>
      </c>
    </row>
    <row r="745" spans="1:14" x14ac:dyDescent="0.25">
      <c r="A745" t="s">
        <v>2312</v>
      </c>
      <c r="B745" t="s">
        <v>783</v>
      </c>
      <c r="C745" s="1">
        <v>45127</v>
      </c>
      <c r="D745" t="s">
        <v>30</v>
      </c>
      <c r="E745" t="s">
        <v>25</v>
      </c>
      <c r="F745">
        <v>13</v>
      </c>
      <c r="G745" t="s">
        <v>2313</v>
      </c>
      <c r="H745">
        <v>1</v>
      </c>
      <c r="I745" s="2">
        <v>8.6199999999999992</v>
      </c>
      <c r="J745" s="2">
        <v>3.28</v>
      </c>
      <c r="K745" t="s">
        <v>19</v>
      </c>
      <c r="L745" s="3">
        <v>45127</v>
      </c>
      <c r="M745" t="s">
        <v>20</v>
      </c>
      <c r="N745">
        <v>13</v>
      </c>
    </row>
    <row r="746" spans="1:14" x14ac:dyDescent="0.25">
      <c r="A746" t="s">
        <v>2314</v>
      </c>
      <c r="B746" t="s">
        <v>2315</v>
      </c>
      <c r="C746" t="s">
        <v>2316</v>
      </c>
      <c r="D746" t="s">
        <v>16</v>
      </c>
      <c r="F746">
        <v>38</v>
      </c>
      <c r="G746" t="s">
        <v>2317</v>
      </c>
      <c r="H746">
        <v>1</v>
      </c>
      <c r="I746">
        <v>20.05</v>
      </c>
      <c r="J746">
        <v>12.34</v>
      </c>
      <c r="K746" t="s">
        <v>19</v>
      </c>
      <c r="L746" s="3">
        <v>45289</v>
      </c>
      <c r="M746" t="s">
        <v>20</v>
      </c>
      <c r="N746">
        <v>38</v>
      </c>
    </row>
    <row r="747" spans="1:14" x14ac:dyDescent="0.25">
      <c r="A747" t="s">
        <v>2318</v>
      </c>
      <c r="B747" t="s">
        <v>1344</v>
      </c>
      <c r="C747" t="s">
        <v>2319</v>
      </c>
      <c r="D747" t="s">
        <v>51</v>
      </c>
      <c r="E747" t="s">
        <v>48</v>
      </c>
      <c r="F747">
        <v>16</v>
      </c>
      <c r="G747" t="s">
        <v>2320</v>
      </c>
      <c r="H747">
        <v>3</v>
      </c>
      <c r="I747" t="s">
        <v>2321</v>
      </c>
      <c r="J747">
        <v>43.53</v>
      </c>
      <c r="K747" t="s">
        <v>41</v>
      </c>
      <c r="L747" s="3">
        <v>45081</v>
      </c>
      <c r="M747" t="s">
        <v>48</v>
      </c>
      <c r="N747">
        <v>16</v>
      </c>
    </row>
    <row r="748" spans="1:14" x14ac:dyDescent="0.25">
      <c r="A748" t="s">
        <v>2322</v>
      </c>
      <c r="B748" t="s">
        <v>660</v>
      </c>
      <c r="C748" t="s">
        <v>1627</v>
      </c>
      <c r="D748" t="s">
        <v>24</v>
      </c>
      <c r="E748" t="s">
        <v>25</v>
      </c>
      <c r="F748">
        <v>34</v>
      </c>
      <c r="G748" t="s">
        <v>2323</v>
      </c>
      <c r="H748">
        <v>2</v>
      </c>
      <c r="I748">
        <v>45.69</v>
      </c>
      <c r="J748" s="2">
        <v>20.53</v>
      </c>
      <c r="K748" t="s">
        <v>41</v>
      </c>
      <c r="L748" s="3">
        <v>45404</v>
      </c>
      <c r="M748" t="s">
        <v>20</v>
      </c>
      <c r="N748">
        <v>34</v>
      </c>
    </row>
    <row r="749" spans="1:14" x14ac:dyDescent="0.25">
      <c r="A749" t="s">
        <v>2324</v>
      </c>
      <c r="B749" t="s">
        <v>1282</v>
      </c>
      <c r="C749" s="1">
        <v>44971</v>
      </c>
      <c r="D749" t="s">
        <v>16</v>
      </c>
      <c r="E749" t="s">
        <v>48</v>
      </c>
      <c r="F749">
        <v>57</v>
      </c>
      <c r="G749" t="s">
        <v>2325</v>
      </c>
      <c r="H749">
        <v>2</v>
      </c>
      <c r="I749" t="s">
        <v>2326</v>
      </c>
      <c r="J749">
        <v>8.52</v>
      </c>
      <c r="K749" t="s">
        <v>41</v>
      </c>
      <c r="L749" s="3">
        <v>44971</v>
      </c>
      <c r="M749" t="s">
        <v>48</v>
      </c>
      <c r="N749">
        <v>57</v>
      </c>
    </row>
    <row r="750" spans="1:14" x14ac:dyDescent="0.25">
      <c r="A750" t="s">
        <v>2327</v>
      </c>
      <c r="B750" t="s">
        <v>1691</v>
      </c>
      <c r="C750" s="3">
        <v>44991</v>
      </c>
      <c r="D750" t="s">
        <v>16</v>
      </c>
      <c r="E750" t="s">
        <v>85</v>
      </c>
      <c r="F750">
        <v>45</v>
      </c>
      <c r="G750" t="s">
        <v>2328</v>
      </c>
      <c r="H750">
        <v>1</v>
      </c>
      <c r="I750">
        <v>19.100000000000001</v>
      </c>
      <c r="J750">
        <v>6.15</v>
      </c>
      <c r="K750" t="s">
        <v>41</v>
      </c>
      <c r="L750" s="3">
        <v>44991</v>
      </c>
      <c r="M750" t="s">
        <v>34</v>
      </c>
      <c r="N750">
        <v>45</v>
      </c>
    </row>
    <row r="751" spans="1:14" x14ac:dyDescent="0.25">
      <c r="A751" t="s">
        <v>2329</v>
      </c>
      <c r="B751" t="s">
        <v>154</v>
      </c>
      <c r="C751" s="3">
        <v>45037</v>
      </c>
      <c r="D751" t="s">
        <v>16</v>
      </c>
      <c r="E751" t="s">
        <v>34</v>
      </c>
      <c r="F751">
        <v>56</v>
      </c>
      <c r="G751" t="s">
        <v>2330</v>
      </c>
      <c r="H751">
        <v>3</v>
      </c>
      <c r="I751">
        <v>36.57</v>
      </c>
      <c r="J751" s="2">
        <v>12.63</v>
      </c>
      <c r="K751" t="s">
        <v>41</v>
      </c>
      <c r="L751" s="3">
        <v>45037</v>
      </c>
      <c r="M751" t="s">
        <v>34</v>
      </c>
      <c r="N751">
        <v>56</v>
      </c>
    </row>
    <row r="752" spans="1:14" x14ac:dyDescent="0.25">
      <c r="A752" t="s">
        <v>2331</v>
      </c>
      <c r="B752" t="s">
        <v>1188</v>
      </c>
      <c r="C752" t="s">
        <v>2332</v>
      </c>
      <c r="D752" t="s">
        <v>30</v>
      </c>
      <c r="E752" t="s">
        <v>45</v>
      </c>
      <c r="F752">
        <v>45</v>
      </c>
      <c r="G752" t="s">
        <v>2333</v>
      </c>
      <c r="H752">
        <v>1</v>
      </c>
      <c r="I752" s="2">
        <v>37.630000000000003</v>
      </c>
      <c r="J752" t="s">
        <v>2334</v>
      </c>
      <c r="K752" t="s">
        <v>19</v>
      </c>
      <c r="L752" s="3">
        <v>45438</v>
      </c>
      <c r="M752" t="s">
        <v>48</v>
      </c>
      <c r="N752">
        <v>45</v>
      </c>
    </row>
    <row r="753" spans="1:14" x14ac:dyDescent="0.25">
      <c r="A753" t="s">
        <v>2335</v>
      </c>
      <c r="B753" t="s">
        <v>2336</v>
      </c>
      <c r="C753" t="s">
        <v>2337</v>
      </c>
      <c r="D753" t="s">
        <v>129</v>
      </c>
      <c r="E753" t="s">
        <v>48</v>
      </c>
      <c r="F753">
        <v>59</v>
      </c>
      <c r="G753" t="s">
        <v>1630</v>
      </c>
      <c r="H753">
        <v>1</v>
      </c>
      <c r="I753">
        <v>11.77</v>
      </c>
      <c r="K753" t="s">
        <v>19</v>
      </c>
      <c r="L753" s="3">
        <v>45531</v>
      </c>
      <c r="M753" t="s">
        <v>48</v>
      </c>
      <c r="N753">
        <v>59</v>
      </c>
    </row>
    <row r="754" spans="1:14" x14ac:dyDescent="0.25">
      <c r="A754" t="s">
        <v>2338</v>
      </c>
      <c r="B754" t="s">
        <v>803</v>
      </c>
      <c r="C754" t="s">
        <v>2339</v>
      </c>
      <c r="D754" t="s">
        <v>30</v>
      </c>
      <c r="E754" t="s">
        <v>85</v>
      </c>
      <c r="F754">
        <v>23</v>
      </c>
      <c r="G754" t="s">
        <v>2340</v>
      </c>
      <c r="H754">
        <v>2</v>
      </c>
      <c r="I754">
        <v>14.57</v>
      </c>
      <c r="J754">
        <v>5.84</v>
      </c>
      <c r="K754" t="s">
        <v>41</v>
      </c>
      <c r="L754" s="3">
        <v>45586</v>
      </c>
      <c r="M754" t="s">
        <v>34</v>
      </c>
      <c r="N754">
        <v>23</v>
      </c>
    </row>
    <row r="755" spans="1:14" x14ac:dyDescent="0.25">
      <c r="A755" t="s">
        <v>2341</v>
      </c>
      <c r="B755" t="s">
        <v>1238</v>
      </c>
      <c r="C755" t="s">
        <v>2342</v>
      </c>
      <c r="D755" t="s">
        <v>51</v>
      </c>
      <c r="E755" t="s">
        <v>34</v>
      </c>
      <c r="F755">
        <v>60</v>
      </c>
      <c r="G755" t="s">
        <v>2343</v>
      </c>
      <c r="H755">
        <v>1</v>
      </c>
      <c r="I755">
        <v>28.3</v>
      </c>
      <c r="J755" t="s">
        <v>2344</v>
      </c>
      <c r="K755" t="s">
        <v>41</v>
      </c>
      <c r="L755" s="3">
        <v>45577</v>
      </c>
      <c r="M755" t="s">
        <v>34</v>
      </c>
      <c r="N755">
        <v>60</v>
      </c>
    </row>
    <row r="756" spans="1:14" x14ac:dyDescent="0.25">
      <c r="A756" t="s">
        <v>1402</v>
      </c>
      <c r="B756" t="s">
        <v>1403</v>
      </c>
      <c r="C756" s="3">
        <v>44985</v>
      </c>
      <c r="D756" t="s">
        <v>129</v>
      </c>
      <c r="E756" t="s">
        <v>31</v>
      </c>
      <c r="F756">
        <v>13</v>
      </c>
      <c r="G756" t="s">
        <v>1404</v>
      </c>
      <c r="H756">
        <v>2</v>
      </c>
      <c r="I756" t="s">
        <v>1405</v>
      </c>
      <c r="J756" t="s">
        <v>1406</v>
      </c>
      <c r="K756" t="s">
        <v>19</v>
      </c>
      <c r="L756" s="3">
        <v>44985</v>
      </c>
      <c r="M756" t="s">
        <v>34</v>
      </c>
      <c r="N756">
        <v>13</v>
      </c>
    </row>
    <row r="757" spans="1:14" x14ac:dyDescent="0.25">
      <c r="A757" t="s">
        <v>2345</v>
      </c>
      <c r="B757" t="s">
        <v>466</v>
      </c>
      <c r="C757" s="1">
        <v>44938</v>
      </c>
      <c r="D757" t="s">
        <v>30</v>
      </c>
      <c r="E757" t="s">
        <v>60</v>
      </c>
      <c r="F757">
        <v>29</v>
      </c>
      <c r="G757" t="s">
        <v>2346</v>
      </c>
      <c r="H757">
        <v>1</v>
      </c>
      <c r="I757">
        <v>38.4</v>
      </c>
      <c r="J757">
        <v>20.9</v>
      </c>
      <c r="K757" t="s">
        <v>41</v>
      </c>
      <c r="L757" s="3">
        <v>44938</v>
      </c>
      <c r="M757" t="s">
        <v>48</v>
      </c>
      <c r="N757">
        <v>29</v>
      </c>
    </row>
    <row r="758" spans="1:14" x14ac:dyDescent="0.25">
      <c r="A758" t="s">
        <v>2347</v>
      </c>
      <c r="B758" t="s">
        <v>2348</v>
      </c>
      <c r="C758" t="s">
        <v>2349</v>
      </c>
      <c r="D758" t="s">
        <v>51</v>
      </c>
      <c r="E758" t="s">
        <v>132</v>
      </c>
      <c r="F758">
        <v>53</v>
      </c>
      <c r="G758" t="s">
        <v>2350</v>
      </c>
      <c r="H758">
        <v>1</v>
      </c>
      <c r="I758" t="s">
        <v>2351</v>
      </c>
      <c r="J758">
        <v>11.09</v>
      </c>
      <c r="K758" t="s">
        <v>19</v>
      </c>
      <c r="L758" s="3">
        <v>45232</v>
      </c>
      <c r="M758" t="s">
        <v>132</v>
      </c>
      <c r="N758">
        <v>53</v>
      </c>
    </row>
    <row r="759" spans="1:14" x14ac:dyDescent="0.25">
      <c r="A759" t="s">
        <v>2352</v>
      </c>
      <c r="B759" t="s">
        <v>1567</v>
      </c>
      <c r="C759" t="s">
        <v>2353</v>
      </c>
      <c r="D759" t="s">
        <v>51</v>
      </c>
      <c r="E759" t="s">
        <v>60</v>
      </c>
      <c r="F759">
        <v>21</v>
      </c>
      <c r="G759" t="s">
        <v>1151</v>
      </c>
      <c r="H759">
        <v>1</v>
      </c>
      <c r="I759">
        <v>27.4</v>
      </c>
      <c r="J759">
        <v>10.64</v>
      </c>
      <c r="K759" t="s">
        <v>19</v>
      </c>
      <c r="L759" s="3">
        <v>45107</v>
      </c>
      <c r="M759" t="s">
        <v>48</v>
      </c>
      <c r="N759">
        <v>21</v>
      </c>
    </row>
    <row r="760" spans="1:14" x14ac:dyDescent="0.25">
      <c r="A760" t="s">
        <v>1725</v>
      </c>
      <c r="B760" t="s">
        <v>1238</v>
      </c>
      <c r="C760" s="3">
        <v>44985</v>
      </c>
      <c r="D760" t="s">
        <v>30</v>
      </c>
      <c r="E760" t="s">
        <v>132</v>
      </c>
      <c r="F760">
        <v>31</v>
      </c>
      <c r="G760" t="s">
        <v>553</v>
      </c>
      <c r="H760">
        <v>1</v>
      </c>
      <c r="I760" s="2">
        <v>16.84</v>
      </c>
      <c r="J760">
        <v>7.11</v>
      </c>
      <c r="K760" t="s">
        <v>41</v>
      </c>
      <c r="L760" s="3">
        <v>44985</v>
      </c>
      <c r="M760" t="s">
        <v>132</v>
      </c>
      <c r="N760">
        <v>31</v>
      </c>
    </row>
    <row r="761" spans="1:14" x14ac:dyDescent="0.25">
      <c r="A761" t="s">
        <v>2354</v>
      </c>
      <c r="B761" t="s">
        <v>1422</v>
      </c>
      <c r="C761" s="1">
        <v>44980</v>
      </c>
      <c r="D761" t="s">
        <v>51</v>
      </c>
      <c r="E761" t="s">
        <v>38</v>
      </c>
      <c r="F761">
        <v>29</v>
      </c>
      <c r="G761" t="s">
        <v>2355</v>
      </c>
      <c r="H761">
        <v>-1</v>
      </c>
      <c r="I761">
        <v>-13.44</v>
      </c>
      <c r="J761">
        <v>-4.96</v>
      </c>
      <c r="K761" t="s">
        <v>19</v>
      </c>
      <c r="L761" s="3">
        <v>44980</v>
      </c>
      <c r="M761" t="s">
        <v>34</v>
      </c>
      <c r="N761">
        <v>29</v>
      </c>
    </row>
    <row r="762" spans="1:14" x14ac:dyDescent="0.25">
      <c r="A762" t="s">
        <v>2356</v>
      </c>
      <c r="B762" t="s">
        <v>2357</v>
      </c>
      <c r="C762" t="s">
        <v>2358</v>
      </c>
      <c r="D762" t="s">
        <v>16</v>
      </c>
      <c r="E762" t="s">
        <v>65</v>
      </c>
      <c r="F762">
        <v>74</v>
      </c>
      <c r="G762" t="s">
        <v>399</v>
      </c>
      <c r="H762">
        <v>2</v>
      </c>
      <c r="I762">
        <v>57.18</v>
      </c>
      <c r="J762" s="2">
        <v>27.04</v>
      </c>
      <c r="K762" t="s">
        <v>19</v>
      </c>
      <c r="L762" s="3">
        <v>45239</v>
      </c>
      <c r="M762" t="s">
        <v>48</v>
      </c>
      <c r="N762">
        <v>74</v>
      </c>
    </row>
    <row r="763" spans="1:14" x14ac:dyDescent="0.25">
      <c r="A763" t="s">
        <v>2359</v>
      </c>
      <c r="B763" t="s">
        <v>2360</v>
      </c>
      <c r="C763" s="1">
        <v>45455</v>
      </c>
      <c r="D763" t="s">
        <v>16</v>
      </c>
      <c r="E763" t="s">
        <v>31</v>
      </c>
      <c r="F763">
        <v>15</v>
      </c>
      <c r="G763" t="s">
        <v>2361</v>
      </c>
      <c r="H763">
        <v>1</v>
      </c>
      <c r="I763">
        <v>29.91</v>
      </c>
      <c r="J763" t="s">
        <v>2362</v>
      </c>
      <c r="K763" t="s">
        <v>19</v>
      </c>
      <c r="L763" s="3">
        <v>45455</v>
      </c>
      <c r="M763" t="s">
        <v>34</v>
      </c>
      <c r="N763">
        <v>15</v>
      </c>
    </row>
    <row r="764" spans="1:14" x14ac:dyDescent="0.25">
      <c r="A764" t="s">
        <v>2363</v>
      </c>
      <c r="B764" t="s">
        <v>1633</v>
      </c>
      <c r="C764" t="s">
        <v>2364</v>
      </c>
      <c r="D764" t="s">
        <v>129</v>
      </c>
      <c r="E764" t="s">
        <v>45</v>
      </c>
      <c r="F764">
        <v>14</v>
      </c>
      <c r="G764" t="s">
        <v>337</v>
      </c>
      <c r="H764">
        <v>1</v>
      </c>
      <c r="I764">
        <v>4.6900000000000004</v>
      </c>
      <c r="J764" t="s">
        <v>2365</v>
      </c>
      <c r="K764" t="s">
        <v>41</v>
      </c>
      <c r="L764" s="3">
        <v>45400</v>
      </c>
      <c r="M764" t="s">
        <v>48</v>
      </c>
      <c r="N764">
        <v>14</v>
      </c>
    </row>
    <row r="765" spans="1:14" x14ac:dyDescent="0.25">
      <c r="A765" t="s">
        <v>2366</v>
      </c>
      <c r="B765" t="s">
        <v>2367</v>
      </c>
      <c r="C765" t="s">
        <v>2368</v>
      </c>
      <c r="D765" t="s">
        <v>16</v>
      </c>
      <c r="E765" t="s">
        <v>60</v>
      </c>
      <c r="F765">
        <v>50</v>
      </c>
      <c r="G765" t="s">
        <v>2369</v>
      </c>
      <c r="H765">
        <v>2</v>
      </c>
      <c r="I765">
        <v>41.8</v>
      </c>
      <c r="J765">
        <v>17.07</v>
      </c>
      <c r="K765" t="s">
        <v>41</v>
      </c>
      <c r="L765" s="3">
        <v>44976</v>
      </c>
      <c r="M765" t="s">
        <v>48</v>
      </c>
      <c r="N765">
        <v>50</v>
      </c>
    </row>
    <row r="766" spans="1:14" x14ac:dyDescent="0.25">
      <c r="A766" t="s">
        <v>2370</v>
      </c>
      <c r="B766" t="s">
        <v>22</v>
      </c>
      <c r="C766" s="1">
        <v>45266</v>
      </c>
      <c r="D766" t="s">
        <v>24</v>
      </c>
      <c r="E766" t="s">
        <v>38</v>
      </c>
      <c r="F766">
        <v>38</v>
      </c>
      <c r="G766" t="s">
        <v>2371</v>
      </c>
      <c r="H766">
        <v>2</v>
      </c>
      <c r="I766">
        <v>17.23</v>
      </c>
      <c r="J766" s="2">
        <v>7.9</v>
      </c>
      <c r="K766" t="s">
        <v>41</v>
      </c>
      <c r="L766" s="3">
        <v>45266</v>
      </c>
      <c r="M766" t="s">
        <v>34</v>
      </c>
      <c r="N766">
        <v>38</v>
      </c>
    </row>
    <row r="767" spans="1:14" x14ac:dyDescent="0.25">
      <c r="A767" t="s">
        <v>2372</v>
      </c>
      <c r="B767" t="s">
        <v>1762</v>
      </c>
      <c r="C767" t="s">
        <v>2373</v>
      </c>
      <c r="D767" t="s">
        <v>30</v>
      </c>
      <c r="E767" t="s">
        <v>85</v>
      </c>
      <c r="F767">
        <v>66</v>
      </c>
      <c r="G767" t="s">
        <v>2374</v>
      </c>
      <c r="H767">
        <v>1</v>
      </c>
      <c r="I767">
        <v>24.64</v>
      </c>
      <c r="J767">
        <v>13.22</v>
      </c>
      <c r="K767" t="s">
        <v>19</v>
      </c>
      <c r="L767" s="3">
        <v>45369</v>
      </c>
      <c r="M767" t="s">
        <v>34</v>
      </c>
      <c r="N767">
        <v>66</v>
      </c>
    </row>
    <row r="768" spans="1:14" x14ac:dyDescent="0.25">
      <c r="A768" t="s">
        <v>2375</v>
      </c>
      <c r="B768" t="s">
        <v>359</v>
      </c>
      <c r="C768" t="s">
        <v>2376</v>
      </c>
      <c r="D768" t="s">
        <v>30</v>
      </c>
      <c r="E768" t="s">
        <v>48</v>
      </c>
      <c r="F768">
        <v>61</v>
      </c>
      <c r="G768" t="s">
        <v>1294</v>
      </c>
      <c r="H768">
        <v>1</v>
      </c>
      <c r="I768">
        <v>26.5</v>
      </c>
      <c r="J768" t="s">
        <v>2377</v>
      </c>
      <c r="K768" t="s">
        <v>41</v>
      </c>
      <c r="L768" s="3">
        <v>45394</v>
      </c>
      <c r="M768" t="s">
        <v>48</v>
      </c>
      <c r="N768">
        <v>61</v>
      </c>
    </row>
    <row r="769" spans="1:14" x14ac:dyDescent="0.25">
      <c r="A769" t="s">
        <v>379</v>
      </c>
      <c r="B769" t="s">
        <v>59</v>
      </c>
      <c r="C769" t="s">
        <v>380</v>
      </c>
      <c r="D769" t="s">
        <v>16</v>
      </c>
      <c r="E769" t="s">
        <v>38</v>
      </c>
      <c r="F769">
        <v>41</v>
      </c>
      <c r="G769" t="s">
        <v>381</v>
      </c>
      <c r="H769">
        <v>3</v>
      </c>
      <c r="I769" t="s">
        <v>205</v>
      </c>
      <c r="J769" s="2">
        <v>26.05</v>
      </c>
      <c r="K769" t="s">
        <v>19</v>
      </c>
      <c r="L769" s="3">
        <v>45269</v>
      </c>
      <c r="M769" t="s">
        <v>34</v>
      </c>
      <c r="N769">
        <v>41</v>
      </c>
    </row>
    <row r="770" spans="1:14" x14ac:dyDescent="0.25">
      <c r="A770" t="s">
        <v>2047</v>
      </c>
      <c r="B770" t="s">
        <v>215</v>
      </c>
      <c r="C770" t="s">
        <v>2048</v>
      </c>
      <c r="D770" t="s">
        <v>24</v>
      </c>
      <c r="E770" t="s">
        <v>48</v>
      </c>
      <c r="F770">
        <v>26</v>
      </c>
      <c r="G770" t="s">
        <v>2049</v>
      </c>
      <c r="H770">
        <v>1</v>
      </c>
      <c r="I770">
        <v>13.41</v>
      </c>
      <c r="J770" t="s">
        <v>2050</v>
      </c>
      <c r="K770" t="s">
        <v>19</v>
      </c>
      <c r="L770" s="3">
        <v>45123</v>
      </c>
      <c r="M770" t="s">
        <v>48</v>
      </c>
      <c r="N770">
        <v>26</v>
      </c>
    </row>
    <row r="771" spans="1:14" x14ac:dyDescent="0.25">
      <c r="A771" t="s">
        <v>2378</v>
      </c>
      <c r="B771" t="s">
        <v>2379</v>
      </c>
      <c r="C771" s="3">
        <v>45082</v>
      </c>
      <c r="D771" t="s">
        <v>129</v>
      </c>
      <c r="E771" t="s">
        <v>25</v>
      </c>
      <c r="F771">
        <v>75</v>
      </c>
      <c r="G771" t="s">
        <v>2380</v>
      </c>
      <c r="H771">
        <v>1</v>
      </c>
      <c r="I771" t="s">
        <v>2381</v>
      </c>
      <c r="J771" s="2">
        <v>3.72</v>
      </c>
      <c r="K771" t="s">
        <v>41</v>
      </c>
      <c r="L771" s="3">
        <v>45082</v>
      </c>
      <c r="M771" t="s">
        <v>20</v>
      </c>
      <c r="N771">
        <v>75</v>
      </c>
    </row>
    <row r="772" spans="1:14" x14ac:dyDescent="0.25">
      <c r="A772" t="s">
        <v>2382</v>
      </c>
      <c r="B772" t="s">
        <v>1448</v>
      </c>
      <c r="C772" s="1">
        <v>45344</v>
      </c>
      <c r="D772" t="s">
        <v>16</v>
      </c>
      <c r="E772" t="s">
        <v>65</v>
      </c>
      <c r="F772">
        <v>28</v>
      </c>
      <c r="G772" t="s">
        <v>722</v>
      </c>
      <c r="H772">
        <v>1</v>
      </c>
      <c r="I772">
        <v>20.65</v>
      </c>
      <c r="J772" t="s">
        <v>2383</v>
      </c>
      <c r="K772" t="s">
        <v>19</v>
      </c>
      <c r="L772" s="3">
        <v>45344</v>
      </c>
      <c r="M772" t="s">
        <v>48</v>
      </c>
      <c r="N772">
        <v>28</v>
      </c>
    </row>
    <row r="773" spans="1:14" x14ac:dyDescent="0.25">
      <c r="A773" t="s">
        <v>2384</v>
      </c>
      <c r="B773" t="s">
        <v>1199</v>
      </c>
      <c r="C773" s="3">
        <v>45034</v>
      </c>
      <c r="D773" t="s">
        <v>24</v>
      </c>
      <c r="F773">
        <v>21</v>
      </c>
      <c r="G773" t="s">
        <v>2385</v>
      </c>
      <c r="H773">
        <v>1</v>
      </c>
      <c r="I773">
        <v>23.53</v>
      </c>
      <c r="J773">
        <v>8.3800000000000008</v>
      </c>
      <c r="K773" t="s">
        <v>41</v>
      </c>
      <c r="L773" s="3">
        <v>45034</v>
      </c>
      <c r="M773" t="s">
        <v>20</v>
      </c>
      <c r="N773">
        <v>21</v>
      </c>
    </row>
    <row r="774" spans="1:14" x14ac:dyDescent="0.25">
      <c r="A774" t="s">
        <v>2386</v>
      </c>
      <c r="B774" t="s">
        <v>551</v>
      </c>
      <c r="C774" s="3">
        <v>45537</v>
      </c>
      <c r="D774" t="s">
        <v>51</v>
      </c>
      <c r="E774" t="s">
        <v>25</v>
      </c>
      <c r="F774">
        <v>50</v>
      </c>
      <c r="G774" t="s">
        <v>2387</v>
      </c>
      <c r="H774">
        <v>1</v>
      </c>
      <c r="I774">
        <v>36.99</v>
      </c>
      <c r="J774">
        <v>21.07</v>
      </c>
      <c r="K774" t="s">
        <v>41</v>
      </c>
      <c r="L774" s="3">
        <v>45537</v>
      </c>
      <c r="M774" t="s">
        <v>20</v>
      </c>
      <c r="N774">
        <v>50</v>
      </c>
    </row>
    <row r="775" spans="1:14" x14ac:dyDescent="0.25">
      <c r="A775" t="s">
        <v>2388</v>
      </c>
      <c r="B775" t="s">
        <v>1762</v>
      </c>
      <c r="C775" t="s">
        <v>2389</v>
      </c>
      <c r="D775" t="s">
        <v>129</v>
      </c>
      <c r="E775" t="s">
        <v>31</v>
      </c>
      <c r="F775" t="s">
        <v>75</v>
      </c>
      <c r="G775" t="s">
        <v>2390</v>
      </c>
      <c r="H775">
        <v>2</v>
      </c>
      <c r="I775">
        <v>19.91</v>
      </c>
      <c r="J775" s="2">
        <v>8.44</v>
      </c>
      <c r="K775" t="s">
        <v>19</v>
      </c>
      <c r="L775" s="3">
        <v>45093</v>
      </c>
      <c r="M775" t="s">
        <v>34</v>
      </c>
      <c r="N775">
        <v>20</v>
      </c>
    </row>
    <row r="776" spans="1:14" x14ac:dyDescent="0.25">
      <c r="A776" t="s">
        <v>2391</v>
      </c>
      <c r="B776" t="s">
        <v>2392</v>
      </c>
      <c r="C776" s="1">
        <v>44972</v>
      </c>
      <c r="D776" t="s">
        <v>24</v>
      </c>
      <c r="E776" t="s">
        <v>45</v>
      </c>
      <c r="F776" t="s">
        <v>25</v>
      </c>
      <c r="G776" t="s">
        <v>2393</v>
      </c>
      <c r="H776">
        <v>2</v>
      </c>
      <c r="I776">
        <v>12.49</v>
      </c>
      <c r="J776" s="2">
        <v>6.44</v>
      </c>
      <c r="K776" t="s">
        <v>41</v>
      </c>
      <c r="L776" s="3">
        <v>44972</v>
      </c>
      <c r="M776" t="s">
        <v>48</v>
      </c>
    </row>
    <row r="777" spans="1:14" x14ac:dyDescent="0.25">
      <c r="A777" t="s">
        <v>2394</v>
      </c>
      <c r="B777" t="s">
        <v>2395</v>
      </c>
      <c r="C777" t="s">
        <v>2396</v>
      </c>
      <c r="D777" t="s">
        <v>129</v>
      </c>
      <c r="E777" t="s">
        <v>34</v>
      </c>
      <c r="F777">
        <v>53</v>
      </c>
      <c r="G777" t="s">
        <v>2397</v>
      </c>
      <c r="H777">
        <v>1</v>
      </c>
      <c r="I777" s="2">
        <v>3.89</v>
      </c>
      <c r="J777" s="2">
        <v>1.97</v>
      </c>
      <c r="K777" t="s">
        <v>41</v>
      </c>
      <c r="L777" s="3">
        <v>45617</v>
      </c>
      <c r="M777" t="s">
        <v>34</v>
      </c>
      <c r="N777">
        <v>53</v>
      </c>
    </row>
    <row r="778" spans="1:14" x14ac:dyDescent="0.25">
      <c r="A778" t="s">
        <v>2398</v>
      </c>
      <c r="B778" t="s">
        <v>2379</v>
      </c>
      <c r="C778" t="s">
        <v>2399</v>
      </c>
      <c r="D778" t="s">
        <v>16</v>
      </c>
      <c r="E778" t="s">
        <v>38</v>
      </c>
      <c r="F778">
        <v>60</v>
      </c>
      <c r="G778" t="s">
        <v>2400</v>
      </c>
      <c r="H778">
        <v>2</v>
      </c>
      <c r="I778" t="s">
        <v>2401</v>
      </c>
      <c r="J778">
        <v>17.760000000000002</v>
      </c>
      <c r="K778" t="s">
        <v>41</v>
      </c>
      <c r="L778" s="3">
        <v>45581</v>
      </c>
      <c r="M778" t="s">
        <v>34</v>
      </c>
      <c r="N778">
        <v>60</v>
      </c>
    </row>
    <row r="779" spans="1:14" x14ac:dyDescent="0.25">
      <c r="A779" t="s">
        <v>2402</v>
      </c>
      <c r="B779" t="s">
        <v>1758</v>
      </c>
      <c r="C779" s="1">
        <v>45487</v>
      </c>
      <c r="D779" t="s">
        <v>51</v>
      </c>
      <c r="E779" t="s">
        <v>31</v>
      </c>
      <c r="F779">
        <v>70</v>
      </c>
      <c r="G779" t="s">
        <v>2403</v>
      </c>
      <c r="H779">
        <v>2</v>
      </c>
      <c r="I779" s="2">
        <v>49.91</v>
      </c>
      <c r="J779">
        <v>22.53</v>
      </c>
      <c r="K779" t="s">
        <v>19</v>
      </c>
      <c r="L779" s="3">
        <v>45487</v>
      </c>
      <c r="M779" t="s">
        <v>34</v>
      </c>
      <c r="N779">
        <v>70</v>
      </c>
    </row>
    <row r="780" spans="1:14" x14ac:dyDescent="0.25">
      <c r="A780" t="s">
        <v>2404</v>
      </c>
      <c r="B780" t="s">
        <v>150</v>
      </c>
      <c r="C780" t="s">
        <v>2405</v>
      </c>
      <c r="D780" t="s">
        <v>30</v>
      </c>
      <c r="E780" t="s">
        <v>85</v>
      </c>
      <c r="F780">
        <v>65</v>
      </c>
      <c r="G780" t="s">
        <v>2406</v>
      </c>
      <c r="H780">
        <v>2</v>
      </c>
      <c r="I780">
        <v>47.13</v>
      </c>
      <c r="J780">
        <v>20.73</v>
      </c>
      <c r="K780" t="s">
        <v>41</v>
      </c>
      <c r="L780" s="3">
        <v>44995</v>
      </c>
      <c r="M780" t="s">
        <v>34</v>
      </c>
      <c r="N780">
        <v>65</v>
      </c>
    </row>
    <row r="781" spans="1:14" x14ac:dyDescent="0.25">
      <c r="A781" t="s">
        <v>2407</v>
      </c>
      <c r="B781" t="s">
        <v>1408</v>
      </c>
      <c r="C781" s="1">
        <v>45644</v>
      </c>
      <c r="D781" t="s">
        <v>30</v>
      </c>
      <c r="E781" t="s">
        <v>48</v>
      </c>
      <c r="F781">
        <v>59</v>
      </c>
      <c r="G781" t="s">
        <v>2408</v>
      </c>
      <c r="H781">
        <v>1</v>
      </c>
      <c r="I781" t="s">
        <v>2409</v>
      </c>
      <c r="K781" t="s">
        <v>41</v>
      </c>
      <c r="L781" s="3">
        <v>45644</v>
      </c>
      <c r="M781" t="s">
        <v>48</v>
      </c>
      <c r="N781">
        <v>59</v>
      </c>
    </row>
    <row r="782" spans="1:14" x14ac:dyDescent="0.25">
      <c r="A782" t="s">
        <v>2410</v>
      </c>
      <c r="B782" t="s">
        <v>402</v>
      </c>
      <c r="C782" t="s">
        <v>2411</v>
      </c>
      <c r="D782" t="s">
        <v>51</v>
      </c>
      <c r="E782" t="s">
        <v>45</v>
      </c>
      <c r="F782">
        <v>18</v>
      </c>
      <c r="G782" t="s">
        <v>290</v>
      </c>
      <c r="H782">
        <v>1</v>
      </c>
      <c r="I782" s="2">
        <v>31.89</v>
      </c>
      <c r="J782">
        <v>10.02</v>
      </c>
      <c r="K782" t="s">
        <v>41</v>
      </c>
      <c r="L782" s="3">
        <v>45642</v>
      </c>
      <c r="M782" t="s">
        <v>48</v>
      </c>
      <c r="N782">
        <v>18</v>
      </c>
    </row>
    <row r="783" spans="1:14" x14ac:dyDescent="0.25">
      <c r="A783" t="s">
        <v>2412</v>
      </c>
      <c r="B783" t="s">
        <v>453</v>
      </c>
      <c r="C783" s="1">
        <v>45193</v>
      </c>
      <c r="D783" t="s">
        <v>24</v>
      </c>
      <c r="E783" t="s">
        <v>48</v>
      </c>
      <c r="F783">
        <v>21</v>
      </c>
      <c r="G783" t="s">
        <v>2413</v>
      </c>
      <c r="H783">
        <v>2</v>
      </c>
      <c r="I783">
        <v>9.0299999999999994</v>
      </c>
      <c r="J783">
        <v>4.03</v>
      </c>
      <c r="K783" t="s">
        <v>19</v>
      </c>
      <c r="L783" s="3">
        <v>45193</v>
      </c>
      <c r="M783" t="s">
        <v>48</v>
      </c>
      <c r="N783">
        <v>21</v>
      </c>
    </row>
    <row r="784" spans="1:14" x14ac:dyDescent="0.25">
      <c r="A784" t="s">
        <v>2414</v>
      </c>
      <c r="B784" t="s">
        <v>345</v>
      </c>
      <c r="C784" t="s">
        <v>423</v>
      </c>
      <c r="D784" t="s">
        <v>129</v>
      </c>
      <c r="E784" t="s">
        <v>38</v>
      </c>
      <c r="F784">
        <v>35</v>
      </c>
      <c r="G784" t="s">
        <v>1874</v>
      </c>
      <c r="H784">
        <v>3</v>
      </c>
      <c r="I784" t="s">
        <v>2415</v>
      </c>
      <c r="J784">
        <v>11.14</v>
      </c>
      <c r="K784" t="s">
        <v>41</v>
      </c>
      <c r="L784" s="3">
        <v>45355</v>
      </c>
      <c r="M784" t="s">
        <v>34</v>
      </c>
      <c r="N784">
        <v>35</v>
      </c>
    </row>
    <row r="785" spans="1:14" x14ac:dyDescent="0.25">
      <c r="A785" t="s">
        <v>2416</v>
      </c>
      <c r="B785" t="s">
        <v>390</v>
      </c>
      <c r="C785" t="s">
        <v>2417</v>
      </c>
      <c r="D785" t="s">
        <v>129</v>
      </c>
      <c r="E785" t="s">
        <v>34</v>
      </c>
      <c r="F785">
        <v>43</v>
      </c>
      <c r="G785" t="s">
        <v>2418</v>
      </c>
      <c r="H785">
        <v>1</v>
      </c>
      <c r="I785">
        <v>4.13</v>
      </c>
      <c r="J785" s="2">
        <v>1.4</v>
      </c>
      <c r="K785" t="s">
        <v>41</v>
      </c>
      <c r="L785" s="3">
        <v>45242</v>
      </c>
      <c r="M785" t="s">
        <v>34</v>
      </c>
      <c r="N785">
        <v>43</v>
      </c>
    </row>
    <row r="786" spans="1:14" x14ac:dyDescent="0.25">
      <c r="A786" t="s">
        <v>2419</v>
      </c>
      <c r="B786" t="s">
        <v>2420</v>
      </c>
      <c r="C786" t="s">
        <v>2421</v>
      </c>
      <c r="D786" t="s">
        <v>129</v>
      </c>
      <c r="E786" t="s">
        <v>60</v>
      </c>
      <c r="F786">
        <v>49</v>
      </c>
      <c r="G786" t="s">
        <v>2422</v>
      </c>
      <c r="H786">
        <v>2</v>
      </c>
      <c r="I786">
        <v>33.07</v>
      </c>
      <c r="J786">
        <v>16.16</v>
      </c>
      <c r="K786" t="s">
        <v>19</v>
      </c>
      <c r="L786" s="3">
        <v>45095</v>
      </c>
      <c r="M786" t="s">
        <v>48</v>
      </c>
      <c r="N786">
        <v>49</v>
      </c>
    </row>
    <row r="787" spans="1:14" x14ac:dyDescent="0.25">
      <c r="A787" t="s">
        <v>2423</v>
      </c>
      <c r="B787" t="s">
        <v>28</v>
      </c>
      <c r="C787" t="s">
        <v>1654</v>
      </c>
      <c r="D787" t="s">
        <v>16</v>
      </c>
      <c r="E787" t="s">
        <v>38</v>
      </c>
      <c r="F787">
        <v>72</v>
      </c>
      <c r="G787" t="s">
        <v>1790</v>
      </c>
      <c r="H787">
        <v>1</v>
      </c>
      <c r="I787">
        <v>15.17</v>
      </c>
      <c r="J787">
        <v>6.33</v>
      </c>
      <c r="K787" t="s">
        <v>19</v>
      </c>
      <c r="L787" s="3">
        <v>45611</v>
      </c>
      <c r="M787" t="s">
        <v>34</v>
      </c>
      <c r="N787">
        <v>72</v>
      </c>
    </row>
    <row r="788" spans="1:14" x14ac:dyDescent="0.25">
      <c r="A788" t="s">
        <v>909</v>
      </c>
      <c r="B788" t="s">
        <v>118</v>
      </c>
      <c r="C788" s="1">
        <v>45305</v>
      </c>
      <c r="D788" t="s">
        <v>51</v>
      </c>
      <c r="E788" t="s">
        <v>45</v>
      </c>
      <c r="F788">
        <v>19</v>
      </c>
      <c r="G788" t="s">
        <v>303</v>
      </c>
      <c r="H788">
        <v>2</v>
      </c>
      <c r="I788">
        <v>63.93</v>
      </c>
      <c r="J788">
        <v>26.48</v>
      </c>
      <c r="K788" t="s">
        <v>41</v>
      </c>
      <c r="L788" s="3">
        <v>45305</v>
      </c>
      <c r="M788" t="s">
        <v>48</v>
      </c>
      <c r="N788">
        <v>19</v>
      </c>
    </row>
    <row r="789" spans="1:14" x14ac:dyDescent="0.25">
      <c r="A789" t="s">
        <v>2424</v>
      </c>
      <c r="B789" t="s">
        <v>1653</v>
      </c>
      <c r="C789" s="1">
        <v>45649</v>
      </c>
      <c r="D789" t="s">
        <v>129</v>
      </c>
      <c r="E789" t="s">
        <v>45</v>
      </c>
      <c r="F789">
        <v>58</v>
      </c>
      <c r="G789" t="s">
        <v>2425</v>
      </c>
      <c r="H789">
        <v>2</v>
      </c>
      <c r="I789" s="2">
        <v>25.82</v>
      </c>
      <c r="J789">
        <v>6.21</v>
      </c>
      <c r="K789" t="s">
        <v>19</v>
      </c>
      <c r="L789" s="3">
        <v>45649</v>
      </c>
      <c r="M789" t="s">
        <v>48</v>
      </c>
      <c r="N789">
        <v>58</v>
      </c>
    </row>
    <row r="790" spans="1:14" x14ac:dyDescent="0.25">
      <c r="A790" t="s">
        <v>532</v>
      </c>
      <c r="B790" t="s">
        <v>610</v>
      </c>
      <c r="C790" s="3">
        <v>45186</v>
      </c>
      <c r="D790" t="s">
        <v>16</v>
      </c>
      <c r="E790" t="s">
        <v>45</v>
      </c>
      <c r="F790">
        <v>19</v>
      </c>
      <c r="G790" t="s">
        <v>2426</v>
      </c>
      <c r="H790">
        <v>1</v>
      </c>
      <c r="I790" t="s">
        <v>536</v>
      </c>
      <c r="J790" t="s">
        <v>537</v>
      </c>
      <c r="K790" t="s">
        <v>19</v>
      </c>
      <c r="L790" s="3">
        <v>45186</v>
      </c>
      <c r="M790" t="s">
        <v>48</v>
      </c>
      <c r="N790">
        <v>19</v>
      </c>
    </row>
    <row r="791" spans="1:14" x14ac:dyDescent="0.25">
      <c r="A791" t="s">
        <v>2427</v>
      </c>
      <c r="B791" t="s">
        <v>1876</v>
      </c>
      <c r="C791" t="s">
        <v>2428</v>
      </c>
      <c r="D791" t="s">
        <v>16</v>
      </c>
      <c r="E791" t="s">
        <v>85</v>
      </c>
      <c r="F791">
        <v>23</v>
      </c>
      <c r="G791" t="s">
        <v>2429</v>
      </c>
      <c r="H791">
        <v>2</v>
      </c>
      <c r="I791">
        <v>24.07</v>
      </c>
      <c r="J791">
        <v>12.19</v>
      </c>
      <c r="K791" t="s">
        <v>19</v>
      </c>
      <c r="L791" s="3">
        <v>45035</v>
      </c>
      <c r="M791" t="s">
        <v>34</v>
      </c>
      <c r="N791">
        <v>23</v>
      </c>
    </row>
    <row r="792" spans="1:14" x14ac:dyDescent="0.25">
      <c r="A792" t="s">
        <v>2430</v>
      </c>
      <c r="B792" t="s">
        <v>1103</v>
      </c>
      <c r="C792" t="s">
        <v>2431</v>
      </c>
      <c r="D792" t="s">
        <v>51</v>
      </c>
      <c r="E792" t="s">
        <v>34</v>
      </c>
      <c r="F792">
        <v>35</v>
      </c>
      <c r="G792" t="s">
        <v>2180</v>
      </c>
      <c r="H792">
        <v>1</v>
      </c>
      <c r="I792">
        <v>31.02</v>
      </c>
      <c r="J792">
        <v>16.91</v>
      </c>
      <c r="K792" t="s">
        <v>41</v>
      </c>
      <c r="L792" s="3">
        <v>45566</v>
      </c>
      <c r="M792" t="s">
        <v>34</v>
      </c>
      <c r="N792">
        <v>35</v>
      </c>
    </row>
    <row r="793" spans="1:14" x14ac:dyDescent="0.25">
      <c r="A793" t="s">
        <v>2432</v>
      </c>
      <c r="B793" t="s">
        <v>1448</v>
      </c>
      <c r="C793" s="1">
        <v>45260</v>
      </c>
      <c r="D793" t="s">
        <v>129</v>
      </c>
      <c r="E793" t="s">
        <v>45</v>
      </c>
      <c r="F793">
        <v>27</v>
      </c>
      <c r="G793" t="s">
        <v>2385</v>
      </c>
      <c r="H793">
        <v>2</v>
      </c>
      <c r="I793" s="2">
        <v>12.95</v>
      </c>
      <c r="J793" t="s">
        <v>2159</v>
      </c>
      <c r="K793" t="s">
        <v>19</v>
      </c>
      <c r="L793" s="3">
        <v>45260</v>
      </c>
      <c r="M793" t="s">
        <v>48</v>
      </c>
      <c r="N793">
        <v>27</v>
      </c>
    </row>
    <row r="794" spans="1:14" x14ac:dyDescent="0.25">
      <c r="A794" t="s">
        <v>2433</v>
      </c>
      <c r="B794" t="s">
        <v>411</v>
      </c>
      <c r="C794" t="s">
        <v>2434</v>
      </c>
      <c r="D794" t="s">
        <v>51</v>
      </c>
      <c r="E794" t="s">
        <v>34</v>
      </c>
      <c r="F794">
        <v>73</v>
      </c>
      <c r="G794" t="s">
        <v>970</v>
      </c>
      <c r="H794">
        <v>2</v>
      </c>
      <c r="J794">
        <v>14.66</v>
      </c>
      <c r="K794" t="s">
        <v>19</v>
      </c>
      <c r="L794" s="3">
        <v>45287</v>
      </c>
      <c r="M794" t="s">
        <v>34</v>
      </c>
      <c r="N794">
        <v>73</v>
      </c>
    </row>
    <row r="795" spans="1:14" x14ac:dyDescent="0.25">
      <c r="A795" t="s">
        <v>2435</v>
      </c>
      <c r="B795" t="s">
        <v>1691</v>
      </c>
      <c r="C795" s="1">
        <v>45026</v>
      </c>
      <c r="D795" t="s">
        <v>16</v>
      </c>
      <c r="E795" t="s">
        <v>38</v>
      </c>
      <c r="F795">
        <v>20</v>
      </c>
      <c r="G795" t="s">
        <v>2436</v>
      </c>
      <c r="H795">
        <v>1</v>
      </c>
      <c r="I795" s="2">
        <v>31.94</v>
      </c>
      <c r="J795">
        <v>16.079999999999998</v>
      </c>
      <c r="K795" t="s">
        <v>19</v>
      </c>
      <c r="L795" s="3">
        <v>45026</v>
      </c>
      <c r="M795" t="s">
        <v>34</v>
      </c>
      <c r="N795">
        <v>20</v>
      </c>
    </row>
    <row r="796" spans="1:14" x14ac:dyDescent="0.25">
      <c r="A796" t="s">
        <v>2437</v>
      </c>
      <c r="B796" t="s">
        <v>2438</v>
      </c>
      <c r="C796" t="s">
        <v>2439</v>
      </c>
      <c r="D796" t="s">
        <v>51</v>
      </c>
      <c r="E796" t="s">
        <v>25</v>
      </c>
      <c r="F796">
        <v>40</v>
      </c>
      <c r="G796" t="s">
        <v>2440</v>
      </c>
      <c r="H796">
        <v>2</v>
      </c>
      <c r="I796">
        <v>43.24</v>
      </c>
      <c r="J796">
        <v>22.96</v>
      </c>
      <c r="K796" t="s">
        <v>41</v>
      </c>
      <c r="L796" s="3">
        <v>45062</v>
      </c>
      <c r="M796" t="s">
        <v>20</v>
      </c>
      <c r="N796">
        <v>40</v>
      </c>
    </row>
    <row r="797" spans="1:14" x14ac:dyDescent="0.25">
      <c r="A797" t="s">
        <v>2441</v>
      </c>
      <c r="B797" t="s">
        <v>619</v>
      </c>
      <c r="C797" s="3">
        <v>45469</v>
      </c>
      <c r="D797" t="s">
        <v>24</v>
      </c>
      <c r="E797" t="s">
        <v>48</v>
      </c>
      <c r="F797">
        <v>74</v>
      </c>
      <c r="G797" t="s">
        <v>2442</v>
      </c>
      <c r="H797">
        <v>2</v>
      </c>
      <c r="I797" t="s">
        <v>2443</v>
      </c>
      <c r="J797">
        <v>12.07</v>
      </c>
      <c r="K797" t="s">
        <v>19</v>
      </c>
      <c r="L797" s="3">
        <v>45469</v>
      </c>
      <c r="M797" t="s">
        <v>48</v>
      </c>
      <c r="N797">
        <v>74</v>
      </c>
    </row>
    <row r="798" spans="1:14" x14ac:dyDescent="0.25">
      <c r="A798" t="s">
        <v>2444</v>
      </c>
      <c r="B798" t="s">
        <v>2445</v>
      </c>
      <c r="C798" s="1">
        <v>45405</v>
      </c>
      <c r="D798" t="s">
        <v>24</v>
      </c>
      <c r="E798" t="s">
        <v>31</v>
      </c>
      <c r="F798">
        <v>56</v>
      </c>
      <c r="G798" t="s">
        <v>2446</v>
      </c>
      <c r="H798">
        <v>2</v>
      </c>
      <c r="I798">
        <v>23.15</v>
      </c>
      <c r="J798">
        <v>9.81</v>
      </c>
      <c r="K798" t="s">
        <v>19</v>
      </c>
      <c r="L798" s="3">
        <v>45405</v>
      </c>
      <c r="M798" t="s">
        <v>34</v>
      </c>
      <c r="N798">
        <v>56</v>
      </c>
    </row>
    <row r="799" spans="1:14" x14ac:dyDescent="0.25">
      <c r="A799" t="s">
        <v>2447</v>
      </c>
      <c r="B799" t="s">
        <v>521</v>
      </c>
      <c r="C799" s="3">
        <v>45255</v>
      </c>
      <c r="D799" t="s">
        <v>51</v>
      </c>
      <c r="E799" t="s">
        <v>45</v>
      </c>
      <c r="F799">
        <v>64</v>
      </c>
      <c r="G799" t="s">
        <v>2448</v>
      </c>
      <c r="H799">
        <v>1</v>
      </c>
      <c r="I799" t="s">
        <v>2449</v>
      </c>
      <c r="J799">
        <v>9.43</v>
      </c>
      <c r="K799" t="s">
        <v>19</v>
      </c>
      <c r="L799" s="3">
        <v>45255</v>
      </c>
      <c r="M799" t="s">
        <v>48</v>
      </c>
      <c r="N799">
        <v>64</v>
      </c>
    </row>
    <row r="800" spans="1:14" x14ac:dyDescent="0.25">
      <c r="A800" t="s">
        <v>2450</v>
      </c>
      <c r="B800" t="s">
        <v>783</v>
      </c>
      <c r="C800" t="s">
        <v>2451</v>
      </c>
      <c r="D800" t="s">
        <v>129</v>
      </c>
      <c r="E800" t="s">
        <v>45</v>
      </c>
      <c r="F800">
        <v>58</v>
      </c>
      <c r="G800" t="s">
        <v>754</v>
      </c>
      <c r="H800">
        <v>1</v>
      </c>
      <c r="I800">
        <v>4.45</v>
      </c>
      <c r="J800">
        <v>1.48</v>
      </c>
      <c r="K800" t="s">
        <v>19</v>
      </c>
      <c r="L800" s="3">
        <v>44936</v>
      </c>
      <c r="M800" t="s">
        <v>48</v>
      </c>
      <c r="N800">
        <v>58</v>
      </c>
    </row>
    <row r="801" spans="1:14" x14ac:dyDescent="0.25">
      <c r="A801" t="s">
        <v>2452</v>
      </c>
      <c r="B801" t="s">
        <v>110</v>
      </c>
      <c r="C801" s="1">
        <v>45558</v>
      </c>
      <c r="D801" t="s">
        <v>51</v>
      </c>
      <c r="E801" t="s">
        <v>70</v>
      </c>
      <c r="F801">
        <v>42</v>
      </c>
      <c r="G801" t="s">
        <v>2453</v>
      </c>
      <c r="H801">
        <v>1</v>
      </c>
      <c r="I801" t="s">
        <v>2454</v>
      </c>
      <c r="J801">
        <v>11.08</v>
      </c>
      <c r="K801" t="s">
        <v>41</v>
      </c>
      <c r="L801" s="3">
        <v>45558</v>
      </c>
      <c r="M801" t="s">
        <v>20</v>
      </c>
      <c r="N801">
        <v>42</v>
      </c>
    </row>
    <row r="802" spans="1:14" x14ac:dyDescent="0.25">
      <c r="A802" t="s">
        <v>2455</v>
      </c>
      <c r="B802" t="s">
        <v>397</v>
      </c>
      <c r="C802" s="3">
        <v>44985</v>
      </c>
      <c r="D802" t="s">
        <v>51</v>
      </c>
      <c r="F802">
        <v>34</v>
      </c>
      <c r="G802" t="s">
        <v>2456</v>
      </c>
      <c r="H802">
        <v>2</v>
      </c>
      <c r="I802" t="s">
        <v>2457</v>
      </c>
      <c r="J802">
        <v>51.83</v>
      </c>
      <c r="K802" t="s">
        <v>41</v>
      </c>
      <c r="L802" s="3">
        <v>44985</v>
      </c>
      <c r="M802" t="s">
        <v>20</v>
      </c>
      <c r="N802">
        <v>34</v>
      </c>
    </row>
    <row r="803" spans="1:14" x14ac:dyDescent="0.25">
      <c r="A803" t="s">
        <v>2086</v>
      </c>
      <c r="B803" t="s">
        <v>1030</v>
      </c>
      <c r="C803" s="1">
        <v>45471</v>
      </c>
      <c r="D803" t="s">
        <v>129</v>
      </c>
      <c r="E803" t="s">
        <v>70</v>
      </c>
      <c r="F803">
        <v>19</v>
      </c>
      <c r="G803" t="s">
        <v>280</v>
      </c>
      <c r="H803">
        <v>1</v>
      </c>
      <c r="I803" s="2">
        <v>11.69</v>
      </c>
      <c r="J803">
        <v>3.85</v>
      </c>
      <c r="K803" t="s">
        <v>41</v>
      </c>
      <c r="L803" s="3">
        <v>45471</v>
      </c>
      <c r="M803" t="s">
        <v>20</v>
      </c>
      <c r="N803">
        <v>19</v>
      </c>
    </row>
    <row r="804" spans="1:14" x14ac:dyDescent="0.25">
      <c r="A804" t="s">
        <v>2458</v>
      </c>
      <c r="B804" t="s">
        <v>2459</v>
      </c>
      <c r="C804" s="1">
        <v>45107</v>
      </c>
      <c r="D804" t="s">
        <v>30</v>
      </c>
      <c r="E804" t="s">
        <v>48</v>
      </c>
      <c r="F804">
        <v>73</v>
      </c>
      <c r="G804" t="s">
        <v>2460</v>
      </c>
      <c r="H804">
        <v>2</v>
      </c>
      <c r="I804">
        <v>28.83</v>
      </c>
      <c r="J804">
        <v>16.64</v>
      </c>
      <c r="K804" t="s">
        <v>19</v>
      </c>
      <c r="L804" s="3">
        <v>45107</v>
      </c>
      <c r="M804" t="s">
        <v>48</v>
      </c>
      <c r="N804">
        <v>73</v>
      </c>
    </row>
    <row r="805" spans="1:14" x14ac:dyDescent="0.25">
      <c r="A805" t="s">
        <v>2461</v>
      </c>
      <c r="B805" t="s">
        <v>1080</v>
      </c>
      <c r="C805" t="s">
        <v>1549</v>
      </c>
      <c r="D805" t="s">
        <v>16</v>
      </c>
      <c r="E805" t="s">
        <v>45</v>
      </c>
      <c r="F805">
        <v>72</v>
      </c>
      <c r="G805" t="s">
        <v>2462</v>
      </c>
      <c r="H805">
        <v>3</v>
      </c>
      <c r="I805">
        <v>83.23</v>
      </c>
      <c r="J805" t="s">
        <v>2463</v>
      </c>
      <c r="K805" t="s">
        <v>19</v>
      </c>
      <c r="L805" s="3">
        <v>45446</v>
      </c>
      <c r="M805" t="s">
        <v>48</v>
      </c>
      <c r="N805">
        <v>72</v>
      </c>
    </row>
    <row r="806" spans="1:14" x14ac:dyDescent="0.25">
      <c r="A806" t="s">
        <v>2464</v>
      </c>
      <c r="B806" t="s">
        <v>2214</v>
      </c>
      <c r="C806" s="1">
        <v>44929</v>
      </c>
      <c r="D806" t="s">
        <v>16</v>
      </c>
      <c r="E806" t="s">
        <v>48</v>
      </c>
      <c r="F806">
        <v>55</v>
      </c>
      <c r="G806" t="s">
        <v>1812</v>
      </c>
      <c r="H806">
        <v>5</v>
      </c>
      <c r="I806" t="s">
        <v>2465</v>
      </c>
      <c r="J806">
        <v>76.44</v>
      </c>
      <c r="K806" t="s">
        <v>19</v>
      </c>
      <c r="L806" s="3">
        <v>44929</v>
      </c>
      <c r="M806" t="s">
        <v>48</v>
      </c>
      <c r="N806">
        <v>55</v>
      </c>
    </row>
    <row r="807" spans="1:14" x14ac:dyDescent="0.25">
      <c r="A807" t="s">
        <v>2466</v>
      </c>
      <c r="B807" t="s">
        <v>521</v>
      </c>
      <c r="C807" s="1">
        <v>45013</v>
      </c>
      <c r="D807" t="s">
        <v>24</v>
      </c>
      <c r="E807" t="s">
        <v>34</v>
      </c>
      <c r="F807">
        <v>16</v>
      </c>
      <c r="G807" t="s">
        <v>2291</v>
      </c>
      <c r="H807">
        <v>2</v>
      </c>
      <c r="I807">
        <v>15.19</v>
      </c>
      <c r="J807">
        <v>5.63</v>
      </c>
      <c r="K807" t="s">
        <v>19</v>
      </c>
      <c r="L807" s="3">
        <v>45013</v>
      </c>
      <c r="M807" t="s">
        <v>34</v>
      </c>
      <c r="N807">
        <v>16</v>
      </c>
    </row>
    <row r="808" spans="1:14" x14ac:dyDescent="0.25">
      <c r="A808" t="s">
        <v>2467</v>
      </c>
      <c r="B808" t="s">
        <v>83</v>
      </c>
      <c r="C808" s="1">
        <v>45638</v>
      </c>
      <c r="D808" t="s">
        <v>30</v>
      </c>
      <c r="E808" t="s">
        <v>25</v>
      </c>
      <c r="F808">
        <v>64</v>
      </c>
      <c r="G808" t="s">
        <v>1320</v>
      </c>
      <c r="H808">
        <v>1</v>
      </c>
      <c r="I808" t="s">
        <v>2468</v>
      </c>
      <c r="J808">
        <v>12.41</v>
      </c>
      <c r="K808" t="s">
        <v>19</v>
      </c>
      <c r="L808" s="3">
        <v>45638</v>
      </c>
      <c r="M808" t="s">
        <v>20</v>
      </c>
      <c r="N808">
        <v>64</v>
      </c>
    </row>
    <row r="809" spans="1:14" x14ac:dyDescent="0.25">
      <c r="A809" t="s">
        <v>2469</v>
      </c>
      <c r="B809" t="s">
        <v>461</v>
      </c>
      <c r="C809" s="1">
        <v>45171</v>
      </c>
      <c r="D809" t="s">
        <v>16</v>
      </c>
      <c r="E809" t="s">
        <v>65</v>
      </c>
      <c r="F809">
        <v>56</v>
      </c>
      <c r="G809" t="s">
        <v>2470</v>
      </c>
      <c r="H809">
        <v>5</v>
      </c>
      <c r="I809">
        <v>64.709999999999994</v>
      </c>
      <c r="J809" t="s">
        <v>2471</v>
      </c>
      <c r="K809" t="s">
        <v>19</v>
      </c>
      <c r="L809" s="3">
        <v>45171</v>
      </c>
      <c r="M809" t="s">
        <v>48</v>
      </c>
      <c r="N809">
        <v>56</v>
      </c>
    </row>
    <row r="810" spans="1:14" x14ac:dyDescent="0.25">
      <c r="A810" t="s">
        <v>2472</v>
      </c>
      <c r="B810" t="s">
        <v>1493</v>
      </c>
      <c r="C810" s="1">
        <v>45584</v>
      </c>
      <c r="D810" t="s">
        <v>51</v>
      </c>
      <c r="E810" t="s">
        <v>48</v>
      </c>
      <c r="F810">
        <v>39</v>
      </c>
      <c r="G810" t="s">
        <v>2123</v>
      </c>
      <c r="H810">
        <v>1</v>
      </c>
      <c r="I810">
        <v>16.64</v>
      </c>
      <c r="J810">
        <v>7.21</v>
      </c>
      <c r="K810" t="s">
        <v>19</v>
      </c>
      <c r="L810" s="3">
        <v>45584</v>
      </c>
      <c r="M810" t="s">
        <v>48</v>
      </c>
      <c r="N810">
        <v>39</v>
      </c>
    </row>
    <row r="811" spans="1:14" x14ac:dyDescent="0.25">
      <c r="A811" t="s">
        <v>2473</v>
      </c>
      <c r="B811" t="s">
        <v>1770</v>
      </c>
      <c r="C811" s="3">
        <v>45047</v>
      </c>
      <c r="D811" t="s">
        <v>16</v>
      </c>
      <c r="E811" t="s">
        <v>60</v>
      </c>
      <c r="F811">
        <v>71</v>
      </c>
      <c r="G811" t="s">
        <v>2474</v>
      </c>
      <c r="H811">
        <v>1</v>
      </c>
      <c r="I811" t="s">
        <v>2475</v>
      </c>
      <c r="J811">
        <v>3.28</v>
      </c>
      <c r="K811" t="s">
        <v>41</v>
      </c>
      <c r="L811" s="3">
        <v>45047</v>
      </c>
      <c r="M811" t="s">
        <v>48</v>
      </c>
      <c r="N811">
        <v>71</v>
      </c>
    </row>
    <row r="812" spans="1:14" x14ac:dyDescent="0.25">
      <c r="A812" t="s">
        <v>2088</v>
      </c>
      <c r="B812" t="s">
        <v>1229</v>
      </c>
      <c r="C812" s="1">
        <v>45505</v>
      </c>
      <c r="D812" t="s">
        <v>30</v>
      </c>
      <c r="E812" t="s">
        <v>85</v>
      </c>
      <c r="F812">
        <v>39</v>
      </c>
      <c r="G812" t="s">
        <v>2089</v>
      </c>
      <c r="H812">
        <v>1</v>
      </c>
      <c r="I812" s="2">
        <v>16.54</v>
      </c>
      <c r="J812" t="s">
        <v>2090</v>
      </c>
      <c r="K812" t="s">
        <v>19</v>
      </c>
      <c r="L812" s="3">
        <v>45505</v>
      </c>
      <c r="M812" t="s">
        <v>34</v>
      </c>
      <c r="N812">
        <v>39</v>
      </c>
    </row>
    <row r="813" spans="1:14" x14ac:dyDescent="0.25">
      <c r="A813" t="s">
        <v>2476</v>
      </c>
      <c r="B813" t="s">
        <v>1605</v>
      </c>
      <c r="C813" s="3">
        <v>45239</v>
      </c>
      <c r="D813" t="s">
        <v>129</v>
      </c>
      <c r="E813" t="s">
        <v>34</v>
      </c>
      <c r="F813">
        <v>39</v>
      </c>
      <c r="G813" t="s">
        <v>2477</v>
      </c>
      <c r="H813">
        <v>1</v>
      </c>
      <c r="I813">
        <v>15.25</v>
      </c>
      <c r="J813" t="s">
        <v>2478</v>
      </c>
      <c r="K813" t="s">
        <v>19</v>
      </c>
      <c r="L813" s="3">
        <v>45239</v>
      </c>
      <c r="M813" t="s">
        <v>34</v>
      </c>
      <c r="N813">
        <v>39</v>
      </c>
    </row>
    <row r="814" spans="1:14" x14ac:dyDescent="0.25">
      <c r="A814" t="s">
        <v>2479</v>
      </c>
      <c r="B814" t="s">
        <v>2480</v>
      </c>
      <c r="C814" t="s">
        <v>2481</v>
      </c>
      <c r="D814" t="s">
        <v>24</v>
      </c>
      <c r="E814" t="s">
        <v>65</v>
      </c>
      <c r="F814">
        <v>69</v>
      </c>
      <c r="G814" t="s">
        <v>2482</v>
      </c>
      <c r="H814">
        <v>1</v>
      </c>
      <c r="I814">
        <v>5.49</v>
      </c>
      <c r="J814">
        <v>2.2999999999999998</v>
      </c>
      <c r="K814" t="s">
        <v>19</v>
      </c>
      <c r="L814" s="3">
        <v>45297</v>
      </c>
      <c r="M814" t="s">
        <v>48</v>
      </c>
      <c r="N814">
        <v>69</v>
      </c>
    </row>
    <row r="815" spans="1:14" x14ac:dyDescent="0.25">
      <c r="A815" t="s">
        <v>2483</v>
      </c>
      <c r="B815" t="s">
        <v>2484</v>
      </c>
      <c r="C815" s="1">
        <v>45209</v>
      </c>
      <c r="D815" t="s">
        <v>51</v>
      </c>
      <c r="E815" t="s">
        <v>34</v>
      </c>
      <c r="F815">
        <v>71</v>
      </c>
      <c r="G815" t="s">
        <v>718</v>
      </c>
      <c r="H815">
        <v>1</v>
      </c>
      <c r="I815">
        <v>23.22</v>
      </c>
      <c r="J815" s="2">
        <v>6.79</v>
      </c>
      <c r="K815" t="s">
        <v>19</v>
      </c>
      <c r="L815" s="3">
        <v>45209</v>
      </c>
      <c r="M815" t="s">
        <v>34</v>
      </c>
      <c r="N815">
        <v>71</v>
      </c>
    </row>
    <row r="816" spans="1:14" x14ac:dyDescent="0.25">
      <c r="A816" t="s">
        <v>2433</v>
      </c>
      <c r="B816" t="s">
        <v>411</v>
      </c>
      <c r="C816" t="s">
        <v>2434</v>
      </c>
      <c r="D816" t="s">
        <v>51</v>
      </c>
      <c r="E816" t="s">
        <v>34</v>
      </c>
      <c r="F816">
        <v>73</v>
      </c>
      <c r="G816" t="s">
        <v>970</v>
      </c>
      <c r="H816">
        <v>2</v>
      </c>
      <c r="J816">
        <v>14.66</v>
      </c>
      <c r="K816" t="s">
        <v>19</v>
      </c>
      <c r="L816" s="3">
        <v>45287</v>
      </c>
      <c r="M816" t="s">
        <v>34</v>
      </c>
      <c r="N816">
        <v>73</v>
      </c>
    </row>
    <row r="817" spans="1:14" x14ac:dyDescent="0.25">
      <c r="A817" t="s">
        <v>2485</v>
      </c>
      <c r="B817" t="s">
        <v>1121</v>
      </c>
      <c r="C817" t="s">
        <v>2486</v>
      </c>
      <c r="D817" t="s">
        <v>51</v>
      </c>
      <c r="E817" t="s">
        <v>38</v>
      </c>
      <c r="F817">
        <v>34</v>
      </c>
      <c r="G817" t="s">
        <v>2487</v>
      </c>
      <c r="H817">
        <v>4</v>
      </c>
      <c r="I817">
        <v>144.32</v>
      </c>
      <c r="J817" s="2">
        <v>78.11</v>
      </c>
      <c r="K817" t="s">
        <v>19</v>
      </c>
      <c r="L817" s="3">
        <v>45065</v>
      </c>
      <c r="M817" t="s">
        <v>34</v>
      </c>
      <c r="N817">
        <v>34</v>
      </c>
    </row>
    <row r="818" spans="1:14" x14ac:dyDescent="0.25">
      <c r="A818" t="s">
        <v>2488</v>
      </c>
      <c r="B818" t="s">
        <v>2489</v>
      </c>
      <c r="C818" s="1">
        <v>45059</v>
      </c>
      <c r="D818" t="s">
        <v>129</v>
      </c>
      <c r="E818" t="s">
        <v>48</v>
      </c>
      <c r="F818">
        <v>25</v>
      </c>
      <c r="G818" t="s">
        <v>484</v>
      </c>
      <c r="H818">
        <v>2</v>
      </c>
      <c r="I818" t="s">
        <v>2490</v>
      </c>
      <c r="J818" s="2">
        <v>7.12</v>
      </c>
      <c r="K818" t="s">
        <v>19</v>
      </c>
      <c r="L818" s="3">
        <v>45059</v>
      </c>
      <c r="M818" t="s">
        <v>48</v>
      </c>
      <c r="N818">
        <v>25</v>
      </c>
    </row>
    <row r="819" spans="1:14" x14ac:dyDescent="0.25">
      <c r="A819" t="s">
        <v>2491</v>
      </c>
      <c r="B819" t="s">
        <v>1758</v>
      </c>
      <c r="C819" s="3">
        <v>45618</v>
      </c>
      <c r="D819" t="s">
        <v>24</v>
      </c>
      <c r="E819" t="s">
        <v>38</v>
      </c>
      <c r="F819" t="s">
        <v>173</v>
      </c>
      <c r="G819" t="s">
        <v>2492</v>
      </c>
      <c r="H819">
        <v>1</v>
      </c>
      <c r="I819" s="2">
        <v>15.31</v>
      </c>
      <c r="J819" t="s">
        <v>2493</v>
      </c>
      <c r="K819" t="s">
        <v>19</v>
      </c>
      <c r="L819" s="3">
        <v>45618</v>
      </c>
      <c r="M819" t="s">
        <v>34</v>
      </c>
      <c r="N819">
        <v>30</v>
      </c>
    </row>
    <row r="820" spans="1:14" x14ac:dyDescent="0.25">
      <c r="A820" t="s">
        <v>2494</v>
      </c>
      <c r="B820" t="s">
        <v>102</v>
      </c>
      <c r="C820" s="1">
        <v>45452</v>
      </c>
      <c r="D820" t="s">
        <v>51</v>
      </c>
      <c r="E820" t="s">
        <v>70</v>
      </c>
      <c r="F820">
        <v>58</v>
      </c>
      <c r="G820" t="s">
        <v>46</v>
      </c>
      <c r="H820">
        <v>1</v>
      </c>
      <c r="I820">
        <v>22.08</v>
      </c>
      <c r="J820" t="s">
        <v>2495</v>
      </c>
      <c r="K820" t="s">
        <v>41</v>
      </c>
      <c r="L820" s="3">
        <v>45452</v>
      </c>
      <c r="M820" t="s">
        <v>20</v>
      </c>
      <c r="N820">
        <v>58</v>
      </c>
    </row>
    <row r="821" spans="1:14" x14ac:dyDescent="0.25">
      <c r="A821" t="s">
        <v>2496</v>
      </c>
      <c r="B821" t="s">
        <v>1288</v>
      </c>
      <c r="C821" s="1">
        <v>45312</v>
      </c>
      <c r="D821" t="s">
        <v>24</v>
      </c>
      <c r="E821" t="s">
        <v>70</v>
      </c>
      <c r="F821">
        <v>39</v>
      </c>
      <c r="G821" t="s">
        <v>2497</v>
      </c>
      <c r="H821">
        <v>4</v>
      </c>
      <c r="I821">
        <v>65.58</v>
      </c>
      <c r="J821">
        <v>23.82</v>
      </c>
      <c r="K821" t="s">
        <v>19</v>
      </c>
      <c r="L821" s="3">
        <v>45312</v>
      </c>
      <c r="M821" t="s">
        <v>20</v>
      </c>
      <c r="N821">
        <v>39</v>
      </c>
    </row>
    <row r="822" spans="1:14" x14ac:dyDescent="0.25">
      <c r="A822" t="s">
        <v>2498</v>
      </c>
      <c r="B822" t="s">
        <v>434</v>
      </c>
      <c r="C822" t="s">
        <v>2499</v>
      </c>
      <c r="D822" t="s">
        <v>129</v>
      </c>
      <c r="E822" t="s">
        <v>48</v>
      </c>
      <c r="F822">
        <v>23</v>
      </c>
      <c r="G822" t="s">
        <v>528</v>
      </c>
      <c r="H822">
        <v>4</v>
      </c>
      <c r="I822" t="s">
        <v>2500</v>
      </c>
      <c r="J822">
        <v>4.84</v>
      </c>
      <c r="K822" t="s">
        <v>41</v>
      </c>
      <c r="L822" s="3">
        <v>45578</v>
      </c>
      <c r="M822" t="s">
        <v>48</v>
      </c>
      <c r="N822">
        <v>23</v>
      </c>
    </row>
    <row r="823" spans="1:14" x14ac:dyDescent="0.25">
      <c r="A823" t="s">
        <v>2501</v>
      </c>
      <c r="B823" t="s">
        <v>1703</v>
      </c>
      <c r="C823" t="s">
        <v>2502</v>
      </c>
      <c r="D823" t="s">
        <v>24</v>
      </c>
      <c r="E823" t="s">
        <v>85</v>
      </c>
      <c r="F823">
        <v>64</v>
      </c>
      <c r="G823" t="s">
        <v>2503</v>
      </c>
      <c r="H823">
        <v>2</v>
      </c>
      <c r="I823">
        <v>48.44</v>
      </c>
      <c r="J823" s="2">
        <v>24.58</v>
      </c>
      <c r="K823" t="s">
        <v>19</v>
      </c>
      <c r="L823" s="3">
        <v>45408</v>
      </c>
      <c r="M823" t="s">
        <v>34</v>
      </c>
      <c r="N823">
        <v>64</v>
      </c>
    </row>
    <row r="824" spans="1:14" x14ac:dyDescent="0.25">
      <c r="A824" t="s">
        <v>2504</v>
      </c>
      <c r="B824" t="s">
        <v>207</v>
      </c>
      <c r="C824" t="s">
        <v>2505</v>
      </c>
      <c r="D824" t="s">
        <v>16</v>
      </c>
      <c r="E824" t="s">
        <v>38</v>
      </c>
      <c r="F824">
        <v>47</v>
      </c>
      <c r="G824" t="s">
        <v>2506</v>
      </c>
      <c r="H824">
        <v>3</v>
      </c>
      <c r="I824">
        <v>76.150000000000006</v>
      </c>
      <c r="J824" s="2">
        <v>41.22</v>
      </c>
      <c r="K824" t="s">
        <v>19</v>
      </c>
      <c r="L824" s="3">
        <v>45634</v>
      </c>
      <c r="M824" t="s">
        <v>34</v>
      </c>
      <c r="N824">
        <v>47</v>
      </c>
    </row>
    <row r="825" spans="1:14" x14ac:dyDescent="0.25">
      <c r="A825" t="s">
        <v>2507</v>
      </c>
      <c r="B825" t="s">
        <v>93</v>
      </c>
      <c r="C825" t="s">
        <v>2508</v>
      </c>
      <c r="D825" t="s">
        <v>24</v>
      </c>
      <c r="E825" t="s">
        <v>34</v>
      </c>
      <c r="F825">
        <v>37</v>
      </c>
      <c r="G825" t="s">
        <v>108</v>
      </c>
      <c r="H825">
        <v>1</v>
      </c>
      <c r="I825" s="2">
        <v>18.27</v>
      </c>
      <c r="J825" t="s">
        <v>2509</v>
      </c>
      <c r="K825" t="s">
        <v>19</v>
      </c>
      <c r="L825" s="3">
        <v>45271</v>
      </c>
      <c r="M825" t="s">
        <v>34</v>
      </c>
      <c r="N825">
        <v>37</v>
      </c>
    </row>
    <row r="826" spans="1:14" x14ac:dyDescent="0.25">
      <c r="A826" t="s">
        <v>2510</v>
      </c>
      <c r="B826" t="s">
        <v>160</v>
      </c>
      <c r="C826" s="1">
        <v>45335</v>
      </c>
      <c r="D826" t="s">
        <v>16</v>
      </c>
      <c r="E826" t="s">
        <v>65</v>
      </c>
      <c r="F826">
        <v>64</v>
      </c>
      <c r="G826" t="s">
        <v>2511</v>
      </c>
      <c r="H826">
        <v>6</v>
      </c>
      <c r="I826">
        <v>131.61000000000001</v>
      </c>
      <c r="J826" t="s">
        <v>2512</v>
      </c>
      <c r="K826" t="s">
        <v>41</v>
      </c>
      <c r="L826" s="3">
        <v>45335</v>
      </c>
      <c r="M826" t="s">
        <v>48</v>
      </c>
      <c r="N826">
        <v>64</v>
      </c>
    </row>
    <row r="827" spans="1:14" x14ac:dyDescent="0.25">
      <c r="A827" t="s">
        <v>2513</v>
      </c>
      <c r="B827" t="s">
        <v>594</v>
      </c>
      <c r="C827" t="s">
        <v>2514</v>
      </c>
      <c r="D827" t="s">
        <v>51</v>
      </c>
      <c r="F827">
        <v>32</v>
      </c>
      <c r="G827" t="s">
        <v>612</v>
      </c>
      <c r="H827">
        <v>2</v>
      </c>
      <c r="I827">
        <v>54.91</v>
      </c>
      <c r="J827">
        <v>23.13</v>
      </c>
      <c r="K827" t="s">
        <v>19</v>
      </c>
      <c r="L827" s="3">
        <v>45555</v>
      </c>
      <c r="M827" t="s">
        <v>20</v>
      </c>
      <c r="N827">
        <v>32</v>
      </c>
    </row>
    <row r="828" spans="1:14" x14ac:dyDescent="0.25">
      <c r="A828" t="s">
        <v>2515</v>
      </c>
      <c r="B828" t="s">
        <v>2516</v>
      </c>
      <c r="C828" t="s">
        <v>2517</v>
      </c>
      <c r="D828" t="s">
        <v>30</v>
      </c>
      <c r="E828" t="s">
        <v>34</v>
      </c>
      <c r="F828">
        <v>74</v>
      </c>
      <c r="G828" t="s">
        <v>1768</v>
      </c>
      <c r="H828">
        <v>1</v>
      </c>
      <c r="I828" s="2">
        <v>36.03</v>
      </c>
      <c r="J828" t="s">
        <v>2518</v>
      </c>
      <c r="K828" t="s">
        <v>41</v>
      </c>
      <c r="L828" s="3">
        <v>45517</v>
      </c>
      <c r="M828" t="s">
        <v>34</v>
      </c>
      <c r="N828">
        <v>74</v>
      </c>
    </row>
    <row r="829" spans="1:14" x14ac:dyDescent="0.25">
      <c r="A829" t="s">
        <v>2519</v>
      </c>
      <c r="B829" t="s">
        <v>1758</v>
      </c>
      <c r="C829" s="3">
        <v>44984</v>
      </c>
      <c r="D829" t="s">
        <v>51</v>
      </c>
      <c r="E829" t="s">
        <v>65</v>
      </c>
      <c r="F829">
        <v>75</v>
      </c>
      <c r="G829" t="s">
        <v>2520</v>
      </c>
      <c r="H829">
        <v>4</v>
      </c>
      <c r="I829" s="2">
        <v>160.35</v>
      </c>
      <c r="J829">
        <v>70.260000000000005</v>
      </c>
      <c r="K829" t="s">
        <v>19</v>
      </c>
      <c r="L829" s="3">
        <v>44984</v>
      </c>
      <c r="M829" t="s">
        <v>48</v>
      </c>
      <c r="N829">
        <v>75</v>
      </c>
    </row>
    <row r="830" spans="1:14" x14ac:dyDescent="0.25">
      <c r="A830" t="s">
        <v>2521</v>
      </c>
      <c r="B830" t="s">
        <v>558</v>
      </c>
      <c r="C830" t="s">
        <v>2522</v>
      </c>
      <c r="D830" t="s">
        <v>51</v>
      </c>
      <c r="E830" t="s">
        <v>132</v>
      </c>
      <c r="F830">
        <v>23</v>
      </c>
      <c r="G830" t="s">
        <v>2523</v>
      </c>
      <c r="H830">
        <v>2</v>
      </c>
      <c r="I830" s="2">
        <v>43.91</v>
      </c>
      <c r="J830" s="2">
        <v>23.51</v>
      </c>
      <c r="K830" t="s">
        <v>41</v>
      </c>
      <c r="L830" s="3">
        <v>45065</v>
      </c>
      <c r="M830" t="s">
        <v>132</v>
      </c>
      <c r="N830">
        <v>23</v>
      </c>
    </row>
    <row r="831" spans="1:14" x14ac:dyDescent="0.25">
      <c r="A831" t="s">
        <v>2524</v>
      </c>
      <c r="B831" t="s">
        <v>2525</v>
      </c>
      <c r="C831" t="s">
        <v>2526</v>
      </c>
      <c r="D831" t="s">
        <v>16</v>
      </c>
      <c r="E831" t="s">
        <v>31</v>
      </c>
      <c r="F831">
        <v>60</v>
      </c>
      <c r="G831" t="s">
        <v>2527</v>
      </c>
      <c r="H831">
        <v>5</v>
      </c>
      <c r="I831">
        <v>48.24</v>
      </c>
      <c r="J831" s="2">
        <v>13.8</v>
      </c>
      <c r="K831" t="s">
        <v>19</v>
      </c>
      <c r="L831" s="3">
        <v>45503</v>
      </c>
      <c r="M831" t="s">
        <v>34</v>
      </c>
      <c r="N831">
        <v>60</v>
      </c>
    </row>
    <row r="832" spans="1:14" x14ac:dyDescent="0.25">
      <c r="A832" t="s">
        <v>2528</v>
      </c>
      <c r="B832" t="s">
        <v>2529</v>
      </c>
      <c r="C832" s="1">
        <v>45551</v>
      </c>
      <c r="D832" t="s">
        <v>16</v>
      </c>
      <c r="E832" t="s">
        <v>65</v>
      </c>
      <c r="F832">
        <v>71</v>
      </c>
      <c r="G832" t="s">
        <v>2530</v>
      </c>
      <c r="H832">
        <v>2</v>
      </c>
      <c r="I832">
        <v>23.26</v>
      </c>
      <c r="J832">
        <v>8.6999999999999993</v>
      </c>
      <c r="K832" t="s">
        <v>19</v>
      </c>
      <c r="L832" s="3">
        <v>45551</v>
      </c>
      <c r="M832" t="s">
        <v>48</v>
      </c>
      <c r="N832">
        <v>71</v>
      </c>
    </row>
    <row r="833" spans="1:14" x14ac:dyDescent="0.25">
      <c r="A833" t="s">
        <v>1868</v>
      </c>
      <c r="B833" t="s">
        <v>1869</v>
      </c>
      <c r="C833" t="s">
        <v>1870</v>
      </c>
      <c r="D833" t="s">
        <v>30</v>
      </c>
      <c r="E833" t="s">
        <v>85</v>
      </c>
      <c r="F833">
        <v>60</v>
      </c>
      <c r="G833" t="s">
        <v>1871</v>
      </c>
      <c r="H833">
        <v>2</v>
      </c>
      <c r="I833">
        <v>36.979999999999997</v>
      </c>
      <c r="J833">
        <v>11.05</v>
      </c>
      <c r="K833" t="s">
        <v>41</v>
      </c>
      <c r="L833" s="3">
        <v>45513</v>
      </c>
      <c r="M833" t="s">
        <v>34</v>
      </c>
      <c r="N833">
        <v>60</v>
      </c>
    </row>
    <row r="834" spans="1:14" x14ac:dyDescent="0.25">
      <c r="A834" t="s">
        <v>2531</v>
      </c>
      <c r="B834" t="s">
        <v>664</v>
      </c>
      <c r="C834" s="3">
        <v>44985</v>
      </c>
      <c r="D834" t="s">
        <v>51</v>
      </c>
      <c r="E834" t="s">
        <v>34</v>
      </c>
      <c r="F834">
        <v>33</v>
      </c>
      <c r="G834" t="s">
        <v>2532</v>
      </c>
      <c r="H834">
        <v>3</v>
      </c>
      <c r="I834" s="2">
        <v>86.86</v>
      </c>
      <c r="J834" s="2">
        <v>34.799999999999997</v>
      </c>
      <c r="K834" t="s">
        <v>19</v>
      </c>
      <c r="L834" s="3">
        <v>44985</v>
      </c>
      <c r="M834" t="s">
        <v>34</v>
      </c>
      <c r="N834">
        <v>33</v>
      </c>
    </row>
    <row r="835" spans="1:14" x14ac:dyDescent="0.25">
      <c r="A835" t="s">
        <v>2533</v>
      </c>
      <c r="B835" t="s">
        <v>1229</v>
      </c>
      <c r="C835" t="s">
        <v>1498</v>
      </c>
      <c r="D835" t="s">
        <v>16</v>
      </c>
      <c r="E835" t="s">
        <v>60</v>
      </c>
      <c r="F835">
        <v>38</v>
      </c>
      <c r="G835" t="s">
        <v>1768</v>
      </c>
      <c r="H835">
        <v>1</v>
      </c>
      <c r="I835">
        <v>29.25</v>
      </c>
      <c r="J835" s="2">
        <v>15.66</v>
      </c>
      <c r="K835" t="s">
        <v>41</v>
      </c>
      <c r="L835" s="3">
        <v>45089</v>
      </c>
      <c r="M835" t="s">
        <v>48</v>
      </c>
      <c r="N835">
        <v>38</v>
      </c>
    </row>
    <row r="836" spans="1:14" x14ac:dyDescent="0.25">
      <c r="A836" t="s">
        <v>2534</v>
      </c>
      <c r="B836" t="s">
        <v>1762</v>
      </c>
      <c r="C836" t="s">
        <v>2535</v>
      </c>
      <c r="D836" t="s">
        <v>129</v>
      </c>
      <c r="F836">
        <v>45</v>
      </c>
      <c r="G836" t="s">
        <v>2536</v>
      </c>
      <c r="H836">
        <v>1</v>
      </c>
      <c r="I836">
        <v>8.26</v>
      </c>
      <c r="J836" s="2">
        <v>2.72</v>
      </c>
      <c r="K836" t="s">
        <v>41</v>
      </c>
      <c r="L836" s="3">
        <v>45080</v>
      </c>
      <c r="M836" t="s">
        <v>20</v>
      </c>
      <c r="N836">
        <v>45</v>
      </c>
    </row>
    <row r="837" spans="1:14" x14ac:dyDescent="0.25">
      <c r="A837" t="s">
        <v>2537</v>
      </c>
      <c r="B837" t="s">
        <v>2538</v>
      </c>
      <c r="C837" s="1">
        <v>45179</v>
      </c>
      <c r="D837" t="s">
        <v>51</v>
      </c>
      <c r="E837" t="s">
        <v>31</v>
      </c>
      <c r="F837">
        <v>59</v>
      </c>
      <c r="G837" t="s">
        <v>2539</v>
      </c>
      <c r="H837">
        <v>1</v>
      </c>
      <c r="I837">
        <v>32.380000000000003</v>
      </c>
      <c r="J837" t="s">
        <v>2540</v>
      </c>
      <c r="K837" t="s">
        <v>19</v>
      </c>
      <c r="L837" s="3">
        <v>45179</v>
      </c>
      <c r="M837" t="s">
        <v>34</v>
      </c>
      <c r="N837">
        <v>59</v>
      </c>
    </row>
    <row r="838" spans="1:14" x14ac:dyDescent="0.25">
      <c r="A838" t="s">
        <v>2541</v>
      </c>
      <c r="B838" t="s">
        <v>1282</v>
      </c>
      <c r="C838" s="3">
        <v>45005</v>
      </c>
      <c r="D838" t="s">
        <v>24</v>
      </c>
      <c r="E838" t="s">
        <v>38</v>
      </c>
      <c r="F838">
        <v>28</v>
      </c>
      <c r="G838" t="s">
        <v>1190</v>
      </c>
      <c r="H838">
        <v>-5</v>
      </c>
      <c r="I838">
        <v>-46.32</v>
      </c>
      <c r="J838" t="s">
        <v>2542</v>
      </c>
      <c r="K838" t="s">
        <v>41</v>
      </c>
      <c r="L838" s="3">
        <v>45005</v>
      </c>
      <c r="M838" t="s">
        <v>34</v>
      </c>
      <c r="N838">
        <v>28</v>
      </c>
    </row>
    <row r="839" spans="1:14" x14ac:dyDescent="0.25">
      <c r="A839" t="s">
        <v>2543</v>
      </c>
      <c r="B839" t="s">
        <v>2226</v>
      </c>
      <c r="C839" s="1">
        <v>44954</v>
      </c>
      <c r="D839" t="s">
        <v>30</v>
      </c>
      <c r="E839" t="s">
        <v>38</v>
      </c>
      <c r="F839">
        <v>38</v>
      </c>
      <c r="G839" t="s">
        <v>2544</v>
      </c>
      <c r="H839">
        <v>1</v>
      </c>
      <c r="I839">
        <v>33.03</v>
      </c>
      <c r="J839" t="s">
        <v>205</v>
      </c>
      <c r="K839" t="s">
        <v>41</v>
      </c>
      <c r="L839" s="3">
        <v>44954</v>
      </c>
      <c r="M839" t="s">
        <v>34</v>
      </c>
      <c r="N839">
        <v>38</v>
      </c>
    </row>
    <row r="840" spans="1:14" x14ac:dyDescent="0.25">
      <c r="A840" t="s">
        <v>2545</v>
      </c>
      <c r="B840" t="s">
        <v>2014</v>
      </c>
      <c r="C840" t="s">
        <v>2546</v>
      </c>
      <c r="D840" t="s">
        <v>24</v>
      </c>
      <c r="E840" t="s">
        <v>45</v>
      </c>
      <c r="F840">
        <v>13</v>
      </c>
      <c r="G840" t="s">
        <v>182</v>
      </c>
      <c r="H840">
        <v>1</v>
      </c>
      <c r="I840">
        <v>8.4700000000000006</v>
      </c>
      <c r="J840">
        <v>2.93</v>
      </c>
      <c r="K840" t="s">
        <v>41</v>
      </c>
      <c r="L840" s="3">
        <v>45476</v>
      </c>
      <c r="M840" t="s">
        <v>48</v>
      </c>
      <c r="N840">
        <v>13</v>
      </c>
    </row>
    <row r="841" spans="1:14" x14ac:dyDescent="0.25">
      <c r="A841" t="s">
        <v>2547</v>
      </c>
      <c r="B841" t="s">
        <v>330</v>
      </c>
      <c r="C841" t="s">
        <v>2548</v>
      </c>
      <c r="D841" t="s">
        <v>16</v>
      </c>
      <c r="E841" t="s">
        <v>45</v>
      </c>
      <c r="F841">
        <v>40</v>
      </c>
      <c r="G841" t="s">
        <v>1570</v>
      </c>
      <c r="H841">
        <v>4</v>
      </c>
      <c r="I841" t="s">
        <v>2549</v>
      </c>
      <c r="J841" t="s">
        <v>2550</v>
      </c>
      <c r="K841" t="s">
        <v>41</v>
      </c>
      <c r="L841" s="3">
        <v>45121</v>
      </c>
      <c r="M841" t="s">
        <v>48</v>
      </c>
      <c r="N841">
        <v>40</v>
      </c>
    </row>
    <row r="842" spans="1:14" x14ac:dyDescent="0.25">
      <c r="A842" t="s">
        <v>2551</v>
      </c>
      <c r="B842" t="s">
        <v>430</v>
      </c>
      <c r="C842" s="1">
        <v>44955</v>
      </c>
      <c r="D842" t="s">
        <v>30</v>
      </c>
      <c r="E842" t="s">
        <v>45</v>
      </c>
      <c r="F842">
        <v>33</v>
      </c>
      <c r="G842" t="s">
        <v>2552</v>
      </c>
      <c r="H842">
        <v>1</v>
      </c>
      <c r="I842">
        <v>18.84</v>
      </c>
      <c r="J842" s="2">
        <v>6.66</v>
      </c>
      <c r="K842" t="s">
        <v>41</v>
      </c>
      <c r="L842" s="3">
        <v>44955</v>
      </c>
      <c r="M842" t="s">
        <v>48</v>
      </c>
      <c r="N842">
        <v>33</v>
      </c>
    </row>
    <row r="843" spans="1:14" x14ac:dyDescent="0.25">
      <c r="A843" t="s">
        <v>2553</v>
      </c>
      <c r="B843" t="s">
        <v>154</v>
      </c>
      <c r="C843" s="1">
        <v>44956</v>
      </c>
      <c r="D843" t="s">
        <v>51</v>
      </c>
      <c r="E843" t="s">
        <v>85</v>
      </c>
      <c r="F843" t="s">
        <v>25</v>
      </c>
      <c r="G843" t="s">
        <v>2554</v>
      </c>
      <c r="H843">
        <v>1</v>
      </c>
      <c r="I843">
        <v>62.2</v>
      </c>
      <c r="J843" s="2">
        <v>28.25</v>
      </c>
      <c r="K843" t="s">
        <v>19</v>
      </c>
      <c r="L843" s="3">
        <v>44956</v>
      </c>
      <c r="M843" t="s">
        <v>34</v>
      </c>
    </row>
    <row r="844" spans="1:14" x14ac:dyDescent="0.25">
      <c r="A844" t="s">
        <v>2555</v>
      </c>
      <c r="B844" t="s">
        <v>2556</v>
      </c>
      <c r="C844" t="s">
        <v>2557</v>
      </c>
      <c r="D844" t="s">
        <v>51</v>
      </c>
      <c r="E844" t="s">
        <v>45</v>
      </c>
      <c r="F844">
        <v>72</v>
      </c>
      <c r="G844" t="s">
        <v>1746</v>
      </c>
      <c r="H844">
        <v>2</v>
      </c>
      <c r="I844">
        <v>33.479999999999997</v>
      </c>
      <c r="J844" t="s">
        <v>2558</v>
      </c>
      <c r="K844" t="s">
        <v>19</v>
      </c>
      <c r="L844" s="3">
        <v>45160</v>
      </c>
      <c r="M844" t="s">
        <v>48</v>
      </c>
      <c r="N844">
        <v>72</v>
      </c>
    </row>
    <row r="845" spans="1:14" x14ac:dyDescent="0.25">
      <c r="A845" t="s">
        <v>2559</v>
      </c>
      <c r="B845" t="s">
        <v>124</v>
      </c>
      <c r="C845" t="s">
        <v>2560</v>
      </c>
      <c r="D845" t="s">
        <v>16</v>
      </c>
      <c r="E845" t="s">
        <v>85</v>
      </c>
      <c r="F845">
        <v>34</v>
      </c>
      <c r="G845" t="s">
        <v>2561</v>
      </c>
      <c r="H845">
        <v>1</v>
      </c>
      <c r="I845" s="2">
        <v>8.85</v>
      </c>
      <c r="J845">
        <v>2.81</v>
      </c>
      <c r="K845" t="s">
        <v>41</v>
      </c>
      <c r="L845" s="3">
        <v>45541</v>
      </c>
      <c r="M845" t="s">
        <v>34</v>
      </c>
      <c r="N845">
        <v>34</v>
      </c>
    </row>
    <row r="846" spans="1:14" x14ac:dyDescent="0.25">
      <c r="A846" t="s">
        <v>2562</v>
      </c>
      <c r="B846" t="s">
        <v>487</v>
      </c>
      <c r="C846" s="1">
        <v>45414</v>
      </c>
      <c r="D846" t="s">
        <v>51</v>
      </c>
      <c r="E846" t="s">
        <v>45</v>
      </c>
      <c r="F846">
        <v>19</v>
      </c>
      <c r="G846" t="s">
        <v>2563</v>
      </c>
      <c r="H846">
        <v>1</v>
      </c>
      <c r="I846">
        <v>47.82</v>
      </c>
      <c r="J846">
        <v>23.33</v>
      </c>
      <c r="K846" t="s">
        <v>19</v>
      </c>
      <c r="L846" s="3">
        <v>45414</v>
      </c>
      <c r="M846" t="s">
        <v>48</v>
      </c>
      <c r="N846">
        <v>19</v>
      </c>
    </row>
    <row r="847" spans="1:14" x14ac:dyDescent="0.25">
      <c r="A847" t="s">
        <v>2564</v>
      </c>
      <c r="B847" t="s">
        <v>490</v>
      </c>
      <c r="C847" s="3">
        <v>44954</v>
      </c>
      <c r="D847" t="s">
        <v>24</v>
      </c>
      <c r="E847" t="s">
        <v>48</v>
      </c>
      <c r="F847">
        <v>64</v>
      </c>
      <c r="G847" t="s">
        <v>2565</v>
      </c>
      <c r="H847">
        <v>1</v>
      </c>
      <c r="I847" t="s">
        <v>1405</v>
      </c>
      <c r="J847">
        <v>4.75</v>
      </c>
      <c r="K847" t="s">
        <v>19</v>
      </c>
      <c r="L847" s="3">
        <v>44954</v>
      </c>
      <c r="M847" t="s">
        <v>48</v>
      </c>
      <c r="N847">
        <v>64</v>
      </c>
    </row>
    <row r="848" spans="1:14" x14ac:dyDescent="0.25">
      <c r="A848" t="s">
        <v>2566</v>
      </c>
      <c r="B848" t="s">
        <v>1226</v>
      </c>
      <c r="C848" t="s">
        <v>2567</v>
      </c>
      <c r="D848" t="s">
        <v>51</v>
      </c>
      <c r="E848" t="s">
        <v>45</v>
      </c>
      <c r="F848">
        <v>38</v>
      </c>
      <c r="G848" t="s">
        <v>2568</v>
      </c>
      <c r="H848">
        <v>3</v>
      </c>
      <c r="I848" t="s">
        <v>2569</v>
      </c>
      <c r="J848">
        <v>30.31</v>
      </c>
      <c r="K848" t="s">
        <v>19</v>
      </c>
      <c r="L848" s="3">
        <v>45308</v>
      </c>
      <c r="M848" t="s">
        <v>48</v>
      </c>
      <c r="N848">
        <v>38</v>
      </c>
    </row>
    <row r="849" spans="1:14" x14ac:dyDescent="0.25">
      <c r="A849" t="s">
        <v>456</v>
      </c>
      <c r="B849" t="s">
        <v>457</v>
      </c>
      <c r="C849" s="1">
        <v>45033</v>
      </c>
      <c r="D849" t="s">
        <v>30</v>
      </c>
      <c r="E849" t="s">
        <v>31</v>
      </c>
      <c r="F849">
        <v>70</v>
      </c>
      <c r="G849" t="s">
        <v>458</v>
      </c>
      <c r="H849">
        <v>2</v>
      </c>
      <c r="I849" t="s">
        <v>459</v>
      </c>
      <c r="J849">
        <v>13.7</v>
      </c>
      <c r="K849" t="s">
        <v>41</v>
      </c>
      <c r="L849" s="3">
        <v>45033</v>
      </c>
      <c r="M849" t="s">
        <v>34</v>
      </c>
      <c r="N849">
        <v>70</v>
      </c>
    </row>
    <row r="850" spans="1:14" x14ac:dyDescent="0.25">
      <c r="A850" t="s">
        <v>2570</v>
      </c>
      <c r="B850" t="s">
        <v>124</v>
      </c>
      <c r="C850" t="s">
        <v>1569</v>
      </c>
      <c r="D850" t="s">
        <v>51</v>
      </c>
      <c r="E850" t="s">
        <v>85</v>
      </c>
      <c r="F850">
        <v>71</v>
      </c>
      <c r="G850" t="s">
        <v>2571</v>
      </c>
      <c r="H850">
        <v>1</v>
      </c>
      <c r="I850" t="s">
        <v>2572</v>
      </c>
      <c r="J850">
        <v>6.13</v>
      </c>
      <c r="K850" t="s">
        <v>19</v>
      </c>
      <c r="L850" s="3">
        <v>44972</v>
      </c>
      <c r="M850" t="s">
        <v>34</v>
      </c>
      <c r="N850">
        <v>71</v>
      </c>
    </row>
    <row r="851" spans="1:14" x14ac:dyDescent="0.25">
      <c r="A851" t="s">
        <v>2573</v>
      </c>
      <c r="B851" t="s">
        <v>539</v>
      </c>
      <c r="C851" t="s">
        <v>2574</v>
      </c>
      <c r="D851" t="s">
        <v>129</v>
      </c>
      <c r="E851" t="s">
        <v>48</v>
      </c>
      <c r="F851">
        <v>40</v>
      </c>
      <c r="G851" t="s">
        <v>2575</v>
      </c>
      <c r="H851">
        <v>1</v>
      </c>
      <c r="I851" t="s">
        <v>205</v>
      </c>
      <c r="J851">
        <v>3.07</v>
      </c>
      <c r="K851" t="s">
        <v>41</v>
      </c>
      <c r="L851" s="3">
        <v>45401</v>
      </c>
      <c r="M851" t="s">
        <v>48</v>
      </c>
      <c r="N851">
        <v>40</v>
      </c>
    </row>
    <row r="852" spans="1:14" x14ac:dyDescent="0.25">
      <c r="A852" t="s">
        <v>2576</v>
      </c>
      <c r="B852" t="s">
        <v>2392</v>
      </c>
      <c r="C852" t="s">
        <v>2073</v>
      </c>
      <c r="D852" t="s">
        <v>51</v>
      </c>
      <c r="E852" t="s">
        <v>65</v>
      </c>
      <c r="F852">
        <v>67</v>
      </c>
      <c r="G852" t="s">
        <v>130</v>
      </c>
      <c r="H852">
        <v>1</v>
      </c>
      <c r="I852" t="s">
        <v>2577</v>
      </c>
      <c r="J852">
        <v>2.04</v>
      </c>
      <c r="K852" t="s">
        <v>41</v>
      </c>
      <c r="L852" s="3">
        <v>45001</v>
      </c>
      <c r="M852" t="s">
        <v>48</v>
      </c>
      <c r="N852">
        <v>67</v>
      </c>
    </row>
    <row r="853" spans="1:14" x14ac:dyDescent="0.25">
      <c r="A853" t="s">
        <v>2578</v>
      </c>
      <c r="B853" t="s">
        <v>2579</v>
      </c>
      <c r="C853" s="3">
        <v>45112</v>
      </c>
      <c r="D853" t="s">
        <v>51</v>
      </c>
      <c r="E853" t="s">
        <v>60</v>
      </c>
      <c r="F853">
        <v>66</v>
      </c>
      <c r="G853" t="s">
        <v>2580</v>
      </c>
      <c r="H853">
        <v>1</v>
      </c>
      <c r="I853" t="s">
        <v>2581</v>
      </c>
      <c r="J853">
        <v>14.79</v>
      </c>
      <c r="K853" t="s">
        <v>19</v>
      </c>
      <c r="L853" s="3">
        <v>45112</v>
      </c>
      <c r="M853" t="s">
        <v>48</v>
      </c>
      <c r="N853">
        <v>66</v>
      </c>
    </row>
    <row r="854" spans="1:14" x14ac:dyDescent="0.25">
      <c r="A854" t="s">
        <v>2582</v>
      </c>
      <c r="B854" t="s">
        <v>1838</v>
      </c>
      <c r="C854" t="s">
        <v>2583</v>
      </c>
      <c r="D854" t="s">
        <v>129</v>
      </c>
      <c r="E854" t="s">
        <v>48</v>
      </c>
      <c r="F854">
        <v>42</v>
      </c>
      <c r="G854" t="s">
        <v>744</v>
      </c>
      <c r="H854">
        <v>1</v>
      </c>
      <c r="I854" t="s">
        <v>2584</v>
      </c>
      <c r="J854">
        <v>7.54</v>
      </c>
      <c r="K854" t="s">
        <v>41</v>
      </c>
      <c r="L854" s="3">
        <v>45278</v>
      </c>
      <c r="M854" t="s">
        <v>48</v>
      </c>
      <c r="N854">
        <v>42</v>
      </c>
    </row>
    <row r="855" spans="1:14" x14ac:dyDescent="0.25">
      <c r="A855" t="s">
        <v>2585</v>
      </c>
      <c r="B855" t="s">
        <v>803</v>
      </c>
      <c r="C855" t="s">
        <v>2586</v>
      </c>
      <c r="D855" t="s">
        <v>16</v>
      </c>
      <c r="E855" t="s">
        <v>34</v>
      </c>
      <c r="F855" t="s">
        <v>435</v>
      </c>
      <c r="G855" t="s">
        <v>2587</v>
      </c>
      <c r="H855">
        <v>2</v>
      </c>
      <c r="I855" s="2">
        <v>52.17</v>
      </c>
      <c r="J855">
        <v>15.56</v>
      </c>
      <c r="K855" t="s">
        <v>41</v>
      </c>
      <c r="L855" s="3">
        <v>45490</v>
      </c>
      <c r="M855" t="s">
        <v>34</v>
      </c>
    </row>
    <row r="856" spans="1:14" x14ac:dyDescent="0.25">
      <c r="A856" t="s">
        <v>2588</v>
      </c>
      <c r="B856" t="s">
        <v>43</v>
      </c>
      <c r="C856" t="s">
        <v>2589</v>
      </c>
      <c r="D856" t="s">
        <v>129</v>
      </c>
      <c r="E856" t="s">
        <v>34</v>
      </c>
      <c r="F856">
        <v>55</v>
      </c>
      <c r="G856" t="s">
        <v>2590</v>
      </c>
      <c r="H856">
        <v>2</v>
      </c>
      <c r="I856">
        <v>20.61</v>
      </c>
      <c r="J856">
        <v>7.07</v>
      </c>
      <c r="K856" t="s">
        <v>19</v>
      </c>
      <c r="L856" s="3">
        <v>45007</v>
      </c>
      <c r="M856" t="s">
        <v>34</v>
      </c>
      <c r="N856">
        <v>55</v>
      </c>
    </row>
    <row r="857" spans="1:14" x14ac:dyDescent="0.25">
      <c r="A857" t="s">
        <v>2591</v>
      </c>
      <c r="B857" t="s">
        <v>2592</v>
      </c>
      <c r="C857" s="1">
        <v>45139</v>
      </c>
      <c r="D857" t="s">
        <v>51</v>
      </c>
      <c r="E857" t="s">
        <v>70</v>
      </c>
      <c r="F857">
        <v>24</v>
      </c>
      <c r="G857" t="s">
        <v>2593</v>
      </c>
      <c r="H857">
        <v>1</v>
      </c>
      <c r="I857">
        <v>31.53</v>
      </c>
      <c r="J857">
        <v>14.81</v>
      </c>
      <c r="K857" t="s">
        <v>41</v>
      </c>
      <c r="L857" s="3">
        <v>45139</v>
      </c>
      <c r="M857" t="s">
        <v>20</v>
      </c>
      <c r="N857">
        <v>24</v>
      </c>
    </row>
    <row r="858" spans="1:14" x14ac:dyDescent="0.25">
      <c r="A858" t="s">
        <v>2594</v>
      </c>
      <c r="B858" t="s">
        <v>1273</v>
      </c>
      <c r="C858" t="s">
        <v>2595</v>
      </c>
      <c r="D858" t="s">
        <v>51</v>
      </c>
      <c r="F858">
        <v>70</v>
      </c>
      <c r="G858" t="s">
        <v>686</v>
      </c>
      <c r="H858">
        <v>2</v>
      </c>
      <c r="I858">
        <v>83.38</v>
      </c>
      <c r="J858" t="s">
        <v>2596</v>
      </c>
      <c r="K858" t="s">
        <v>19</v>
      </c>
      <c r="L858" s="3">
        <v>45099</v>
      </c>
      <c r="M858" t="s">
        <v>20</v>
      </c>
      <c r="N858">
        <v>70</v>
      </c>
    </row>
    <row r="859" spans="1:14" x14ac:dyDescent="0.25">
      <c r="A859" t="s">
        <v>2597</v>
      </c>
      <c r="B859" t="s">
        <v>507</v>
      </c>
      <c r="C859" s="1">
        <v>45151</v>
      </c>
      <c r="D859" t="s">
        <v>24</v>
      </c>
      <c r="E859" t="s">
        <v>70</v>
      </c>
      <c r="F859">
        <v>15</v>
      </c>
      <c r="G859" t="s">
        <v>2598</v>
      </c>
      <c r="H859">
        <v>1</v>
      </c>
      <c r="I859" s="2">
        <v>18.190000000000001</v>
      </c>
      <c r="J859" s="2">
        <v>8.8000000000000007</v>
      </c>
      <c r="K859" t="s">
        <v>19</v>
      </c>
      <c r="L859" s="3">
        <v>45151</v>
      </c>
      <c r="M859" t="s">
        <v>20</v>
      </c>
      <c r="N859">
        <v>15</v>
      </c>
    </row>
    <row r="860" spans="1:14" x14ac:dyDescent="0.25">
      <c r="A860" t="s">
        <v>2599</v>
      </c>
      <c r="B860" t="s">
        <v>194</v>
      </c>
      <c r="C860" s="1">
        <v>45545</v>
      </c>
      <c r="D860" t="s">
        <v>16</v>
      </c>
      <c r="E860" t="s">
        <v>38</v>
      </c>
      <c r="F860">
        <v>13</v>
      </c>
      <c r="G860" t="s">
        <v>2600</v>
      </c>
      <c r="H860">
        <v>4</v>
      </c>
      <c r="I860">
        <v>69</v>
      </c>
      <c r="J860">
        <v>34.67</v>
      </c>
      <c r="K860" t="s">
        <v>19</v>
      </c>
      <c r="L860" s="3">
        <v>45545</v>
      </c>
      <c r="M860" t="s">
        <v>34</v>
      </c>
      <c r="N860">
        <v>13</v>
      </c>
    </row>
    <row r="861" spans="1:14" x14ac:dyDescent="0.25">
      <c r="A861" t="s">
        <v>2601</v>
      </c>
      <c r="B861" t="s">
        <v>1130</v>
      </c>
      <c r="C861" s="1">
        <v>45037</v>
      </c>
      <c r="D861" t="s">
        <v>129</v>
      </c>
      <c r="E861" t="s">
        <v>85</v>
      </c>
      <c r="F861">
        <v>23</v>
      </c>
      <c r="G861" t="s">
        <v>2602</v>
      </c>
      <c r="H861">
        <v>3</v>
      </c>
      <c r="I861">
        <v>36.21</v>
      </c>
      <c r="J861">
        <v>24.48</v>
      </c>
      <c r="K861" t="s">
        <v>41</v>
      </c>
      <c r="L861" s="3">
        <v>45037</v>
      </c>
      <c r="M861" t="s">
        <v>34</v>
      </c>
      <c r="N861">
        <v>23</v>
      </c>
    </row>
    <row r="862" spans="1:14" x14ac:dyDescent="0.25">
      <c r="A862" t="s">
        <v>2603</v>
      </c>
      <c r="B862" t="s">
        <v>1262</v>
      </c>
      <c r="C862" s="1">
        <v>45321</v>
      </c>
      <c r="D862" t="s">
        <v>16</v>
      </c>
      <c r="E862" t="s">
        <v>85</v>
      </c>
      <c r="F862">
        <v>48</v>
      </c>
      <c r="G862" t="s">
        <v>2604</v>
      </c>
      <c r="H862">
        <v>1</v>
      </c>
      <c r="I862">
        <v>22.48</v>
      </c>
      <c r="J862" t="s">
        <v>2577</v>
      </c>
      <c r="K862" t="s">
        <v>41</v>
      </c>
      <c r="L862" s="3">
        <v>45321</v>
      </c>
      <c r="M862" t="s">
        <v>34</v>
      </c>
      <c r="N862">
        <v>48</v>
      </c>
    </row>
    <row r="863" spans="1:14" x14ac:dyDescent="0.25">
      <c r="A863" t="s">
        <v>2605</v>
      </c>
      <c r="B863" t="s">
        <v>1493</v>
      </c>
      <c r="C863" t="s">
        <v>2606</v>
      </c>
      <c r="D863" t="s">
        <v>30</v>
      </c>
      <c r="E863" t="s">
        <v>48</v>
      </c>
      <c r="F863">
        <v>54</v>
      </c>
      <c r="G863" t="s">
        <v>2607</v>
      </c>
      <c r="H863">
        <v>1</v>
      </c>
      <c r="I863" s="2">
        <v>31.02</v>
      </c>
      <c r="J863">
        <v>11.41</v>
      </c>
      <c r="K863" t="s">
        <v>41</v>
      </c>
      <c r="L863" s="3">
        <v>45168</v>
      </c>
      <c r="M863" t="s">
        <v>48</v>
      </c>
      <c r="N863">
        <v>54</v>
      </c>
    </row>
    <row r="864" spans="1:14" x14ac:dyDescent="0.25">
      <c r="A864" t="s">
        <v>929</v>
      </c>
      <c r="B864" t="s">
        <v>223</v>
      </c>
      <c r="C864" s="1">
        <v>44928</v>
      </c>
      <c r="D864" t="s">
        <v>30</v>
      </c>
      <c r="E864" t="s">
        <v>48</v>
      </c>
      <c r="F864">
        <v>73</v>
      </c>
      <c r="G864" t="s">
        <v>2608</v>
      </c>
      <c r="H864">
        <v>1</v>
      </c>
      <c r="I864">
        <v>25.71</v>
      </c>
      <c r="J864">
        <v>8.5</v>
      </c>
      <c r="K864" t="s">
        <v>41</v>
      </c>
      <c r="L864" s="3">
        <v>44928</v>
      </c>
      <c r="M864" t="s">
        <v>48</v>
      </c>
      <c r="N864">
        <v>73</v>
      </c>
    </row>
    <row r="865" spans="1:14" x14ac:dyDescent="0.25">
      <c r="A865" t="s">
        <v>2609</v>
      </c>
      <c r="B865" t="s">
        <v>566</v>
      </c>
      <c r="C865" t="s">
        <v>2610</v>
      </c>
      <c r="D865" t="s">
        <v>51</v>
      </c>
      <c r="E865" t="s">
        <v>70</v>
      </c>
      <c r="F865">
        <v>51</v>
      </c>
      <c r="G865" t="s">
        <v>2234</v>
      </c>
      <c r="H865">
        <v>1</v>
      </c>
      <c r="I865">
        <v>17.22</v>
      </c>
      <c r="J865">
        <v>9.57</v>
      </c>
      <c r="K865" t="s">
        <v>19</v>
      </c>
      <c r="L865" s="3">
        <v>45628</v>
      </c>
      <c r="M865" t="s">
        <v>20</v>
      </c>
      <c r="N865">
        <v>51</v>
      </c>
    </row>
    <row r="866" spans="1:14" x14ac:dyDescent="0.25">
      <c r="A866" t="s">
        <v>2611</v>
      </c>
      <c r="B866" t="s">
        <v>1876</v>
      </c>
      <c r="C866" t="s">
        <v>2612</v>
      </c>
      <c r="D866" t="s">
        <v>24</v>
      </c>
      <c r="E866" t="s">
        <v>38</v>
      </c>
      <c r="F866">
        <v>26</v>
      </c>
      <c r="G866" t="s">
        <v>1468</v>
      </c>
      <c r="H866">
        <v>1</v>
      </c>
      <c r="I866">
        <v>39.21</v>
      </c>
      <c r="J866" t="s">
        <v>25</v>
      </c>
      <c r="K866" t="s">
        <v>41</v>
      </c>
      <c r="L866" s="3">
        <v>45236</v>
      </c>
      <c r="M866" t="s">
        <v>34</v>
      </c>
      <c r="N866">
        <v>26</v>
      </c>
    </row>
    <row r="867" spans="1:14" x14ac:dyDescent="0.25">
      <c r="A867" t="s">
        <v>88</v>
      </c>
      <c r="B867" t="s">
        <v>89</v>
      </c>
      <c r="C867" t="s">
        <v>90</v>
      </c>
      <c r="D867" t="s">
        <v>51</v>
      </c>
      <c r="E867" t="s">
        <v>34</v>
      </c>
      <c r="F867">
        <v>60</v>
      </c>
      <c r="G867" t="s">
        <v>91</v>
      </c>
      <c r="H867">
        <v>1</v>
      </c>
      <c r="I867" s="2">
        <v>8.39</v>
      </c>
      <c r="J867" s="2">
        <v>2.65</v>
      </c>
      <c r="K867" t="s">
        <v>41</v>
      </c>
      <c r="L867" s="3">
        <v>45037</v>
      </c>
      <c r="M867" t="s">
        <v>34</v>
      </c>
      <c r="N867">
        <v>60</v>
      </c>
    </row>
    <row r="868" spans="1:14" x14ac:dyDescent="0.25">
      <c r="A868" t="s">
        <v>2613</v>
      </c>
      <c r="B868" t="s">
        <v>1188</v>
      </c>
      <c r="C868" t="s">
        <v>2614</v>
      </c>
      <c r="D868" t="s">
        <v>16</v>
      </c>
      <c r="E868" t="s">
        <v>34</v>
      </c>
      <c r="F868">
        <v>62</v>
      </c>
      <c r="G868" t="s">
        <v>824</v>
      </c>
      <c r="H868">
        <v>1</v>
      </c>
      <c r="I868">
        <v>30.47</v>
      </c>
      <c r="J868">
        <v>8.77</v>
      </c>
      <c r="K868" t="s">
        <v>41</v>
      </c>
      <c r="L868" s="3">
        <v>45454</v>
      </c>
      <c r="M868" t="s">
        <v>34</v>
      </c>
      <c r="N868">
        <v>62</v>
      </c>
    </row>
    <row r="869" spans="1:14" x14ac:dyDescent="0.25">
      <c r="A869" t="s">
        <v>2615</v>
      </c>
      <c r="B869" t="s">
        <v>477</v>
      </c>
      <c r="C869" t="s">
        <v>2505</v>
      </c>
      <c r="D869" t="s">
        <v>30</v>
      </c>
      <c r="E869" t="s">
        <v>45</v>
      </c>
      <c r="F869">
        <v>65</v>
      </c>
      <c r="G869" t="s">
        <v>1433</v>
      </c>
      <c r="H869">
        <v>2</v>
      </c>
      <c r="I869">
        <v>28.86</v>
      </c>
      <c r="J869">
        <v>13.07</v>
      </c>
      <c r="K869" t="s">
        <v>19</v>
      </c>
      <c r="L869" s="3">
        <v>45634</v>
      </c>
      <c r="M869" t="s">
        <v>48</v>
      </c>
      <c r="N869">
        <v>65</v>
      </c>
    </row>
    <row r="870" spans="1:14" x14ac:dyDescent="0.25">
      <c r="A870" t="s">
        <v>2616</v>
      </c>
      <c r="B870" t="s">
        <v>589</v>
      </c>
      <c r="C870" s="3">
        <v>45256</v>
      </c>
      <c r="D870" t="s">
        <v>30</v>
      </c>
      <c r="E870" t="s">
        <v>48</v>
      </c>
      <c r="F870">
        <v>29</v>
      </c>
      <c r="G870" t="s">
        <v>1048</v>
      </c>
      <c r="H870">
        <v>1</v>
      </c>
      <c r="I870">
        <v>9.58</v>
      </c>
      <c r="J870">
        <v>5.17</v>
      </c>
      <c r="K870" t="s">
        <v>19</v>
      </c>
      <c r="L870" s="3">
        <v>45256</v>
      </c>
      <c r="M870" t="s">
        <v>48</v>
      </c>
      <c r="N870">
        <v>29</v>
      </c>
    </row>
    <row r="871" spans="1:14" x14ac:dyDescent="0.25">
      <c r="A871" t="s">
        <v>2617</v>
      </c>
      <c r="B871" t="s">
        <v>1497</v>
      </c>
      <c r="C871" s="3">
        <v>45501</v>
      </c>
      <c r="D871" t="s">
        <v>16</v>
      </c>
      <c r="E871" t="s">
        <v>65</v>
      </c>
      <c r="F871">
        <v>18</v>
      </c>
      <c r="G871" t="s">
        <v>2618</v>
      </c>
      <c r="H871">
        <v>1</v>
      </c>
      <c r="I871">
        <v>22.1</v>
      </c>
      <c r="J871">
        <v>6.18</v>
      </c>
      <c r="K871" t="s">
        <v>19</v>
      </c>
      <c r="L871" s="3">
        <v>45501</v>
      </c>
      <c r="M871" t="s">
        <v>48</v>
      </c>
      <c r="N871">
        <v>18</v>
      </c>
    </row>
    <row r="872" spans="1:14" x14ac:dyDescent="0.25">
      <c r="A872" t="s">
        <v>2619</v>
      </c>
      <c r="B872" t="s">
        <v>2620</v>
      </c>
      <c r="C872" s="3">
        <v>45135</v>
      </c>
      <c r="D872" t="s">
        <v>16</v>
      </c>
      <c r="E872" t="s">
        <v>70</v>
      </c>
      <c r="F872">
        <v>32</v>
      </c>
      <c r="G872" t="s">
        <v>635</v>
      </c>
      <c r="H872">
        <v>3</v>
      </c>
      <c r="I872">
        <v>81.67</v>
      </c>
      <c r="J872">
        <v>33.89</v>
      </c>
      <c r="K872" t="s">
        <v>41</v>
      </c>
      <c r="L872" s="3">
        <v>45135</v>
      </c>
      <c r="M872" t="s">
        <v>20</v>
      </c>
      <c r="N872">
        <v>32</v>
      </c>
    </row>
    <row r="873" spans="1:14" x14ac:dyDescent="0.25">
      <c r="A873" t="s">
        <v>2621</v>
      </c>
      <c r="B873" t="s">
        <v>402</v>
      </c>
      <c r="C873" s="1">
        <v>45406</v>
      </c>
      <c r="D873" t="s">
        <v>30</v>
      </c>
      <c r="E873" t="s">
        <v>65</v>
      </c>
      <c r="F873">
        <v>41</v>
      </c>
      <c r="G873" t="s">
        <v>258</v>
      </c>
      <c r="H873">
        <v>1</v>
      </c>
      <c r="I873">
        <v>21.5</v>
      </c>
      <c r="J873">
        <v>5.09</v>
      </c>
      <c r="K873" t="s">
        <v>19</v>
      </c>
      <c r="L873" s="3">
        <v>45406</v>
      </c>
      <c r="M873" t="s">
        <v>48</v>
      </c>
      <c r="N873">
        <v>41</v>
      </c>
    </row>
    <row r="874" spans="1:14" x14ac:dyDescent="0.25">
      <c r="A874" t="s">
        <v>275</v>
      </c>
      <c r="B874" t="s">
        <v>276</v>
      </c>
      <c r="C874" s="1">
        <v>45588</v>
      </c>
      <c r="D874" t="s">
        <v>129</v>
      </c>
      <c r="E874" t="s">
        <v>45</v>
      </c>
      <c r="F874">
        <v>18</v>
      </c>
      <c r="G874" t="s">
        <v>277</v>
      </c>
      <c r="H874">
        <v>-1</v>
      </c>
      <c r="I874">
        <v>-4.59</v>
      </c>
      <c r="J874">
        <v>-1.1599999999999999</v>
      </c>
      <c r="K874" t="s">
        <v>19</v>
      </c>
      <c r="L874" s="3">
        <v>45588</v>
      </c>
      <c r="M874" t="s">
        <v>48</v>
      </c>
      <c r="N874">
        <v>18</v>
      </c>
    </row>
    <row r="875" spans="1:14" x14ac:dyDescent="0.25">
      <c r="A875" t="s">
        <v>2622</v>
      </c>
      <c r="B875" t="s">
        <v>402</v>
      </c>
      <c r="C875" t="s">
        <v>2623</v>
      </c>
      <c r="D875" t="s">
        <v>30</v>
      </c>
      <c r="E875" t="s">
        <v>60</v>
      </c>
      <c r="F875">
        <v>17</v>
      </c>
      <c r="G875" t="s">
        <v>2380</v>
      </c>
      <c r="H875">
        <v>1</v>
      </c>
      <c r="I875" t="s">
        <v>2624</v>
      </c>
      <c r="J875">
        <v>15.17</v>
      </c>
      <c r="K875" t="s">
        <v>19</v>
      </c>
      <c r="L875" s="3">
        <v>44946</v>
      </c>
      <c r="M875" t="s">
        <v>48</v>
      </c>
      <c r="N875">
        <v>17</v>
      </c>
    </row>
    <row r="876" spans="1:14" x14ac:dyDescent="0.25">
      <c r="A876" t="s">
        <v>2625</v>
      </c>
      <c r="B876" t="s">
        <v>2626</v>
      </c>
      <c r="C876" t="s">
        <v>2627</v>
      </c>
      <c r="D876" t="s">
        <v>51</v>
      </c>
      <c r="E876" t="s">
        <v>34</v>
      </c>
      <c r="G876" t="s">
        <v>1147</v>
      </c>
      <c r="H876">
        <v>2</v>
      </c>
      <c r="I876">
        <v>83.26</v>
      </c>
      <c r="J876">
        <v>39.4</v>
      </c>
      <c r="K876" t="s">
        <v>41</v>
      </c>
      <c r="L876" s="3">
        <v>45466</v>
      </c>
      <c r="M876" t="s">
        <v>34</v>
      </c>
    </row>
    <row r="877" spans="1:14" x14ac:dyDescent="0.25">
      <c r="A877" t="s">
        <v>1456</v>
      </c>
      <c r="B877" t="s">
        <v>1457</v>
      </c>
      <c r="C877" t="s">
        <v>1458</v>
      </c>
      <c r="D877" t="s">
        <v>51</v>
      </c>
      <c r="E877" t="s">
        <v>45</v>
      </c>
      <c r="F877">
        <v>36</v>
      </c>
      <c r="G877" t="s">
        <v>962</v>
      </c>
      <c r="H877">
        <v>-2</v>
      </c>
      <c r="I877" t="s">
        <v>1459</v>
      </c>
      <c r="J877">
        <v>-24.9</v>
      </c>
      <c r="K877" t="s">
        <v>41</v>
      </c>
      <c r="L877" s="3">
        <v>44934</v>
      </c>
      <c r="M877" t="s">
        <v>48</v>
      </c>
      <c r="N877">
        <v>36</v>
      </c>
    </row>
    <row r="878" spans="1:14" x14ac:dyDescent="0.25">
      <c r="A878" t="s">
        <v>2628</v>
      </c>
      <c r="B878" t="s">
        <v>1736</v>
      </c>
      <c r="C878" s="1">
        <v>45102</v>
      </c>
      <c r="D878" t="s">
        <v>16</v>
      </c>
      <c r="E878" t="s">
        <v>38</v>
      </c>
      <c r="F878">
        <v>39</v>
      </c>
      <c r="G878" t="s">
        <v>2629</v>
      </c>
      <c r="H878">
        <v>1</v>
      </c>
      <c r="I878">
        <v>11.77</v>
      </c>
      <c r="J878" t="s">
        <v>2630</v>
      </c>
      <c r="K878" t="s">
        <v>41</v>
      </c>
      <c r="L878" s="3">
        <v>45102</v>
      </c>
      <c r="M878" t="s">
        <v>34</v>
      </c>
      <c r="N878">
        <v>39</v>
      </c>
    </row>
    <row r="879" spans="1:14" x14ac:dyDescent="0.25">
      <c r="A879" t="s">
        <v>2631</v>
      </c>
      <c r="B879" t="s">
        <v>64</v>
      </c>
      <c r="C879" s="1">
        <v>45184</v>
      </c>
      <c r="D879" t="s">
        <v>30</v>
      </c>
      <c r="E879" t="s">
        <v>34</v>
      </c>
      <c r="F879">
        <v>63</v>
      </c>
      <c r="G879" t="s">
        <v>2632</v>
      </c>
      <c r="H879">
        <v>2</v>
      </c>
      <c r="I879" t="s">
        <v>2633</v>
      </c>
      <c r="J879" s="2">
        <v>5.48</v>
      </c>
      <c r="K879" t="s">
        <v>41</v>
      </c>
      <c r="L879" s="3">
        <v>45184</v>
      </c>
      <c r="M879" t="s">
        <v>34</v>
      </c>
      <c r="N879">
        <v>63</v>
      </c>
    </row>
    <row r="880" spans="1:14" x14ac:dyDescent="0.25">
      <c r="A880" t="s">
        <v>2634</v>
      </c>
      <c r="B880" t="s">
        <v>497</v>
      </c>
      <c r="C880" s="1">
        <v>45423</v>
      </c>
      <c r="D880" t="s">
        <v>24</v>
      </c>
      <c r="E880" t="s">
        <v>25</v>
      </c>
      <c r="F880">
        <v>58</v>
      </c>
      <c r="G880" t="s">
        <v>2291</v>
      </c>
      <c r="H880">
        <v>2</v>
      </c>
      <c r="I880" t="s">
        <v>205</v>
      </c>
      <c r="J880">
        <v>21.69</v>
      </c>
      <c r="K880" t="s">
        <v>41</v>
      </c>
      <c r="L880" s="3">
        <v>45423</v>
      </c>
      <c r="M880" t="s">
        <v>20</v>
      </c>
      <c r="N880">
        <v>58</v>
      </c>
    </row>
    <row r="881" spans="1:14" x14ac:dyDescent="0.25">
      <c r="A881" t="s">
        <v>2635</v>
      </c>
      <c r="B881" t="s">
        <v>690</v>
      </c>
      <c r="C881" s="1">
        <v>45338</v>
      </c>
      <c r="D881" t="s">
        <v>16</v>
      </c>
      <c r="E881" t="s">
        <v>60</v>
      </c>
      <c r="F881">
        <v>68</v>
      </c>
      <c r="G881" t="s">
        <v>2636</v>
      </c>
      <c r="H881">
        <v>3</v>
      </c>
      <c r="I881">
        <v>63.9</v>
      </c>
      <c r="J881">
        <v>21.09</v>
      </c>
      <c r="K881" t="s">
        <v>41</v>
      </c>
      <c r="L881" s="3">
        <v>45338</v>
      </c>
      <c r="M881" t="s">
        <v>48</v>
      </c>
      <c r="N881">
        <v>68</v>
      </c>
    </row>
    <row r="882" spans="1:14" x14ac:dyDescent="0.25">
      <c r="A882" t="s">
        <v>2637</v>
      </c>
      <c r="B882" t="s">
        <v>2014</v>
      </c>
      <c r="C882" t="s">
        <v>2638</v>
      </c>
      <c r="D882" t="s">
        <v>129</v>
      </c>
      <c r="E882" t="s">
        <v>85</v>
      </c>
      <c r="F882">
        <v>74</v>
      </c>
      <c r="G882" t="s">
        <v>2639</v>
      </c>
      <c r="H882">
        <v>6</v>
      </c>
      <c r="I882" t="s">
        <v>2640</v>
      </c>
      <c r="J882" t="s">
        <v>205</v>
      </c>
      <c r="K882" t="s">
        <v>41</v>
      </c>
      <c r="L882" s="3">
        <v>45187</v>
      </c>
      <c r="M882" t="s">
        <v>34</v>
      </c>
      <c r="N882">
        <v>74</v>
      </c>
    </row>
    <row r="883" spans="1:14" x14ac:dyDescent="0.25">
      <c r="A883" t="s">
        <v>2641</v>
      </c>
      <c r="B883" t="s">
        <v>147</v>
      </c>
      <c r="C883" s="1">
        <v>45393</v>
      </c>
      <c r="D883" t="s">
        <v>129</v>
      </c>
      <c r="E883" t="s">
        <v>132</v>
      </c>
      <c r="F883">
        <v>32</v>
      </c>
      <c r="G883" t="s">
        <v>2642</v>
      </c>
      <c r="H883">
        <v>1</v>
      </c>
      <c r="I883">
        <v>6.77</v>
      </c>
      <c r="J883" s="2">
        <v>1.96</v>
      </c>
      <c r="K883" t="s">
        <v>41</v>
      </c>
      <c r="L883" s="3">
        <v>45393</v>
      </c>
      <c r="M883" t="s">
        <v>132</v>
      </c>
      <c r="N883">
        <v>32</v>
      </c>
    </row>
    <row r="884" spans="1:14" x14ac:dyDescent="0.25">
      <c r="A884" t="s">
        <v>2643</v>
      </c>
      <c r="B884" t="s">
        <v>2644</v>
      </c>
      <c r="C884" s="1">
        <v>45643</v>
      </c>
      <c r="D884" t="s">
        <v>16</v>
      </c>
      <c r="E884" t="s">
        <v>31</v>
      </c>
      <c r="F884">
        <v>64</v>
      </c>
      <c r="G884" t="s">
        <v>541</v>
      </c>
      <c r="H884">
        <v>2</v>
      </c>
      <c r="I884">
        <v>54.21</v>
      </c>
      <c r="J884">
        <v>26.56</v>
      </c>
      <c r="K884" t="s">
        <v>41</v>
      </c>
      <c r="L884" s="3">
        <v>45643</v>
      </c>
      <c r="M884" t="s">
        <v>34</v>
      </c>
      <c r="N884">
        <v>64</v>
      </c>
    </row>
    <row r="885" spans="1:14" x14ac:dyDescent="0.25">
      <c r="A885" t="s">
        <v>2645</v>
      </c>
      <c r="B885" t="s">
        <v>2646</v>
      </c>
      <c r="C885" s="3">
        <v>45218</v>
      </c>
      <c r="D885" t="s">
        <v>129</v>
      </c>
      <c r="E885" t="s">
        <v>38</v>
      </c>
      <c r="F885">
        <v>52</v>
      </c>
      <c r="G885" t="s">
        <v>2647</v>
      </c>
      <c r="H885">
        <v>2</v>
      </c>
      <c r="I885">
        <v>35.700000000000003</v>
      </c>
      <c r="J885" s="2">
        <v>4.59</v>
      </c>
      <c r="K885" t="s">
        <v>19</v>
      </c>
      <c r="L885" s="3">
        <v>45218</v>
      </c>
      <c r="M885" t="s">
        <v>34</v>
      </c>
      <c r="N885">
        <v>52</v>
      </c>
    </row>
    <row r="886" spans="1:14" x14ac:dyDescent="0.25">
      <c r="A886" t="s">
        <v>2648</v>
      </c>
      <c r="B886" t="s">
        <v>322</v>
      </c>
      <c r="C886" t="s">
        <v>2649</v>
      </c>
      <c r="D886" t="s">
        <v>16</v>
      </c>
      <c r="E886" t="s">
        <v>45</v>
      </c>
      <c r="F886">
        <v>75</v>
      </c>
      <c r="G886" t="s">
        <v>2650</v>
      </c>
      <c r="H886">
        <v>1</v>
      </c>
      <c r="I886">
        <v>13.66</v>
      </c>
      <c r="J886">
        <v>7.15</v>
      </c>
      <c r="K886" t="s">
        <v>41</v>
      </c>
      <c r="L886" s="3">
        <v>45227</v>
      </c>
      <c r="M886" t="s">
        <v>48</v>
      </c>
      <c r="N886">
        <v>75</v>
      </c>
    </row>
    <row r="887" spans="1:14" x14ac:dyDescent="0.25">
      <c r="A887" t="s">
        <v>1353</v>
      </c>
      <c r="B887" t="s">
        <v>2651</v>
      </c>
      <c r="C887" t="s">
        <v>1355</v>
      </c>
      <c r="D887" t="s">
        <v>51</v>
      </c>
      <c r="E887" t="s">
        <v>31</v>
      </c>
      <c r="F887">
        <v>66</v>
      </c>
      <c r="G887" t="s">
        <v>2652</v>
      </c>
      <c r="H887">
        <v>6</v>
      </c>
      <c r="I887">
        <v>173.7</v>
      </c>
      <c r="J887">
        <v>59.09</v>
      </c>
      <c r="K887" t="s">
        <v>19</v>
      </c>
      <c r="L887" s="3">
        <v>45365</v>
      </c>
      <c r="M887" t="s">
        <v>34</v>
      </c>
      <c r="N887">
        <v>66</v>
      </c>
    </row>
    <row r="888" spans="1:14" x14ac:dyDescent="0.25">
      <c r="A888" t="s">
        <v>2653</v>
      </c>
      <c r="B888" t="s">
        <v>1438</v>
      </c>
      <c r="C888" s="1">
        <v>45551</v>
      </c>
      <c r="D888" t="s">
        <v>51</v>
      </c>
      <c r="E888" t="s">
        <v>85</v>
      </c>
      <c r="F888">
        <v>45</v>
      </c>
      <c r="G888" t="s">
        <v>2654</v>
      </c>
      <c r="H888">
        <v>2</v>
      </c>
      <c r="I888" s="2">
        <v>65.19</v>
      </c>
      <c r="J888">
        <v>27.24</v>
      </c>
      <c r="K888" t="s">
        <v>19</v>
      </c>
      <c r="L888" s="3">
        <v>45551</v>
      </c>
      <c r="M888" t="s">
        <v>34</v>
      </c>
      <c r="N888">
        <v>45</v>
      </c>
    </row>
    <row r="889" spans="1:14" x14ac:dyDescent="0.25">
      <c r="A889" t="s">
        <v>2655</v>
      </c>
      <c r="B889" t="s">
        <v>102</v>
      </c>
      <c r="C889" t="s">
        <v>2656</v>
      </c>
      <c r="D889" t="s">
        <v>24</v>
      </c>
      <c r="E889" t="s">
        <v>45</v>
      </c>
      <c r="F889">
        <v>21</v>
      </c>
      <c r="G889" t="s">
        <v>2657</v>
      </c>
      <c r="H889">
        <v>2</v>
      </c>
      <c r="I889" t="s">
        <v>25</v>
      </c>
      <c r="J889">
        <v>5.61</v>
      </c>
      <c r="K889" t="s">
        <v>19</v>
      </c>
      <c r="L889" s="3">
        <v>45426</v>
      </c>
      <c r="M889" t="s">
        <v>48</v>
      </c>
      <c r="N889">
        <v>21</v>
      </c>
    </row>
    <row r="890" spans="1:14" x14ac:dyDescent="0.25">
      <c r="A890" t="s">
        <v>2658</v>
      </c>
      <c r="B890" t="s">
        <v>808</v>
      </c>
      <c r="C890" t="s">
        <v>2659</v>
      </c>
      <c r="D890" t="s">
        <v>24</v>
      </c>
      <c r="E890" t="s">
        <v>38</v>
      </c>
      <c r="F890">
        <v>33</v>
      </c>
      <c r="G890" t="s">
        <v>2660</v>
      </c>
      <c r="H890">
        <v>2</v>
      </c>
      <c r="I890">
        <v>29.85</v>
      </c>
      <c r="J890" s="2">
        <v>14.34</v>
      </c>
      <c r="K890" t="s">
        <v>19</v>
      </c>
      <c r="L890" s="3">
        <v>44939</v>
      </c>
      <c r="M890" t="s">
        <v>34</v>
      </c>
      <c r="N890">
        <v>33</v>
      </c>
    </row>
    <row r="891" spans="1:14" x14ac:dyDescent="0.25">
      <c r="A891" t="s">
        <v>2661</v>
      </c>
      <c r="B891" t="s">
        <v>147</v>
      </c>
      <c r="C891" t="s">
        <v>2662</v>
      </c>
      <c r="D891" t="s">
        <v>24</v>
      </c>
      <c r="E891" t="s">
        <v>34</v>
      </c>
      <c r="F891">
        <v>22</v>
      </c>
      <c r="G891" t="s">
        <v>1988</v>
      </c>
      <c r="H891">
        <v>1</v>
      </c>
      <c r="I891">
        <v>22.29</v>
      </c>
      <c r="J891">
        <v>7.8</v>
      </c>
      <c r="K891" t="s">
        <v>41</v>
      </c>
      <c r="L891" s="3">
        <v>45223</v>
      </c>
      <c r="M891" t="s">
        <v>34</v>
      </c>
      <c r="N891">
        <v>22</v>
      </c>
    </row>
    <row r="892" spans="1:14" x14ac:dyDescent="0.25">
      <c r="A892" t="s">
        <v>2663</v>
      </c>
      <c r="B892" t="s">
        <v>660</v>
      </c>
      <c r="C892" s="1">
        <v>45318</v>
      </c>
      <c r="D892" t="s">
        <v>24</v>
      </c>
      <c r="E892" t="s">
        <v>34</v>
      </c>
      <c r="F892">
        <v>69</v>
      </c>
      <c r="G892" t="s">
        <v>2291</v>
      </c>
      <c r="H892">
        <v>1</v>
      </c>
      <c r="I892" s="2">
        <v>14.33</v>
      </c>
      <c r="J892">
        <v>4.8099999999999996</v>
      </c>
      <c r="K892" t="s">
        <v>41</v>
      </c>
      <c r="L892" s="3">
        <v>45318</v>
      </c>
      <c r="M892" t="s">
        <v>34</v>
      </c>
      <c r="N892">
        <v>69</v>
      </c>
    </row>
    <row r="893" spans="1:14" x14ac:dyDescent="0.25">
      <c r="A893" t="s">
        <v>2664</v>
      </c>
      <c r="B893" t="s">
        <v>150</v>
      </c>
      <c r="C893" t="s">
        <v>2665</v>
      </c>
      <c r="D893" t="s">
        <v>24</v>
      </c>
      <c r="E893" t="s">
        <v>85</v>
      </c>
      <c r="F893">
        <v>67</v>
      </c>
      <c r="G893" t="s">
        <v>2666</v>
      </c>
      <c r="H893">
        <v>1</v>
      </c>
      <c r="I893" s="2">
        <v>9.0399999999999991</v>
      </c>
      <c r="J893" s="2">
        <v>4.1900000000000004</v>
      </c>
      <c r="K893" t="s">
        <v>19</v>
      </c>
      <c r="L893" s="3">
        <v>45189</v>
      </c>
      <c r="M893" t="s">
        <v>34</v>
      </c>
      <c r="N893">
        <v>67</v>
      </c>
    </row>
    <row r="894" spans="1:14" x14ac:dyDescent="0.25">
      <c r="A894" t="s">
        <v>2667</v>
      </c>
      <c r="B894" t="s">
        <v>1408</v>
      </c>
      <c r="C894" s="1">
        <v>45393</v>
      </c>
      <c r="D894" t="s">
        <v>129</v>
      </c>
      <c r="E894" t="s">
        <v>48</v>
      </c>
      <c r="F894">
        <v>60</v>
      </c>
      <c r="G894" t="s">
        <v>340</v>
      </c>
      <c r="H894">
        <v>1</v>
      </c>
      <c r="I894">
        <v>7.16</v>
      </c>
      <c r="J894">
        <v>3.18</v>
      </c>
      <c r="K894" t="s">
        <v>41</v>
      </c>
      <c r="L894" s="3">
        <v>45393</v>
      </c>
      <c r="M894" t="s">
        <v>48</v>
      </c>
      <c r="N894">
        <v>60</v>
      </c>
    </row>
    <row r="895" spans="1:14" x14ac:dyDescent="0.25">
      <c r="A895" t="s">
        <v>2668</v>
      </c>
      <c r="B895" t="s">
        <v>772</v>
      </c>
      <c r="C895" t="s">
        <v>2669</v>
      </c>
      <c r="D895" t="s">
        <v>24</v>
      </c>
      <c r="E895" t="s">
        <v>25</v>
      </c>
      <c r="F895">
        <v>48</v>
      </c>
      <c r="G895" t="s">
        <v>368</v>
      </c>
      <c r="H895">
        <v>2</v>
      </c>
      <c r="I895" t="s">
        <v>2670</v>
      </c>
      <c r="J895" s="2">
        <v>22</v>
      </c>
      <c r="K895" t="s">
        <v>19</v>
      </c>
      <c r="L895" s="3">
        <v>45233</v>
      </c>
      <c r="M895" t="s">
        <v>20</v>
      </c>
      <c r="N895">
        <v>48</v>
      </c>
    </row>
    <row r="896" spans="1:14" x14ac:dyDescent="0.25">
      <c r="A896" t="s">
        <v>2671</v>
      </c>
      <c r="B896" t="s">
        <v>441</v>
      </c>
      <c r="C896" t="s">
        <v>343</v>
      </c>
      <c r="D896" t="s">
        <v>51</v>
      </c>
      <c r="E896" t="s">
        <v>25</v>
      </c>
      <c r="F896">
        <v>52</v>
      </c>
      <c r="G896" t="s">
        <v>2672</v>
      </c>
      <c r="H896">
        <v>1</v>
      </c>
      <c r="I896">
        <v>29.21</v>
      </c>
      <c r="J896">
        <v>8.44</v>
      </c>
      <c r="K896" t="s">
        <v>19</v>
      </c>
      <c r="L896" s="3">
        <v>45220</v>
      </c>
      <c r="M896" t="s">
        <v>20</v>
      </c>
      <c r="N896">
        <v>52</v>
      </c>
    </row>
    <row r="897" spans="1:14" x14ac:dyDescent="0.25">
      <c r="A897" t="s">
        <v>2673</v>
      </c>
      <c r="B897" t="s">
        <v>1173</v>
      </c>
      <c r="C897" s="3">
        <v>45296</v>
      </c>
      <c r="D897" t="s">
        <v>51</v>
      </c>
      <c r="E897" t="s">
        <v>60</v>
      </c>
      <c r="F897">
        <v>55</v>
      </c>
      <c r="G897" t="s">
        <v>439</v>
      </c>
      <c r="H897">
        <v>2</v>
      </c>
      <c r="I897" t="s">
        <v>2674</v>
      </c>
      <c r="J897">
        <v>26.72</v>
      </c>
      <c r="K897" t="s">
        <v>19</v>
      </c>
      <c r="L897" s="3">
        <v>45296</v>
      </c>
      <c r="M897" t="s">
        <v>48</v>
      </c>
      <c r="N897">
        <v>55</v>
      </c>
    </row>
    <row r="898" spans="1:14" x14ac:dyDescent="0.25">
      <c r="A898" t="s">
        <v>2675</v>
      </c>
      <c r="B898" t="s">
        <v>22</v>
      </c>
      <c r="C898" s="1">
        <v>45203</v>
      </c>
      <c r="D898" t="s">
        <v>24</v>
      </c>
      <c r="E898" t="s">
        <v>132</v>
      </c>
      <c r="F898">
        <v>46</v>
      </c>
      <c r="G898" t="s">
        <v>2676</v>
      </c>
      <c r="H898">
        <v>2</v>
      </c>
      <c r="I898" t="s">
        <v>2677</v>
      </c>
      <c r="J898">
        <v>21.98</v>
      </c>
      <c r="K898" t="s">
        <v>19</v>
      </c>
      <c r="L898" s="3">
        <v>45203</v>
      </c>
      <c r="M898" t="s">
        <v>132</v>
      </c>
      <c r="N898">
        <v>46</v>
      </c>
    </row>
    <row r="899" spans="1:14" x14ac:dyDescent="0.25">
      <c r="A899" t="s">
        <v>2678</v>
      </c>
      <c r="B899" t="s">
        <v>696</v>
      </c>
      <c r="C899" s="3">
        <v>45588</v>
      </c>
      <c r="D899" t="s">
        <v>129</v>
      </c>
      <c r="E899" t="s">
        <v>85</v>
      </c>
      <c r="F899">
        <v>62</v>
      </c>
      <c r="G899" t="s">
        <v>1797</v>
      </c>
      <c r="H899">
        <v>3</v>
      </c>
      <c r="I899" t="s">
        <v>2679</v>
      </c>
      <c r="J899" t="s">
        <v>2680</v>
      </c>
      <c r="K899" t="s">
        <v>19</v>
      </c>
      <c r="L899" s="3">
        <v>45588</v>
      </c>
      <c r="M899" t="s">
        <v>34</v>
      </c>
      <c r="N899">
        <v>62</v>
      </c>
    </row>
    <row r="900" spans="1:14" x14ac:dyDescent="0.25">
      <c r="A900" t="s">
        <v>2681</v>
      </c>
      <c r="B900" t="s">
        <v>215</v>
      </c>
      <c r="C900" t="s">
        <v>2682</v>
      </c>
      <c r="D900" t="s">
        <v>51</v>
      </c>
      <c r="E900" t="s">
        <v>34</v>
      </c>
      <c r="F900">
        <v>22</v>
      </c>
      <c r="G900" t="s">
        <v>2683</v>
      </c>
      <c r="H900">
        <v>1</v>
      </c>
      <c r="I900">
        <v>37.81</v>
      </c>
      <c r="J900" t="s">
        <v>2684</v>
      </c>
      <c r="K900" t="s">
        <v>41</v>
      </c>
      <c r="L900" s="3">
        <v>45236</v>
      </c>
      <c r="M900" t="s">
        <v>34</v>
      </c>
      <c r="N900">
        <v>22</v>
      </c>
    </row>
    <row r="901" spans="1:14" x14ac:dyDescent="0.25">
      <c r="A901" t="s">
        <v>706</v>
      </c>
      <c r="B901" t="s">
        <v>2685</v>
      </c>
      <c r="C901" t="s">
        <v>708</v>
      </c>
      <c r="D901" t="s">
        <v>30</v>
      </c>
      <c r="E901" t="s">
        <v>534</v>
      </c>
      <c r="F901">
        <v>45</v>
      </c>
      <c r="G901" t="s">
        <v>2686</v>
      </c>
      <c r="H901">
        <v>1</v>
      </c>
      <c r="I901">
        <v>20.43</v>
      </c>
      <c r="J901">
        <v>11.84</v>
      </c>
      <c r="K901" t="s">
        <v>19</v>
      </c>
      <c r="L901" s="3">
        <v>45128</v>
      </c>
      <c r="M901" t="s">
        <v>48</v>
      </c>
      <c r="N901">
        <v>45</v>
      </c>
    </row>
    <row r="902" spans="1:14" x14ac:dyDescent="0.25">
      <c r="A902" t="s">
        <v>2687</v>
      </c>
      <c r="B902" t="s">
        <v>261</v>
      </c>
      <c r="C902" s="1">
        <v>45405</v>
      </c>
      <c r="D902" t="s">
        <v>51</v>
      </c>
      <c r="E902" t="s">
        <v>48</v>
      </c>
      <c r="F902">
        <v>41</v>
      </c>
      <c r="G902" t="s">
        <v>2688</v>
      </c>
      <c r="H902">
        <v>1</v>
      </c>
      <c r="I902">
        <v>35.590000000000003</v>
      </c>
      <c r="J902" t="s">
        <v>2689</v>
      </c>
      <c r="K902" t="s">
        <v>41</v>
      </c>
      <c r="L902" s="3">
        <v>45405</v>
      </c>
      <c r="M902" t="s">
        <v>48</v>
      </c>
      <c r="N902">
        <v>41</v>
      </c>
    </row>
    <row r="903" spans="1:14" x14ac:dyDescent="0.25">
      <c r="A903" t="s">
        <v>2690</v>
      </c>
      <c r="B903" t="s">
        <v>2691</v>
      </c>
      <c r="C903" s="3">
        <v>45106</v>
      </c>
      <c r="D903" t="s">
        <v>30</v>
      </c>
      <c r="E903" t="s">
        <v>70</v>
      </c>
      <c r="F903">
        <v>14</v>
      </c>
      <c r="G903" t="s">
        <v>2692</v>
      </c>
      <c r="H903">
        <v>2</v>
      </c>
      <c r="I903">
        <v>42.53</v>
      </c>
      <c r="J903">
        <v>19.07</v>
      </c>
      <c r="K903" t="s">
        <v>41</v>
      </c>
      <c r="L903" s="3">
        <v>45106</v>
      </c>
      <c r="M903" t="s">
        <v>20</v>
      </c>
      <c r="N903">
        <v>14</v>
      </c>
    </row>
    <row r="904" spans="1:14" x14ac:dyDescent="0.25">
      <c r="A904" t="s">
        <v>2693</v>
      </c>
      <c r="B904" t="s">
        <v>335</v>
      </c>
      <c r="C904" s="1">
        <v>45508</v>
      </c>
      <c r="D904" t="s">
        <v>24</v>
      </c>
      <c r="E904" t="s">
        <v>132</v>
      </c>
      <c r="F904">
        <v>66</v>
      </c>
      <c r="G904" t="s">
        <v>2694</v>
      </c>
      <c r="H904">
        <v>1</v>
      </c>
      <c r="I904">
        <v>19.96</v>
      </c>
      <c r="J904" t="s">
        <v>25</v>
      </c>
      <c r="K904" t="s">
        <v>19</v>
      </c>
      <c r="L904" s="3">
        <v>45508</v>
      </c>
      <c r="M904" t="s">
        <v>132</v>
      </c>
      <c r="N904">
        <v>66</v>
      </c>
    </row>
    <row r="905" spans="1:14" x14ac:dyDescent="0.25">
      <c r="A905" t="s">
        <v>2695</v>
      </c>
      <c r="B905" t="s">
        <v>1091</v>
      </c>
      <c r="C905" s="1">
        <v>45302</v>
      </c>
      <c r="D905" t="s">
        <v>51</v>
      </c>
      <c r="E905" t="s">
        <v>38</v>
      </c>
      <c r="F905">
        <v>29</v>
      </c>
      <c r="G905" t="s">
        <v>1100</v>
      </c>
      <c r="H905">
        <v>1</v>
      </c>
      <c r="I905">
        <v>20.059999999999999</v>
      </c>
      <c r="J905" s="2">
        <v>8.99</v>
      </c>
      <c r="K905" t="s">
        <v>19</v>
      </c>
      <c r="L905" s="3">
        <v>45302</v>
      </c>
      <c r="M905" t="s">
        <v>34</v>
      </c>
      <c r="N905">
        <v>29</v>
      </c>
    </row>
    <row r="906" spans="1:14" x14ac:dyDescent="0.25">
      <c r="A906" t="s">
        <v>2696</v>
      </c>
      <c r="B906" t="s">
        <v>1476</v>
      </c>
      <c r="C906" s="1">
        <v>45253</v>
      </c>
      <c r="D906" t="s">
        <v>30</v>
      </c>
      <c r="E906" t="s">
        <v>38</v>
      </c>
      <c r="F906">
        <v>57</v>
      </c>
      <c r="G906" t="s">
        <v>2697</v>
      </c>
      <c r="H906">
        <v>1</v>
      </c>
      <c r="I906" t="s">
        <v>2698</v>
      </c>
      <c r="J906" s="2">
        <v>25.24</v>
      </c>
      <c r="K906" t="s">
        <v>19</v>
      </c>
      <c r="L906" s="3">
        <v>45253</v>
      </c>
      <c r="M906" t="s">
        <v>34</v>
      </c>
      <c r="N906">
        <v>57</v>
      </c>
    </row>
    <row r="907" spans="1:14" x14ac:dyDescent="0.25">
      <c r="A907" t="s">
        <v>2699</v>
      </c>
      <c r="B907" t="s">
        <v>297</v>
      </c>
      <c r="C907" s="3">
        <v>45573</v>
      </c>
      <c r="D907" t="s">
        <v>129</v>
      </c>
      <c r="E907" t="s">
        <v>85</v>
      </c>
      <c r="F907">
        <v>22</v>
      </c>
      <c r="G907" t="s">
        <v>2700</v>
      </c>
      <c r="H907">
        <v>6</v>
      </c>
      <c r="I907" t="s">
        <v>25</v>
      </c>
      <c r="K907" t="s">
        <v>19</v>
      </c>
      <c r="L907" s="3">
        <v>45573</v>
      </c>
      <c r="M907" t="s">
        <v>34</v>
      </c>
      <c r="N907">
        <v>22</v>
      </c>
    </row>
    <row r="908" spans="1:14" x14ac:dyDescent="0.25">
      <c r="A908" t="s">
        <v>2701</v>
      </c>
      <c r="B908" t="s">
        <v>819</v>
      </c>
      <c r="C908" s="3">
        <v>44985</v>
      </c>
      <c r="D908" t="s">
        <v>16</v>
      </c>
      <c r="E908" t="s">
        <v>85</v>
      </c>
      <c r="F908">
        <v>29</v>
      </c>
      <c r="G908" t="s">
        <v>424</v>
      </c>
      <c r="H908">
        <v>4</v>
      </c>
      <c r="I908">
        <v>67.02</v>
      </c>
      <c r="J908">
        <v>34.35</v>
      </c>
      <c r="K908" t="s">
        <v>19</v>
      </c>
      <c r="L908" s="3">
        <v>44985</v>
      </c>
      <c r="M908" t="s">
        <v>34</v>
      </c>
      <c r="N908">
        <v>29</v>
      </c>
    </row>
    <row r="909" spans="1:14" x14ac:dyDescent="0.25">
      <c r="A909" t="s">
        <v>2702</v>
      </c>
      <c r="B909" t="s">
        <v>22</v>
      </c>
      <c r="C909" s="3">
        <v>44985</v>
      </c>
      <c r="D909" t="s">
        <v>30</v>
      </c>
      <c r="E909" t="s">
        <v>85</v>
      </c>
      <c r="F909">
        <v>25</v>
      </c>
      <c r="G909" t="s">
        <v>2703</v>
      </c>
      <c r="H909">
        <v>1</v>
      </c>
      <c r="I909">
        <v>32.68</v>
      </c>
      <c r="J909" s="2">
        <v>11.81</v>
      </c>
      <c r="K909" t="s">
        <v>41</v>
      </c>
      <c r="L909" s="3">
        <v>44985</v>
      </c>
      <c r="M909" t="s">
        <v>34</v>
      </c>
      <c r="N909">
        <v>25</v>
      </c>
    </row>
    <row r="910" spans="1:14" x14ac:dyDescent="0.25">
      <c r="A910" t="s">
        <v>2704</v>
      </c>
      <c r="B910" t="s">
        <v>548</v>
      </c>
      <c r="C910" s="1">
        <v>45314</v>
      </c>
      <c r="D910" t="s">
        <v>51</v>
      </c>
      <c r="E910" t="s">
        <v>31</v>
      </c>
      <c r="F910">
        <v>44</v>
      </c>
      <c r="G910" t="s">
        <v>2705</v>
      </c>
      <c r="H910">
        <v>1</v>
      </c>
      <c r="I910">
        <v>16.79</v>
      </c>
      <c r="J910" s="2">
        <v>6.68</v>
      </c>
      <c r="K910" t="s">
        <v>41</v>
      </c>
      <c r="L910" s="3">
        <v>45314</v>
      </c>
      <c r="M910" t="s">
        <v>34</v>
      </c>
      <c r="N910">
        <v>44</v>
      </c>
    </row>
    <row r="911" spans="1:14" x14ac:dyDescent="0.25">
      <c r="A911" t="s">
        <v>2706</v>
      </c>
      <c r="B911" t="s">
        <v>266</v>
      </c>
      <c r="C911" t="s">
        <v>2707</v>
      </c>
      <c r="D911" t="s">
        <v>30</v>
      </c>
      <c r="E911" t="s">
        <v>31</v>
      </c>
      <c r="F911">
        <v>72</v>
      </c>
      <c r="G911" t="s">
        <v>2708</v>
      </c>
      <c r="H911">
        <v>1</v>
      </c>
      <c r="I911" s="2">
        <v>7.61</v>
      </c>
      <c r="J911">
        <v>1.96</v>
      </c>
      <c r="K911" t="s">
        <v>41</v>
      </c>
      <c r="L911" s="3">
        <v>44940</v>
      </c>
      <c r="M911" t="s">
        <v>34</v>
      </c>
      <c r="N911">
        <v>72</v>
      </c>
    </row>
    <row r="912" spans="1:14" x14ac:dyDescent="0.25">
      <c r="A912" t="s">
        <v>2709</v>
      </c>
      <c r="B912" t="s">
        <v>223</v>
      </c>
      <c r="C912" t="s">
        <v>1494</v>
      </c>
      <c r="D912" t="s">
        <v>24</v>
      </c>
      <c r="E912" t="s">
        <v>85</v>
      </c>
      <c r="F912">
        <v>72</v>
      </c>
      <c r="G912" t="s">
        <v>969</v>
      </c>
      <c r="H912">
        <v>2</v>
      </c>
      <c r="I912">
        <v>12.33</v>
      </c>
      <c r="J912">
        <v>5.0199999999999996</v>
      </c>
      <c r="K912" t="s">
        <v>19</v>
      </c>
      <c r="L912" s="3">
        <v>45654</v>
      </c>
      <c r="M912" t="s">
        <v>34</v>
      </c>
      <c r="N912">
        <v>72</v>
      </c>
    </row>
    <row r="913" spans="1:14" x14ac:dyDescent="0.25">
      <c r="A913" t="s">
        <v>2710</v>
      </c>
      <c r="B913" t="s">
        <v>2309</v>
      </c>
      <c r="C913" s="1">
        <v>45446</v>
      </c>
      <c r="D913" t="s">
        <v>16</v>
      </c>
      <c r="E913" t="s">
        <v>34</v>
      </c>
      <c r="F913">
        <v>25</v>
      </c>
      <c r="G913" t="s">
        <v>1550</v>
      </c>
      <c r="H913">
        <v>6</v>
      </c>
      <c r="I913">
        <v>206.42</v>
      </c>
      <c r="J913" t="s">
        <v>205</v>
      </c>
      <c r="K913" t="s">
        <v>19</v>
      </c>
      <c r="L913" s="3">
        <v>45446</v>
      </c>
      <c r="M913" t="s">
        <v>34</v>
      </c>
      <c r="N913">
        <v>25</v>
      </c>
    </row>
    <row r="914" spans="1:14" x14ac:dyDescent="0.25">
      <c r="A914" t="s">
        <v>2711</v>
      </c>
      <c r="B914" t="s">
        <v>1288</v>
      </c>
      <c r="C914" s="3">
        <v>45470</v>
      </c>
      <c r="D914" t="s">
        <v>129</v>
      </c>
      <c r="E914" t="s">
        <v>34</v>
      </c>
      <c r="F914">
        <v>34</v>
      </c>
      <c r="G914" t="s">
        <v>2712</v>
      </c>
      <c r="H914">
        <v>3</v>
      </c>
      <c r="I914">
        <v>16.920000000000002</v>
      </c>
      <c r="J914">
        <v>8.27</v>
      </c>
      <c r="K914" t="s">
        <v>19</v>
      </c>
      <c r="L914" s="3">
        <v>45470</v>
      </c>
      <c r="M914" t="s">
        <v>34</v>
      </c>
      <c r="N914">
        <v>34</v>
      </c>
    </row>
    <row r="915" spans="1:14" x14ac:dyDescent="0.25">
      <c r="A915" t="s">
        <v>2713</v>
      </c>
      <c r="B915" t="s">
        <v>581</v>
      </c>
      <c r="C915" s="3">
        <v>45073</v>
      </c>
      <c r="D915" t="s">
        <v>51</v>
      </c>
      <c r="E915" t="s">
        <v>48</v>
      </c>
      <c r="F915">
        <v>69</v>
      </c>
      <c r="G915" t="s">
        <v>2654</v>
      </c>
      <c r="H915">
        <v>1</v>
      </c>
      <c r="I915">
        <v>33.68</v>
      </c>
      <c r="J915">
        <v>18.11</v>
      </c>
      <c r="K915" t="s">
        <v>19</v>
      </c>
      <c r="L915" s="3">
        <v>45073</v>
      </c>
      <c r="M915" t="s">
        <v>48</v>
      </c>
      <c r="N915">
        <v>69</v>
      </c>
    </row>
    <row r="916" spans="1:14" x14ac:dyDescent="0.25">
      <c r="A916" t="s">
        <v>1845</v>
      </c>
      <c r="B916" t="s">
        <v>1497</v>
      </c>
      <c r="C916" t="s">
        <v>1847</v>
      </c>
      <c r="D916" t="s">
        <v>51</v>
      </c>
      <c r="E916" t="s">
        <v>31</v>
      </c>
      <c r="F916">
        <v>66</v>
      </c>
      <c r="G916" t="s">
        <v>2714</v>
      </c>
      <c r="H916">
        <v>1</v>
      </c>
      <c r="I916">
        <v>52.85</v>
      </c>
      <c r="J916">
        <v>23.84</v>
      </c>
      <c r="K916" t="s">
        <v>41</v>
      </c>
      <c r="L916" s="3">
        <v>45001</v>
      </c>
      <c r="M916" t="s">
        <v>34</v>
      </c>
      <c r="N916">
        <v>66</v>
      </c>
    </row>
    <row r="917" spans="1:14" x14ac:dyDescent="0.25">
      <c r="A917" t="s">
        <v>2715</v>
      </c>
      <c r="B917" t="s">
        <v>518</v>
      </c>
      <c r="C917" s="3">
        <v>44948</v>
      </c>
      <c r="D917" t="s">
        <v>24</v>
      </c>
      <c r="F917">
        <v>49</v>
      </c>
      <c r="G917" t="s">
        <v>1840</v>
      </c>
      <c r="H917">
        <v>1</v>
      </c>
      <c r="I917">
        <v>21.08</v>
      </c>
      <c r="J917" t="s">
        <v>2716</v>
      </c>
      <c r="K917" t="s">
        <v>19</v>
      </c>
      <c r="L917" s="3">
        <v>44948</v>
      </c>
      <c r="M917" t="s">
        <v>20</v>
      </c>
      <c r="N917">
        <v>49</v>
      </c>
    </row>
    <row r="918" spans="1:14" x14ac:dyDescent="0.25">
      <c r="A918" t="s">
        <v>2717</v>
      </c>
      <c r="B918" t="s">
        <v>1473</v>
      </c>
      <c r="C918" s="3">
        <v>45281</v>
      </c>
      <c r="D918" t="s">
        <v>30</v>
      </c>
      <c r="E918" t="s">
        <v>65</v>
      </c>
      <c r="F918">
        <v>37</v>
      </c>
      <c r="G918" t="s">
        <v>324</v>
      </c>
      <c r="H918">
        <v>1</v>
      </c>
      <c r="I918">
        <v>17.11</v>
      </c>
      <c r="J918">
        <v>6.96</v>
      </c>
      <c r="K918" t="s">
        <v>19</v>
      </c>
      <c r="L918" s="3">
        <v>45281</v>
      </c>
      <c r="M918" t="s">
        <v>48</v>
      </c>
      <c r="N918">
        <v>37</v>
      </c>
    </row>
    <row r="919" spans="1:14" x14ac:dyDescent="0.25">
      <c r="A919" t="s">
        <v>983</v>
      </c>
      <c r="B919" t="s">
        <v>956</v>
      </c>
      <c r="C919" t="s">
        <v>984</v>
      </c>
      <c r="D919" t="s">
        <v>129</v>
      </c>
      <c r="E919" t="s">
        <v>34</v>
      </c>
      <c r="F919">
        <v>34</v>
      </c>
      <c r="G919" t="s">
        <v>985</v>
      </c>
      <c r="H919">
        <v>1</v>
      </c>
      <c r="I919" t="s">
        <v>986</v>
      </c>
      <c r="J919" t="s">
        <v>987</v>
      </c>
      <c r="K919" t="s">
        <v>19</v>
      </c>
      <c r="L919" s="3">
        <v>45031</v>
      </c>
      <c r="M919" t="s">
        <v>34</v>
      </c>
      <c r="N919">
        <v>34</v>
      </c>
    </row>
    <row r="920" spans="1:14" x14ac:dyDescent="0.25">
      <c r="A920" t="s">
        <v>2718</v>
      </c>
      <c r="B920" t="s">
        <v>1691</v>
      </c>
      <c r="C920" s="1">
        <v>45004</v>
      </c>
      <c r="D920" t="s">
        <v>16</v>
      </c>
      <c r="E920" t="s">
        <v>60</v>
      </c>
      <c r="F920" t="s">
        <v>75</v>
      </c>
      <c r="G920" t="s">
        <v>39</v>
      </c>
      <c r="H920">
        <v>1</v>
      </c>
      <c r="I920" t="s">
        <v>2719</v>
      </c>
      <c r="J920">
        <v>2.0699999999999998</v>
      </c>
      <c r="K920" t="s">
        <v>41</v>
      </c>
      <c r="L920" s="3">
        <v>45004</v>
      </c>
      <c r="M920" t="s">
        <v>48</v>
      </c>
      <c r="N920">
        <v>20</v>
      </c>
    </row>
    <row r="921" spans="1:14" x14ac:dyDescent="0.25">
      <c r="A921" t="s">
        <v>2720</v>
      </c>
      <c r="B921" t="s">
        <v>2721</v>
      </c>
      <c r="C921" s="1">
        <v>45177</v>
      </c>
      <c r="D921" t="s">
        <v>24</v>
      </c>
      <c r="E921" t="s">
        <v>45</v>
      </c>
      <c r="F921">
        <v>54</v>
      </c>
      <c r="G921" t="s">
        <v>2722</v>
      </c>
      <c r="H921">
        <v>1</v>
      </c>
      <c r="I921" s="2">
        <v>4.92</v>
      </c>
      <c r="J921">
        <v>2.09</v>
      </c>
      <c r="K921" t="s">
        <v>41</v>
      </c>
      <c r="L921" s="3">
        <v>45177</v>
      </c>
      <c r="M921" t="s">
        <v>48</v>
      </c>
      <c r="N921">
        <v>54</v>
      </c>
    </row>
    <row r="922" spans="1:14" x14ac:dyDescent="0.25">
      <c r="A922" t="s">
        <v>2723</v>
      </c>
      <c r="B922" t="s">
        <v>276</v>
      </c>
      <c r="C922" s="1">
        <v>45103</v>
      </c>
      <c r="D922" t="s">
        <v>24</v>
      </c>
      <c r="E922" t="s">
        <v>34</v>
      </c>
      <c r="F922">
        <v>29</v>
      </c>
      <c r="G922" t="s">
        <v>2724</v>
      </c>
      <c r="H922">
        <v>2</v>
      </c>
      <c r="I922">
        <v>27.97</v>
      </c>
      <c r="J922">
        <v>7.08</v>
      </c>
      <c r="K922" t="s">
        <v>19</v>
      </c>
      <c r="L922" s="3">
        <v>45103</v>
      </c>
      <c r="M922" t="s">
        <v>34</v>
      </c>
      <c r="N922">
        <v>29</v>
      </c>
    </row>
    <row r="923" spans="1:14" x14ac:dyDescent="0.25">
      <c r="A923" t="s">
        <v>2725</v>
      </c>
      <c r="B923" t="s">
        <v>2256</v>
      </c>
      <c r="C923" s="1">
        <v>45121</v>
      </c>
      <c r="D923" t="s">
        <v>51</v>
      </c>
      <c r="E923" t="s">
        <v>85</v>
      </c>
      <c r="F923">
        <v>61</v>
      </c>
      <c r="G923" t="s">
        <v>2726</v>
      </c>
      <c r="H923">
        <v>5</v>
      </c>
      <c r="I923">
        <v>152.54</v>
      </c>
      <c r="J923" t="s">
        <v>2727</v>
      </c>
      <c r="K923" t="s">
        <v>41</v>
      </c>
      <c r="L923" s="3">
        <v>45121</v>
      </c>
      <c r="M923" t="s">
        <v>34</v>
      </c>
      <c r="N923">
        <v>61</v>
      </c>
    </row>
    <row r="924" spans="1:14" x14ac:dyDescent="0.25">
      <c r="A924" t="s">
        <v>2728</v>
      </c>
      <c r="B924" t="s">
        <v>707</v>
      </c>
      <c r="C924" t="s">
        <v>2729</v>
      </c>
      <c r="D924" t="s">
        <v>24</v>
      </c>
      <c r="E924" t="s">
        <v>38</v>
      </c>
      <c r="F924">
        <v>74</v>
      </c>
      <c r="G924" t="s">
        <v>2730</v>
      </c>
      <c r="H924">
        <v>2</v>
      </c>
      <c r="I924">
        <v>10.68</v>
      </c>
      <c r="J924" t="s">
        <v>2731</v>
      </c>
      <c r="K924" t="s">
        <v>41</v>
      </c>
      <c r="L924" s="3">
        <v>45405</v>
      </c>
      <c r="M924" t="s">
        <v>34</v>
      </c>
      <c r="N924">
        <v>74</v>
      </c>
    </row>
    <row r="925" spans="1:14" x14ac:dyDescent="0.25">
      <c r="A925" t="s">
        <v>2732</v>
      </c>
      <c r="B925" t="s">
        <v>227</v>
      </c>
      <c r="C925" t="s">
        <v>2733</v>
      </c>
      <c r="D925" t="s">
        <v>51</v>
      </c>
      <c r="E925" t="s">
        <v>65</v>
      </c>
      <c r="F925">
        <v>40</v>
      </c>
      <c r="G925" t="s">
        <v>2734</v>
      </c>
      <c r="H925">
        <v>2</v>
      </c>
      <c r="I925" s="2">
        <v>24.07</v>
      </c>
      <c r="J925">
        <v>7.85</v>
      </c>
      <c r="K925" t="s">
        <v>41</v>
      </c>
      <c r="L925" s="3">
        <v>45063</v>
      </c>
      <c r="M925" t="s">
        <v>48</v>
      </c>
      <c r="N925">
        <v>40</v>
      </c>
    </row>
    <row r="926" spans="1:14" x14ac:dyDescent="0.25">
      <c r="A926" t="s">
        <v>2735</v>
      </c>
      <c r="B926" t="s">
        <v>1173</v>
      </c>
      <c r="C926" s="3">
        <v>45637</v>
      </c>
      <c r="D926" t="s">
        <v>24</v>
      </c>
      <c r="E926" t="s">
        <v>31</v>
      </c>
      <c r="F926">
        <v>31</v>
      </c>
      <c r="G926" t="s">
        <v>2736</v>
      </c>
      <c r="H926">
        <v>1</v>
      </c>
      <c r="I926">
        <v>34.01</v>
      </c>
      <c r="J926">
        <v>10.32</v>
      </c>
      <c r="K926" t="s">
        <v>19</v>
      </c>
      <c r="L926" s="3">
        <v>45637</v>
      </c>
      <c r="M926" t="s">
        <v>34</v>
      </c>
      <c r="N926">
        <v>31</v>
      </c>
    </row>
    <row r="927" spans="1:14" x14ac:dyDescent="0.25">
      <c r="A927" t="s">
        <v>2737</v>
      </c>
      <c r="B927" t="s">
        <v>2738</v>
      </c>
      <c r="C927" s="1">
        <v>45440</v>
      </c>
      <c r="D927" t="s">
        <v>24</v>
      </c>
      <c r="E927" t="s">
        <v>60</v>
      </c>
      <c r="F927">
        <v>22</v>
      </c>
      <c r="G927" t="s">
        <v>2739</v>
      </c>
      <c r="H927">
        <v>1</v>
      </c>
      <c r="I927">
        <v>17.239999999999998</v>
      </c>
      <c r="J927">
        <v>5.88</v>
      </c>
      <c r="K927" t="s">
        <v>19</v>
      </c>
      <c r="L927" s="3">
        <v>45440</v>
      </c>
      <c r="M927" t="s">
        <v>48</v>
      </c>
      <c r="N927">
        <v>22</v>
      </c>
    </row>
    <row r="928" spans="1:14" x14ac:dyDescent="0.25">
      <c r="A928" t="s">
        <v>2740</v>
      </c>
      <c r="B928" t="s">
        <v>589</v>
      </c>
      <c r="C928" t="s">
        <v>2741</v>
      </c>
      <c r="D928" t="s">
        <v>16</v>
      </c>
      <c r="F928">
        <v>42</v>
      </c>
      <c r="G928" t="s">
        <v>842</v>
      </c>
      <c r="H928">
        <v>1</v>
      </c>
      <c r="I928" t="s">
        <v>2742</v>
      </c>
      <c r="J928">
        <v>6.97</v>
      </c>
      <c r="K928" t="s">
        <v>41</v>
      </c>
      <c r="L928" s="3">
        <v>45030</v>
      </c>
      <c r="M928" t="s">
        <v>20</v>
      </c>
      <c r="N928">
        <v>42</v>
      </c>
    </row>
    <row r="929" spans="1:14" x14ac:dyDescent="0.25">
      <c r="A929" t="s">
        <v>2743</v>
      </c>
      <c r="B929" t="s">
        <v>2744</v>
      </c>
      <c r="C929" s="1">
        <v>45443</v>
      </c>
      <c r="D929" t="s">
        <v>30</v>
      </c>
      <c r="E929" t="s">
        <v>38</v>
      </c>
      <c r="F929" t="s">
        <v>435</v>
      </c>
      <c r="G929" t="s">
        <v>2745</v>
      </c>
      <c r="H929">
        <v>2</v>
      </c>
      <c r="I929">
        <v>22.26</v>
      </c>
      <c r="J929">
        <v>11.29</v>
      </c>
      <c r="K929" t="s">
        <v>19</v>
      </c>
      <c r="L929" s="3">
        <v>45443</v>
      </c>
      <c r="M929" t="s">
        <v>34</v>
      </c>
    </row>
    <row r="930" spans="1:14" x14ac:dyDescent="0.25">
      <c r="A930" t="s">
        <v>2746</v>
      </c>
      <c r="B930" t="s">
        <v>558</v>
      </c>
      <c r="C930" t="s">
        <v>563</v>
      </c>
      <c r="D930" t="s">
        <v>16</v>
      </c>
      <c r="E930" t="s">
        <v>38</v>
      </c>
      <c r="F930">
        <v>14</v>
      </c>
      <c r="G930" t="s">
        <v>2747</v>
      </c>
      <c r="H930">
        <v>2</v>
      </c>
      <c r="I930" s="2">
        <v>21.65</v>
      </c>
      <c r="J930">
        <v>7.91</v>
      </c>
      <c r="K930" t="s">
        <v>19</v>
      </c>
      <c r="L930" s="3">
        <v>45385</v>
      </c>
      <c r="M930" t="s">
        <v>34</v>
      </c>
      <c r="N930">
        <v>14</v>
      </c>
    </row>
    <row r="931" spans="1:14" x14ac:dyDescent="0.25">
      <c r="A931" t="s">
        <v>2748</v>
      </c>
      <c r="B931" t="s">
        <v>215</v>
      </c>
      <c r="C931" t="s">
        <v>2749</v>
      </c>
      <c r="D931" t="s">
        <v>51</v>
      </c>
      <c r="E931" t="s">
        <v>38</v>
      </c>
      <c r="F931">
        <v>19</v>
      </c>
      <c r="G931" t="s">
        <v>2750</v>
      </c>
      <c r="H931">
        <v>4</v>
      </c>
      <c r="I931" s="2">
        <v>67.97</v>
      </c>
      <c r="J931">
        <v>23.39</v>
      </c>
      <c r="K931" t="s">
        <v>19</v>
      </c>
      <c r="L931" s="3">
        <v>45208</v>
      </c>
      <c r="M931" t="s">
        <v>34</v>
      </c>
      <c r="N931">
        <v>19</v>
      </c>
    </row>
    <row r="932" spans="1:14" x14ac:dyDescent="0.25">
      <c r="A932" t="s">
        <v>2751</v>
      </c>
      <c r="B932" t="s">
        <v>585</v>
      </c>
      <c r="C932" t="s">
        <v>2752</v>
      </c>
      <c r="D932" t="s">
        <v>51</v>
      </c>
      <c r="E932" t="s">
        <v>38</v>
      </c>
      <c r="F932">
        <v>75</v>
      </c>
      <c r="G932" t="s">
        <v>2753</v>
      </c>
      <c r="H932">
        <v>1</v>
      </c>
      <c r="I932" s="2">
        <v>19.3</v>
      </c>
      <c r="J932">
        <v>4.47</v>
      </c>
      <c r="K932" t="s">
        <v>41</v>
      </c>
      <c r="L932" s="3">
        <v>45419</v>
      </c>
      <c r="M932" t="s">
        <v>34</v>
      </c>
      <c r="N932">
        <v>75</v>
      </c>
    </row>
    <row r="933" spans="1:14" x14ac:dyDescent="0.25">
      <c r="A933" t="s">
        <v>2754</v>
      </c>
      <c r="B933" t="s">
        <v>1062</v>
      </c>
      <c r="C933" s="1">
        <v>45144</v>
      </c>
      <c r="D933" t="s">
        <v>51</v>
      </c>
      <c r="E933" t="s">
        <v>31</v>
      </c>
      <c r="F933">
        <v>18</v>
      </c>
      <c r="G933" t="s">
        <v>158</v>
      </c>
      <c r="H933">
        <v>1</v>
      </c>
      <c r="I933">
        <v>16.18</v>
      </c>
      <c r="J933" s="2">
        <v>7.39</v>
      </c>
      <c r="K933" t="s">
        <v>41</v>
      </c>
      <c r="L933" s="3">
        <v>45144</v>
      </c>
      <c r="M933" t="s">
        <v>34</v>
      </c>
      <c r="N933">
        <v>18</v>
      </c>
    </row>
    <row r="934" spans="1:14" x14ac:dyDescent="0.25">
      <c r="A934" t="s">
        <v>2755</v>
      </c>
      <c r="B934" t="s">
        <v>202</v>
      </c>
      <c r="C934" s="1">
        <v>45599</v>
      </c>
      <c r="D934" t="s">
        <v>30</v>
      </c>
      <c r="E934" t="s">
        <v>65</v>
      </c>
      <c r="F934">
        <v>24</v>
      </c>
      <c r="G934" t="s">
        <v>2756</v>
      </c>
      <c r="H934">
        <v>1</v>
      </c>
      <c r="I934">
        <v>49.26</v>
      </c>
      <c r="J934">
        <v>27.94</v>
      </c>
      <c r="K934" t="s">
        <v>41</v>
      </c>
      <c r="L934" s="3">
        <v>45599</v>
      </c>
      <c r="M934" t="s">
        <v>48</v>
      </c>
      <c r="N934">
        <v>24</v>
      </c>
    </row>
    <row r="935" spans="1:14" x14ac:dyDescent="0.25">
      <c r="A935" t="s">
        <v>2757</v>
      </c>
      <c r="B935" t="s">
        <v>1537</v>
      </c>
      <c r="C935" t="s">
        <v>2758</v>
      </c>
      <c r="D935" t="s">
        <v>30</v>
      </c>
      <c r="F935">
        <v>71</v>
      </c>
      <c r="G935" t="s">
        <v>2158</v>
      </c>
      <c r="H935">
        <v>3</v>
      </c>
      <c r="I935" s="2">
        <v>71.5</v>
      </c>
      <c r="J935">
        <v>24.87</v>
      </c>
      <c r="K935" t="s">
        <v>19</v>
      </c>
      <c r="L935" s="3">
        <v>45293</v>
      </c>
      <c r="M935" t="s">
        <v>20</v>
      </c>
      <c r="N935">
        <v>71</v>
      </c>
    </row>
    <row r="936" spans="1:14" x14ac:dyDescent="0.25">
      <c r="A936" t="s">
        <v>2759</v>
      </c>
      <c r="B936" t="s">
        <v>1173</v>
      </c>
      <c r="C936" t="s">
        <v>2760</v>
      </c>
      <c r="D936" t="s">
        <v>16</v>
      </c>
      <c r="E936" t="s">
        <v>25</v>
      </c>
      <c r="F936">
        <v>58</v>
      </c>
      <c r="G936" t="s">
        <v>2761</v>
      </c>
      <c r="H936">
        <v>1</v>
      </c>
      <c r="I936">
        <v>17.489999999999998</v>
      </c>
      <c r="J936" t="s">
        <v>2762</v>
      </c>
      <c r="K936" t="s">
        <v>19</v>
      </c>
      <c r="L936" s="3">
        <v>45209</v>
      </c>
      <c r="M936" t="s">
        <v>20</v>
      </c>
      <c r="N936">
        <v>58</v>
      </c>
    </row>
    <row r="937" spans="1:14" x14ac:dyDescent="0.25">
      <c r="A937" t="s">
        <v>2763</v>
      </c>
      <c r="B937" t="s">
        <v>2764</v>
      </c>
      <c r="C937" t="s">
        <v>2765</v>
      </c>
      <c r="D937" t="s">
        <v>16</v>
      </c>
      <c r="E937" t="s">
        <v>34</v>
      </c>
      <c r="F937">
        <v>35</v>
      </c>
      <c r="G937" t="s">
        <v>541</v>
      </c>
      <c r="H937">
        <v>2</v>
      </c>
      <c r="I937">
        <v>47.74</v>
      </c>
      <c r="J937">
        <v>25.34</v>
      </c>
      <c r="K937" t="s">
        <v>19</v>
      </c>
      <c r="L937" s="3">
        <v>45390</v>
      </c>
      <c r="M937" t="s">
        <v>34</v>
      </c>
      <c r="N937">
        <v>35</v>
      </c>
    </row>
    <row r="938" spans="1:14" x14ac:dyDescent="0.25">
      <c r="A938" t="s">
        <v>2766</v>
      </c>
      <c r="B938" t="s">
        <v>1202</v>
      </c>
      <c r="C938" s="3">
        <v>44963</v>
      </c>
      <c r="D938" t="s">
        <v>129</v>
      </c>
      <c r="E938" t="s">
        <v>48</v>
      </c>
      <c r="F938">
        <v>24</v>
      </c>
      <c r="G938" t="s">
        <v>2666</v>
      </c>
      <c r="H938">
        <v>1</v>
      </c>
      <c r="I938" s="2">
        <v>19.5</v>
      </c>
      <c r="J938">
        <v>6.11</v>
      </c>
      <c r="K938" t="s">
        <v>19</v>
      </c>
      <c r="L938" s="3">
        <v>44963</v>
      </c>
      <c r="M938" t="s">
        <v>48</v>
      </c>
      <c r="N938">
        <v>24</v>
      </c>
    </row>
    <row r="939" spans="1:14" x14ac:dyDescent="0.25">
      <c r="A939" t="s">
        <v>2767</v>
      </c>
      <c r="B939" t="s">
        <v>854</v>
      </c>
      <c r="C939" s="1">
        <v>45313</v>
      </c>
      <c r="D939" t="s">
        <v>24</v>
      </c>
      <c r="E939" t="s">
        <v>34</v>
      </c>
      <c r="F939">
        <v>20</v>
      </c>
      <c r="G939" t="s">
        <v>2768</v>
      </c>
      <c r="H939">
        <v>1</v>
      </c>
      <c r="I939">
        <v>17.7</v>
      </c>
      <c r="J939">
        <v>6.45</v>
      </c>
      <c r="K939" t="s">
        <v>41</v>
      </c>
      <c r="L939" s="3">
        <v>45313</v>
      </c>
      <c r="M939" t="s">
        <v>34</v>
      </c>
      <c r="N939">
        <v>20</v>
      </c>
    </row>
    <row r="940" spans="1:14" x14ac:dyDescent="0.25">
      <c r="A940" t="s">
        <v>2769</v>
      </c>
      <c r="B940" t="s">
        <v>546</v>
      </c>
      <c r="C940" s="1">
        <v>44987</v>
      </c>
      <c r="D940" t="s">
        <v>129</v>
      </c>
      <c r="E940" t="s">
        <v>48</v>
      </c>
      <c r="F940">
        <v>44</v>
      </c>
      <c r="G940" t="s">
        <v>2770</v>
      </c>
      <c r="H940">
        <v>-1</v>
      </c>
      <c r="I940">
        <v>-4.25</v>
      </c>
      <c r="J940">
        <v>-2.2200000000000002</v>
      </c>
      <c r="K940" t="s">
        <v>41</v>
      </c>
      <c r="L940" s="3">
        <v>44987</v>
      </c>
      <c r="M940" t="s">
        <v>48</v>
      </c>
      <c r="N940">
        <v>44</v>
      </c>
    </row>
    <row r="941" spans="1:14" x14ac:dyDescent="0.25">
      <c r="A941" t="s">
        <v>2771</v>
      </c>
      <c r="B941" t="s">
        <v>89</v>
      </c>
      <c r="C941" s="1">
        <v>44948</v>
      </c>
      <c r="D941" t="s">
        <v>24</v>
      </c>
      <c r="E941" t="s">
        <v>38</v>
      </c>
      <c r="F941">
        <v>16</v>
      </c>
      <c r="G941" t="s">
        <v>258</v>
      </c>
      <c r="H941">
        <v>2</v>
      </c>
      <c r="I941">
        <v>46.25</v>
      </c>
      <c r="J941">
        <v>15.69</v>
      </c>
      <c r="K941" t="s">
        <v>19</v>
      </c>
      <c r="L941" s="3">
        <v>44948</v>
      </c>
      <c r="M941" t="s">
        <v>34</v>
      </c>
      <c r="N941">
        <v>16</v>
      </c>
    </row>
    <row r="942" spans="1:14" x14ac:dyDescent="0.25">
      <c r="A942" t="s">
        <v>2772</v>
      </c>
      <c r="B942" t="s">
        <v>594</v>
      </c>
      <c r="C942" t="s">
        <v>2105</v>
      </c>
      <c r="D942" t="s">
        <v>24</v>
      </c>
      <c r="E942" t="s">
        <v>48</v>
      </c>
      <c r="F942">
        <v>33</v>
      </c>
      <c r="G942" t="s">
        <v>2773</v>
      </c>
      <c r="H942">
        <v>1</v>
      </c>
      <c r="I942">
        <v>7.63</v>
      </c>
      <c r="J942">
        <v>4.1399999999999997</v>
      </c>
      <c r="K942" t="s">
        <v>19</v>
      </c>
      <c r="L942" s="3">
        <v>45040</v>
      </c>
      <c r="M942" t="s">
        <v>48</v>
      </c>
      <c r="N942">
        <v>33</v>
      </c>
    </row>
    <row r="943" spans="1:14" x14ac:dyDescent="0.25">
      <c r="A943" t="s">
        <v>768</v>
      </c>
      <c r="B943" t="s">
        <v>2774</v>
      </c>
      <c r="C943" t="s">
        <v>769</v>
      </c>
      <c r="D943" t="s">
        <v>24</v>
      </c>
      <c r="E943" t="s">
        <v>365</v>
      </c>
      <c r="F943">
        <v>50</v>
      </c>
      <c r="G943" t="s">
        <v>2775</v>
      </c>
      <c r="H943">
        <v>1</v>
      </c>
      <c r="I943">
        <v>14.9</v>
      </c>
      <c r="J943">
        <v>7.77</v>
      </c>
      <c r="K943" t="s">
        <v>41</v>
      </c>
      <c r="L943" s="3">
        <v>45544</v>
      </c>
      <c r="M943" t="s">
        <v>48</v>
      </c>
      <c r="N943">
        <v>50</v>
      </c>
    </row>
    <row r="944" spans="1:14" x14ac:dyDescent="0.25">
      <c r="A944" t="s">
        <v>2776</v>
      </c>
      <c r="B944" t="s">
        <v>453</v>
      </c>
      <c r="C944" s="1">
        <v>45627</v>
      </c>
      <c r="D944" t="s">
        <v>30</v>
      </c>
      <c r="E944" t="s">
        <v>70</v>
      </c>
      <c r="F944">
        <v>49</v>
      </c>
      <c r="G944" t="s">
        <v>2777</v>
      </c>
      <c r="H944">
        <v>1</v>
      </c>
      <c r="I944">
        <v>26.3</v>
      </c>
      <c r="J944" t="s">
        <v>2778</v>
      </c>
      <c r="K944" t="s">
        <v>19</v>
      </c>
      <c r="L944" s="3">
        <v>45627</v>
      </c>
      <c r="M944" t="s">
        <v>20</v>
      </c>
      <c r="N944">
        <v>49</v>
      </c>
    </row>
    <row r="945" spans="1:14" x14ac:dyDescent="0.25">
      <c r="A945" t="s">
        <v>2779</v>
      </c>
      <c r="B945" t="s">
        <v>477</v>
      </c>
      <c r="C945" s="1">
        <v>44934</v>
      </c>
      <c r="D945" t="s">
        <v>24</v>
      </c>
      <c r="F945">
        <v>33</v>
      </c>
      <c r="G945" t="s">
        <v>2780</v>
      </c>
      <c r="H945">
        <v>5</v>
      </c>
      <c r="I945" t="s">
        <v>2781</v>
      </c>
      <c r="J945">
        <v>13.08</v>
      </c>
      <c r="K945" t="s">
        <v>41</v>
      </c>
      <c r="L945" s="3">
        <v>44934</v>
      </c>
      <c r="M945" t="s">
        <v>20</v>
      </c>
      <c r="N945">
        <v>33</v>
      </c>
    </row>
    <row r="946" spans="1:14" x14ac:dyDescent="0.25">
      <c r="A946" t="s">
        <v>2782</v>
      </c>
      <c r="B946" t="s">
        <v>180</v>
      </c>
      <c r="C946" s="1">
        <v>45476</v>
      </c>
      <c r="D946" t="s">
        <v>16</v>
      </c>
      <c r="E946" t="s">
        <v>85</v>
      </c>
      <c r="F946">
        <v>53</v>
      </c>
      <c r="G946" t="s">
        <v>2783</v>
      </c>
      <c r="H946">
        <v>3</v>
      </c>
      <c r="I946" s="2">
        <v>75.98</v>
      </c>
      <c r="J946" t="s">
        <v>2784</v>
      </c>
      <c r="K946" t="s">
        <v>19</v>
      </c>
      <c r="L946" s="3">
        <v>45476</v>
      </c>
      <c r="M946" t="s">
        <v>34</v>
      </c>
      <c r="N946">
        <v>53</v>
      </c>
    </row>
    <row r="947" spans="1:14" x14ac:dyDescent="0.25">
      <c r="A947" t="s">
        <v>2031</v>
      </c>
      <c r="B947" t="s">
        <v>176</v>
      </c>
      <c r="C947" t="s">
        <v>2032</v>
      </c>
      <c r="D947" t="s">
        <v>129</v>
      </c>
      <c r="E947" t="s">
        <v>85</v>
      </c>
      <c r="F947">
        <v>64</v>
      </c>
      <c r="G947" t="s">
        <v>395</v>
      </c>
      <c r="H947">
        <v>4</v>
      </c>
      <c r="I947">
        <v>40.17</v>
      </c>
      <c r="J947">
        <v>18.649999999999999</v>
      </c>
      <c r="K947" t="s">
        <v>41</v>
      </c>
      <c r="L947" s="3">
        <v>45522</v>
      </c>
      <c r="M947" t="s">
        <v>34</v>
      </c>
      <c r="N947">
        <v>64</v>
      </c>
    </row>
    <row r="948" spans="1:14" x14ac:dyDescent="0.25">
      <c r="A948" t="s">
        <v>2785</v>
      </c>
      <c r="B948" t="s">
        <v>2018</v>
      </c>
      <c r="C948" t="s">
        <v>2786</v>
      </c>
      <c r="D948" t="s">
        <v>16</v>
      </c>
      <c r="E948" t="s">
        <v>65</v>
      </c>
      <c r="F948">
        <v>38</v>
      </c>
      <c r="G948" t="s">
        <v>2787</v>
      </c>
      <c r="H948">
        <v>1</v>
      </c>
      <c r="I948">
        <v>24.45</v>
      </c>
      <c r="J948" t="s">
        <v>2788</v>
      </c>
      <c r="K948" t="s">
        <v>41</v>
      </c>
      <c r="L948" s="3">
        <v>45126</v>
      </c>
      <c r="M948" t="s">
        <v>48</v>
      </c>
      <c r="N948">
        <v>38</v>
      </c>
    </row>
    <row r="949" spans="1:14" x14ac:dyDescent="0.25">
      <c r="A949" t="s">
        <v>2789</v>
      </c>
      <c r="B949" t="s">
        <v>477</v>
      </c>
      <c r="C949" s="3">
        <v>45203</v>
      </c>
      <c r="D949" t="s">
        <v>24</v>
      </c>
      <c r="E949" t="s">
        <v>48</v>
      </c>
      <c r="F949">
        <v>49</v>
      </c>
      <c r="G949" t="s">
        <v>243</v>
      </c>
      <c r="H949">
        <v>1</v>
      </c>
      <c r="I949" t="s">
        <v>2790</v>
      </c>
      <c r="J949">
        <v>18</v>
      </c>
      <c r="K949" t="s">
        <v>41</v>
      </c>
      <c r="L949" s="3">
        <v>45203</v>
      </c>
      <c r="M949" t="s">
        <v>48</v>
      </c>
      <c r="N949">
        <v>49</v>
      </c>
    </row>
    <row r="950" spans="1:14" x14ac:dyDescent="0.25">
      <c r="A950" t="s">
        <v>2791</v>
      </c>
      <c r="B950" t="s">
        <v>477</v>
      </c>
      <c r="C950" s="1">
        <v>45404</v>
      </c>
      <c r="D950" t="s">
        <v>24</v>
      </c>
      <c r="E950" t="s">
        <v>132</v>
      </c>
      <c r="F950">
        <v>71</v>
      </c>
      <c r="G950" t="s">
        <v>722</v>
      </c>
      <c r="H950">
        <v>1</v>
      </c>
      <c r="I950">
        <v>7.84</v>
      </c>
      <c r="J950" t="s">
        <v>2792</v>
      </c>
      <c r="K950" t="s">
        <v>19</v>
      </c>
      <c r="L950" s="3">
        <v>45404</v>
      </c>
      <c r="M950" t="s">
        <v>132</v>
      </c>
      <c r="N950">
        <v>71</v>
      </c>
    </row>
    <row r="951" spans="1:14" x14ac:dyDescent="0.25">
      <c r="A951" t="s">
        <v>2793</v>
      </c>
      <c r="B951" t="s">
        <v>642</v>
      </c>
      <c r="C951" t="s">
        <v>2794</v>
      </c>
      <c r="D951" t="s">
        <v>30</v>
      </c>
      <c r="E951" t="s">
        <v>60</v>
      </c>
      <c r="F951">
        <v>46</v>
      </c>
      <c r="G951" t="s">
        <v>2795</v>
      </c>
      <c r="H951">
        <v>4</v>
      </c>
      <c r="I951">
        <v>120.7</v>
      </c>
      <c r="J951">
        <v>56.19</v>
      </c>
      <c r="K951" t="s">
        <v>19</v>
      </c>
      <c r="L951" s="3">
        <v>45474</v>
      </c>
      <c r="M951" t="s">
        <v>48</v>
      </c>
      <c r="N951">
        <v>46</v>
      </c>
    </row>
    <row r="952" spans="1:14" x14ac:dyDescent="0.25">
      <c r="A952" t="s">
        <v>2796</v>
      </c>
      <c r="B952" t="s">
        <v>276</v>
      </c>
      <c r="C952" s="3">
        <v>45249</v>
      </c>
      <c r="D952" t="s">
        <v>51</v>
      </c>
      <c r="E952" t="s">
        <v>60</v>
      </c>
      <c r="F952">
        <v>34</v>
      </c>
      <c r="G952" t="s">
        <v>528</v>
      </c>
      <c r="H952">
        <v>4</v>
      </c>
      <c r="I952" t="s">
        <v>2797</v>
      </c>
      <c r="J952" t="s">
        <v>25</v>
      </c>
      <c r="K952" t="s">
        <v>41</v>
      </c>
      <c r="L952" s="3">
        <v>45249</v>
      </c>
      <c r="M952" t="s">
        <v>48</v>
      </c>
      <c r="N952">
        <v>34</v>
      </c>
    </row>
    <row r="953" spans="1:14" x14ac:dyDescent="0.25">
      <c r="A953" t="s">
        <v>2798</v>
      </c>
      <c r="B953" t="s">
        <v>2018</v>
      </c>
      <c r="C953" t="s">
        <v>2799</v>
      </c>
      <c r="D953" t="s">
        <v>24</v>
      </c>
      <c r="E953" t="s">
        <v>45</v>
      </c>
      <c r="F953">
        <v>32</v>
      </c>
      <c r="G953" t="s">
        <v>974</v>
      </c>
      <c r="H953">
        <v>5</v>
      </c>
      <c r="I953">
        <v>62.71</v>
      </c>
      <c r="J953">
        <v>34.31</v>
      </c>
      <c r="K953" t="s">
        <v>41</v>
      </c>
      <c r="L953" s="3">
        <v>45143</v>
      </c>
      <c r="M953" t="s">
        <v>48</v>
      </c>
      <c r="N953">
        <v>32</v>
      </c>
    </row>
    <row r="954" spans="1:14" x14ac:dyDescent="0.25">
      <c r="A954" t="s">
        <v>2800</v>
      </c>
      <c r="B954" t="s">
        <v>279</v>
      </c>
      <c r="C954" s="3">
        <v>45057</v>
      </c>
      <c r="D954" t="s">
        <v>16</v>
      </c>
      <c r="E954" t="s">
        <v>31</v>
      </c>
      <c r="F954">
        <v>19</v>
      </c>
      <c r="G954" t="s">
        <v>887</v>
      </c>
      <c r="H954">
        <v>1</v>
      </c>
      <c r="I954">
        <v>4.71</v>
      </c>
      <c r="J954">
        <v>1.71</v>
      </c>
      <c r="K954" t="s">
        <v>19</v>
      </c>
      <c r="L954" s="3">
        <v>45057</v>
      </c>
      <c r="M954" t="s">
        <v>34</v>
      </c>
      <c r="N954">
        <v>19</v>
      </c>
    </row>
    <row r="955" spans="1:14" x14ac:dyDescent="0.25">
      <c r="A955" t="s">
        <v>2801</v>
      </c>
      <c r="B955" t="s">
        <v>2256</v>
      </c>
      <c r="C955" t="s">
        <v>2802</v>
      </c>
      <c r="D955" t="s">
        <v>24</v>
      </c>
      <c r="E955" t="s">
        <v>60</v>
      </c>
      <c r="F955">
        <v>54</v>
      </c>
      <c r="G955" t="s">
        <v>1471</v>
      </c>
      <c r="H955">
        <v>1</v>
      </c>
      <c r="I955">
        <v>22.47</v>
      </c>
      <c r="J955">
        <v>6.96</v>
      </c>
      <c r="K955" t="s">
        <v>19</v>
      </c>
      <c r="L955" s="3">
        <v>45647</v>
      </c>
      <c r="M955" t="s">
        <v>48</v>
      </c>
      <c r="N955">
        <v>54</v>
      </c>
    </row>
    <row r="956" spans="1:14" x14ac:dyDescent="0.25">
      <c r="A956" t="s">
        <v>2803</v>
      </c>
      <c r="B956" t="s">
        <v>657</v>
      </c>
      <c r="C956" s="1">
        <v>45030</v>
      </c>
      <c r="D956" t="s">
        <v>129</v>
      </c>
      <c r="E956" t="s">
        <v>45</v>
      </c>
      <c r="F956">
        <v>67</v>
      </c>
      <c r="G956" t="s">
        <v>356</v>
      </c>
      <c r="H956">
        <v>2</v>
      </c>
      <c r="I956">
        <v>40.36</v>
      </c>
      <c r="J956">
        <v>16.34</v>
      </c>
      <c r="K956" t="s">
        <v>19</v>
      </c>
      <c r="L956" s="3">
        <v>45030</v>
      </c>
      <c r="M956" t="s">
        <v>48</v>
      </c>
      <c r="N956">
        <v>67</v>
      </c>
    </row>
    <row r="957" spans="1:14" x14ac:dyDescent="0.25">
      <c r="A957" t="s">
        <v>2804</v>
      </c>
      <c r="B957" t="s">
        <v>1718</v>
      </c>
      <c r="C957" t="s">
        <v>2805</v>
      </c>
      <c r="D957" t="s">
        <v>24</v>
      </c>
      <c r="E957" t="s">
        <v>60</v>
      </c>
      <c r="F957">
        <v>19</v>
      </c>
      <c r="G957" t="s">
        <v>2806</v>
      </c>
      <c r="H957">
        <v>1</v>
      </c>
      <c r="I957" s="2">
        <v>13.85</v>
      </c>
      <c r="J957">
        <v>4.78</v>
      </c>
      <c r="K957" t="s">
        <v>19</v>
      </c>
      <c r="L957" s="3">
        <v>44931</v>
      </c>
      <c r="M957" t="s">
        <v>48</v>
      </c>
      <c r="N957">
        <v>19</v>
      </c>
    </row>
    <row r="958" spans="1:14" x14ac:dyDescent="0.25">
      <c r="A958" t="s">
        <v>2807</v>
      </c>
      <c r="B958" t="s">
        <v>548</v>
      </c>
      <c r="C958" t="s">
        <v>2808</v>
      </c>
      <c r="D958" t="s">
        <v>30</v>
      </c>
      <c r="E958" t="s">
        <v>48</v>
      </c>
      <c r="F958">
        <v>75</v>
      </c>
      <c r="G958" t="s">
        <v>2809</v>
      </c>
      <c r="H958">
        <v>2</v>
      </c>
      <c r="I958" t="s">
        <v>2810</v>
      </c>
      <c r="J958" t="s">
        <v>2811</v>
      </c>
      <c r="K958" t="s">
        <v>41</v>
      </c>
      <c r="L958" s="3">
        <v>45530</v>
      </c>
      <c r="M958" t="s">
        <v>48</v>
      </c>
      <c r="N958">
        <v>75</v>
      </c>
    </row>
    <row r="959" spans="1:14" x14ac:dyDescent="0.25">
      <c r="A959" t="s">
        <v>2812</v>
      </c>
      <c r="B959" t="s">
        <v>2813</v>
      </c>
      <c r="C959" t="s">
        <v>2814</v>
      </c>
      <c r="D959" t="s">
        <v>51</v>
      </c>
      <c r="E959" t="s">
        <v>34</v>
      </c>
      <c r="F959">
        <v>19</v>
      </c>
      <c r="G959" t="s">
        <v>845</v>
      </c>
      <c r="H959">
        <v>1</v>
      </c>
      <c r="I959">
        <v>31.02</v>
      </c>
      <c r="J959">
        <v>14.16</v>
      </c>
      <c r="K959" t="s">
        <v>41</v>
      </c>
      <c r="L959" s="3">
        <v>45383</v>
      </c>
      <c r="M959" t="s">
        <v>34</v>
      </c>
      <c r="N959">
        <v>19</v>
      </c>
    </row>
    <row r="960" spans="1:14" x14ac:dyDescent="0.25">
      <c r="A960" t="s">
        <v>2815</v>
      </c>
      <c r="B960" t="s">
        <v>1074</v>
      </c>
      <c r="C960" t="s">
        <v>2816</v>
      </c>
      <c r="D960" t="s">
        <v>24</v>
      </c>
      <c r="E960" t="s">
        <v>34</v>
      </c>
      <c r="F960">
        <v>25</v>
      </c>
      <c r="G960" t="s">
        <v>2817</v>
      </c>
      <c r="H960">
        <v>1</v>
      </c>
      <c r="I960" s="2">
        <v>23.27</v>
      </c>
      <c r="J960">
        <v>7.38</v>
      </c>
      <c r="K960" t="s">
        <v>19</v>
      </c>
      <c r="L960" s="3">
        <v>45386</v>
      </c>
      <c r="M960" t="s">
        <v>34</v>
      </c>
      <c r="N960">
        <v>25</v>
      </c>
    </row>
    <row r="961" spans="1:14" x14ac:dyDescent="0.25">
      <c r="A961" t="s">
        <v>2818</v>
      </c>
      <c r="B961" t="s">
        <v>763</v>
      </c>
      <c r="C961" t="s">
        <v>2819</v>
      </c>
      <c r="D961" t="s">
        <v>129</v>
      </c>
      <c r="E961" t="s">
        <v>65</v>
      </c>
      <c r="F961">
        <v>55</v>
      </c>
      <c r="G961" t="s">
        <v>1442</v>
      </c>
      <c r="H961">
        <v>2</v>
      </c>
      <c r="I961">
        <v>32.11</v>
      </c>
      <c r="J961">
        <v>11.36</v>
      </c>
      <c r="K961" t="s">
        <v>41</v>
      </c>
      <c r="L961" s="3">
        <v>45424</v>
      </c>
      <c r="M961" t="s">
        <v>48</v>
      </c>
      <c r="N961">
        <v>55</v>
      </c>
    </row>
    <row r="962" spans="1:14" x14ac:dyDescent="0.25">
      <c r="A962" t="s">
        <v>2820</v>
      </c>
      <c r="B962" t="s">
        <v>2821</v>
      </c>
      <c r="C962" t="s">
        <v>2822</v>
      </c>
      <c r="D962" t="s">
        <v>129</v>
      </c>
      <c r="E962" t="s">
        <v>65</v>
      </c>
      <c r="F962">
        <v>63</v>
      </c>
      <c r="G962" t="s">
        <v>299</v>
      </c>
      <c r="H962">
        <v>1</v>
      </c>
      <c r="I962">
        <v>8.4499999999999993</v>
      </c>
      <c r="J962" s="2">
        <v>4.8600000000000003</v>
      </c>
      <c r="K962" t="s">
        <v>41</v>
      </c>
      <c r="L962" s="3">
        <v>45361</v>
      </c>
      <c r="M962" t="s">
        <v>48</v>
      </c>
      <c r="N962">
        <v>63</v>
      </c>
    </row>
    <row r="963" spans="1:14" x14ac:dyDescent="0.25">
      <c r="A963" t="s">
        <v>2823</v>
      </c>
      <c r="B963" t="s">
        <v>2824</v>
      </c>
      <c r="C963" t="s">
        <v>2434</v>
      </c>
      <c r="D963" t="s">
        <v>24</v>
      </c>
      <c r="E963" t="s">
        <v>38</v>
      </c>
      <c r="F963">
        <v>29</v>
      </c>
      <c r="G963" t="s">
        <v>2825</v>
      </c>
      <c r="H963">
        <v>1</v>
      </c>
      <c r="I963">
        <v>17.420000000000002</v>
      </c>
      <c r="J963">
        <v>5.31</v>
      </c>
      <c r="K963" t="s">
        <v>41</v>
      </c>
      <c r="L963" s="3">
        <v>45287</v>
      </c>
      <c r="M963" t="s">
        <v>34</v>
      </c>
      <c r="N963">
        <v>29</v>
      </c>
    </row>
    <row r="964" spans="1:14" x14ac:dyDescent="0.25">
      <c r="A964" t="s">
        <v>2826</v>
      </c>
      <c r="B964" t="s">
        <v>490</v>
      </c>
      <c r="C964" t="s">
        <v>388</v>
      </c>
      <c r="D964" t="s">
        <v>24</v>
      </c>
      <c r="E964" t="s">
        <v>31</v>
      </c>
      <c r="F964">
        <v>66</v>
      </c>
      <c r="G964" t="s">
        <v>1131</v>
      </c>
      <c r="H964">
        <v>2</v>
      </c>
      <c r="I964">
        <v>57.95</v>
      </c>
      <c r="J964">
        <v>22.15</v>
      </c>
      <c r="K964" t="s">
        <v>19</v>
      </c>
      <c r="L964" s="3">
        <v>45072</v>
      </c>
      <c r="M964" t="s">
        <v>34</v>
      </c>
      <c r="N964">
        <v>66</v>
      </c>
    </row>
    <row r="965" spans="1:14" x14ac:dyDescent="0.25">
      <c r="A965" t="s">
        <v>2827</v>
      </c>
      <c r="B965" t="s">
        <v>2828</v>
      </c>
      <c r="C965" s="1">
        <v>44935</v>
      </c>
      <c r="D965" t="s">
        <v>51</v>
      </c>
      <c r="E965" t="s">
        <v>85</v>
      </c>
      <c r="F965">
        <v>51</v>
      </c>
      <c r="G965" t="s">
        <v>2829</v>
      </c>
      <c r="H965">
        <v>1</v>
      </c>
      <c r="I965">
        <v>44.99</v>
      </c>
      <c r="J965">
        <v>12.33</v>
      </c>
      <c r="K965" t="s">
        <v>41</v>
      </c>
      <c r="L965" s="3">
        <v>44935</v>
      </c>
      <c r="M965" t="s">
        <v>34</v>
      </c>
      <c r="N965">
        <v>51</v>
      </c>
    </row>
    <row r="966" spans="1:14" x14ac:dyDescent="0.25">
      <c r="A966" t="s">
        <v>2830</v>
      </c>
      <c r="B966" t="s">
        <v>2264</v>
      </c>
      <c r="C966" s="3">
        <v>45365</v>
      </c>
      <c r="D966" t="s">
        <v>16</v>
      </c>
      <c r="E966" t="s">
        <v>65</v>
      </c>
      <c r="F966">
        <v>72</v>
      </c>
      <c r="G966" t="s">
        <v>2831</v>
      </c>
      <c r="H966">
        <v>2</v>
      </c>
      <c r="I966" s="2">
        <v>27.98</v>
      </c>
      <c r="J966">
        <v>11.86</v>
      </c>
      <c r="K966" t="s">
        <v>41</v>
      </c>
      <c r="L966" s="3">
        <v>45365</v>
      </c>
      <c r="M966" t="s">
        <v>48</v>
      </c>
      <c r="N966">
        <v>72</v>
      </c>
    </row>
    <row r="967" spans="1:14" x14ac:dyDescent="0.25">
      <c r="A967" t="s">
        <v>2832</v>
      </c>
      <c r="B967" t="s">
        <v>390</v>
      </c>
      <c r="C967" s="1">
        <v>45533</v>
      </c>
      <c r="D967" t="s">
        <v>30</v>
      </c>
      <c r="E967" t="s">
        <v>65</v>
      </c>
      <c r="F967">
        <v>23</v>
      </c>
      <c r="G967" t="s">
        <v>2112</v>
      </c>
      <c r="H967">
        <v>1</v>
      </c>
      <c r="I967" t="s">
        <v>2833</v>
      </c>
      <c r="J967">
        <v>6.04</v>
      </c>
      <c r="K967" t="s">
        <v>41</v>
      </c>
      <c r="L967" s="3">
        <v>45533</v>
      </c>
      <c r="M967" t="s">
        <v>48</v>
      </c>
      <c r="N967">
        <v>23</v>
      </c>
    </row>
    <row r="968" spans="1:14" x14ac:dyDescent="0.25">
      <c r="A968" t="s">
        <v>2834</v>
      </c>
      <c r="B968" t="s">
        <v>763</v>
      </c>
      <c r="C968" t="s">
        <v>2835</v>
      </c>
      <c r="D968" t="s">
        <v>129</v>
      </c>
      <c r="E968" t="s">
        <v>48</v>
      </c>
      <c r="F968">
        <v>37</v>
      </c>
      <c r="G968" t="s">
        <v>2836</v>
      </c>
      <c r="H968">
        <v>1</v>
      </c>
      <c r="I968">
        <v>7.85</v>
      </c>
      <c r="J968" s="2">
        <v>3.21</v>
      </c>
      <c r="K968" t="s">
        <v>19</v>
      </c>
      <c r="L968" s="3">
        <v>45373</v>
      </c>
      <c r="M968" t="s">
        <v>48</v>
      </c>
      <c r="N968">
        <v>37</v>
      </c>
    </row>
    <row r="969" spans="1:14" x14ac:dyDescent="0.25">
      <c r="A969" t="s">
        <v>2837</v>
      </c>
      <c r="B969" t="s">
        <v>1948</v>
      </c>
      <c r="C969" s="3">
        <v>45626</v>
      </c>
      <c r="D969" t="s">
        <v>129</v>
      </c>
      <c r="E969" t="s">
        <v>132</v>
      </c>
      <c r="F969">
        <v>34</v>
      </c>
      <c r="G969" t="s">
        <v>838</v>
      </c>
      <c r="H969">
        <v>2</v>
      </c>
      <c r="I969">
        <v>55</v>
      </c>
      <c r="J969" t="s">
        <v>2838</v>
      </c>
      <c r="K969" t="s">
        <v>19</v>
      </c>
      <c r="L969" s="3">
        <v>45626</v>
      </c>
      <c r="M969" t="s">
        <v>132</v>
      </c>
      <c r="N969">
        <v>34</v>
      </c>
    </row>
    <row r="970" spans="1:14" x14ac:dyDescent="0.25">
      <c r="A970" t="s">
        <v>2839</v>
      </c>
      <c r="B970" t="s">
        <v>405</v>
      </c>
      <c r="C970" t="s">
        <v>2840</v>
      </c>
      <c r="D970" t="s">
        <v>30</v>
      </c>
      <c r="E970" t="s">
        <v>85</v>
      </c>
      <c r="F970">
        <v>68</v>
      </c>
      <c r="G970" t="s">
        <v>2841</v>
      </c>
      <c r="H970">
        <v>1</v>
      </c>
      <c r="I970">
        <v>15.2</v>
      </c>
      <c r="J970">
        <v>7.47</v>
      </c>
      <c r="K970" t="s">
        <v>41</v>
      </c>
      <c r="L970" s="3">
        <v>45181</v>
      </c>
      <c r="M970" t="s">
        <v>34</v>
      </c>
      <c r="N970">
        <v>68</v>
      </c>
    </row>
    <row r="971" spans="1:14" x14ac:dyDescent="0.25">
      <c r="A971" t="s">
        <v>2842</v>
      </c>
      <c r="B971" t="s">
        <v>685</v>
      </c>
      <c r="C971" s="1">
        <v>45106</v>
      </c>
      <c r="D971" t="s">
        <v>16</v>
      </c>
      <c r="E971" t="s">
        <v>45</v>
      </c>
      <c r="F971">
        <v>53</v>
      </c>
      <c r="G971" t="s">
        <v>2843</v>
      </c>
      <c r="H971">
        <v>1</v>
      </c>
      <c r="I971" s="2">
        <v>7.3</v>
      </c>
      <c r="J971">
        <v>3.34</v>
      </c>
      <c r="K971" t="s">
        <v>41</v>
      </c>
      <c r="L971" s="3">
        <v>45106</v>
      </c>
      <c r="M971" t="s">
        <v>48</v>
      </c>
      <c r="N971">
        <v>53</v>
      </c>
    </row>
    <row r="972" spans="1:14" x14ac:dyDescent="0.25">
      <c r="A972" t="s">
        <v>2591</v>
      </c>
      <c r="B972" t="s">
        <v>2592</v>
      </c>
      <c r="C972" s="1">
        <v>45139</v>
      </c>
      <c r="D972" t="s">
        <v>51</v>
      </c>
      <c r="E972" t="s">
        <v>70</v>
      </c>
      <c r="F972">
        <v>24</v>
      </c>
      <c r="G972" t="s">
        <v>2593</v>
      </c>
      <c r="H972">
        <v>1</v>
      </c>
      <c r="I972">
        <v>31.53</v>
      </c>
      <c r="J972">
        <v>14.81</v>
      </c>
      <c r="K972" t="s">
        <v>41</v>
      </c>
      <c r="L972" s="3">
        <v>45139</v>
      </c>
      <c r="M972" t="s">
        <v>20</v>
      </c>
      <c r="N972">
        <v>24</v>
      </c>
    </row>
    <row r="973" spans="1:14" x14ac:dyDescent="0.25">
      <c r="A973" t="s">
        <v>2844</v>
      </c>
      <c r="B973" t="s">
        <v>783</v>
      </c>
      <c r="C973" s="3">
        <v>45431</v>
      </c>
      <c r="D973" t="s">
        <v>30</v>
      </c>
      <c r="E973" t="s">
        <v>65</v>
      </c>
      <c r="F973">
        <v>16</v>
      </c>
      <c r="G973" t="s">
        <v>1111</v>
      </c>
      <c r="H973">
        <v>4</v>
      </c>
      <c r="I973" t="s">
        <v>2845</v>
      </c>
      <c r="J973" s="2">
        <v>40.08</v>
      </c>
      <c r="K973" t="s">
        <v>41</v>
      </c>
      <c r="L973" s="3">
        <v>45431</v>
      </c>
      <c r="M973" t="s">
        <v>48</v>
      </c>
      <c r="N973">
        <v>16</v>
      </c>
    </row>
    <row r="974" spans="1:14" x14ac:dyDescent="0.25">
      <c r="A974" t="s">
        <v>2846</v>
      </c>
      <c r="B974" t="s">
        <v>2847</v>
      </c>
      <c r="C974" s="1">
        <v>45203</v>
      </c>
      <c r="D974" t="s">
        <v>16</v>
      </c>
      <c r="E974" t="s">
        <v>60</v>
      </c>
      <c r="F974">
        <v>43</v>
      </c>
      <c r="G974" t="s">
        <v>2848</v>
      </c>
      <c r="H974">
        <v>1</v>
      </c>
      <c r="I974">
        <v>20.72</v>
      </c>
      <c r="J974">
        <v>9.44</v>
      </c>
      <c r="K974" t="s">
        <v>41</v>
      </c>
      <c r="L974" s="3">
        <v>45203</v>
      </c>
      <c r="M974" t="s">
        <v>48</v>
      </c>
      <c r="N974">
        <v>43</v>
      </c>
    </row>
    <row r="975" spans="1:14" x14ac:dyDescent="0.25">
      <c r="A975" t="s">
        <v>2849</v>
      </c>
      <c r="B975" t="s">
        <v>2850</v>
      </c>
      <c r="C975" t="s">
        <v>1676</v>
      </c>
      <c r="D975" t="s">
        <v>16</v>
      </c>
      <c r="E975" t="s">
        <v>65</v>
      </c>
      <c r="F975">
        <v>47</v>
      </c>
      <c r="G975" t="s">
        <v>17</v>
      </c>
      <c r="H975">
        <v>2</v>
      </c>
      <c r="I975">
        <v>41.34</v>
      </c>
      <c r="J975">
        <v>21.58</v>
      </c>
      <c r="K975" t="s">
        <v>19</v>
      </c>
      <c r="L975" s="3">
        <v>45225</v>
      </c>
      <c r="M975" t="s">
        <v>48</v>
      </c>
      <c r="N975">
        <v>47</v>
      </c>
    </row>
    <row r="976" spans="1:14" x14ac:dyDescent="0.25">
      <c r="A976" t="s">
        <v>2851</v>
      </c>
      <c r="B976" t="s">
        <v>2367</v>
      </c>
      <c r="C976" s="1">
        <v>44951</v>
      </c>
      <c r="D976" t="s">
        <v>51</v>
      </c>
      <c r="E976" t="s">
        <v>31</v>
      </c>
      <c r="F976">
        <v>37</v>
      </c>
      <c r="G976" t="s">
        <v>178</v>
      </c>
      <c r="H976">
        <v>1</v>
      </c>
      <c r="I976" t="s">
        <v>2852</v>
      </c>
      <c r="J976" s="2">
        <v>10.77</v>
      </c>
      <c r="K976" t="s">
        <v>41</v>
      </c>
      <c r="L976" s="3">
        <v>44951</v>
      </c>
      <c r="M976" t="s">
        <v>34</v>
      </c>
      <c r="N976">
        <v>37</v>
      </c>
    </row>
    <row r="977" spans="1:14" x14ac:dyDescent="0.25">
      <c r="A977" t="s">
        <v>2853</v>
      </c>
      <c r="B977" t="s">
        <v>1703</v>
      </c>
      <c r="C977" s="1">
        <v>44972</v>
      </c>
      <c r="D977" t="s">
        <v>30</v>
      </c>
      <c r="E977" t="s">
        <v>25</v>
      </c>
      <c r="F977" t="s">
        <v>1063</v>
      </c>
      <c r="G977" t="s">
        <v>2854</v>
      </c>
      <c r="H977">
        <v>1</v>
      </c>
      <c r="I977">
        <v>22.58</v>
      </c>
      <c r="J977" s="2">
        <v>9.6</v>
      </c>
      <c r="K977" t="s">
        <v>41</v>
      </c>
      <c r="L977" s="3">
        <v>44972</v>
      </c>
      <c r="M977" t="s">
        <v>20</v>
      </c>
      <c r="N977">
        <v>18</v>
      </c>
    </row>
    <row r="978" spans="1:14" x14ac:dyDescent="0.25">
      <c r="A978" t="s">
        <v>2855</v>
      </c>
      <c r="B978" t="s">
        <v>453</v>
      </c>
      <c r="C978" t="s">
        <v>2856</v>
      </c>
      <c r="D978" t="s">
        <v>129</v>
      </c>
      <c r="E978" t="s">
        <v>85</v>
      </c>
      <c r="F978">
        <v>55</v>
      </c>
      <c r="G978" t="s">
        <v>2857</v>
      </c>
      <c r="H978">
        <v>1</v>
      </c>
      <c r="I978">
        <v>4.67</v>
      </c>
      <c r="J978" t="s">
        <v>2858</v>
      </c>
      <c r="K978" t="s">
        <v>19</v>
      </c>
      <c r="L978" s="3">
        <v>44937</v>
      </c>
      <c r="M978" t="s">
        <v>34</v>
      </c>
      <c r="N978">
        <v>55</v>
      </c>
    </row>
    <row r="979" spans="1:14" x14ac:dyDescent="0.25">
      <c r="A979" t="s">
        <v>2859</v>
      </c>
      <c r="B979" t="s">
        <v>1556</v>
      </c>
      <c r="C979" t="s">
        <v>1043</v>
      </c>
      <c r="D979" t="s">
        <v>24</v>
      </c>
      <c r="E979" t="s">
        <v>65</v>
      </c>
      <c r="F979">
        <v>28</v>
      </c>
      <c r="G979" t="s">
        <v>2374</v>
      </c>
      <c r="H979">
        <v>2</v>
      </c>
      <c r="I979" t="s">
        <v>2860</v>
      </c>
      <c r="J979">
        <v>12.02</v>
      </c>
      <c r="K979" t="s">
        <v>19</v>
      </c>
      <c r="L979" s="3">
        <v>45122</v>
      </c>
      <c r="M979" t="s">
        <v>48</v>
      </c>
      <c r="N979">
        <v>28</v>
      </c>
    </row>
    <row r="980" spans="1:14" x14ac:dyDescent="0.25">
      <c r="A980" t="s">
        <v>2861</v>
      </c>
      <c r="B980" t="s">
        <v>725</v>
      </c>
      <c r="C980" s="3">
        <v>45061</v>
      </c>
      <c r="D980" t="s">
        <v>51</v>
      </c>
      <c r="E980" t="s">
        <v>34</v>
      </c>
      <c r="F980">
        <v>43</v>
      </c>
      <c r="G980" t="s">
        <v>2862</v>
      </c>
      <c r="H980">
        <v>1</v>
      </c>
      <c r="I980">
        <v>24.43</v>
      </c>
      <c r="J980">
        <v>7.9</v>
      </c>
      <c r="K980" t="s">
        <v>19</v>
      </c>
      <c r="L980" s="3">
        <v>45061</v>
      </c>
      <c r="M980" t="s">
        <v>34</v>
      </c>
      <c r="N980">
        <v>43</v>
      </c>
    </row>
    <row r="981" spans="1:14" x14ac:dyDescent="0.25">
      <c r="A981" t="s">
        <v>2863</v>
      </c>
      <c r="B981" t="s">
        <v>1282</v>
      </c>
      <c r="C981" s="1">
        <v>45284</v>
      </c>
      <c r="D981" t="s">
        <v>51</v>
      </c>
      <c r="E981" t="s">
        <v>45</v>
      </c>
      <c r="F981">
        <v>55</v>
      </c>
      <c r="G981" t="s">
        <v>531</v>
      </c>
      <c r="H981">
        <v>2</v>
      </c>
      <c r="I981">
        <v>73.16</v>
      </c>
      <c r="J981" t="s">
        <v>205</v>
      </c>
      <c r="K981" t="s">
        <v>19</v>
      </c>
      <c r="L981" s="3">
        <v>45284</v>
      </c>
      <c r="M981" t="s">
        <v>48</v>
      </c>
      <c r="N981">
        <v>55</v>
      </c>
    </row>
    <row r="982" spans="1:14" x14ac:dyDescent="0.25">
      <c r="A982" t="s">
        <v>2864</v>
      </c>
      <c r="B982" t="s">
        <v>1091</v>
      </c>
      <c r="C982" s="1">
        <v>45350</v>
      </c>
      <c r="D982" t="s">
        <v>24</v>
      </c>
      <c r="E982" t="s">
        <v>45</v>
      </c>
      <c r="F982">
        <v>74</v>
      </c>
      <c r="G982" t="s">
        <v>2865</v>
      </c>
      <c r="H982">
        <v>1</v>
      </c>
      <c r="I982">
        <v>12.87</v>
      </c>
      <c r="J982" t="s">
        <v>2866</v>
      </c>
      <c r="K982" t="s">
        <v>41</v>
      </c>
      <c r="L982" s="3">
        <v>45350</v>
      </c>
      <c r="M982" t="s">
        <v>48</v>
      </c>
      <c r="N982">
        <v>74</v>
      </c>
    </row>
    <row r="983" spans="1:14" x14ac:dyDescent="0.25">
      <c r="A983" t="s">
        <v>2867</v>
      </c>
      <c r="B983" t="s">
        <v>2219</v>
      </c>
      <c r="C983" s="3">
        <v>45402</v>
      </c>
      <c r="D983" t="s">
        <v>129</v>
      </c>
      <c r="E983" t="s">
        <v>34</v>
      </c>
      <c r="F983">
        <v>33</v>
      </c>
      <c r="G983" t="s">
        <v>845</v>
      </c>
      <c r="H983">
        <v>2</v>
      </c>
      <c r="I983" t="s">
        <v>2868</v>
      </c>
      <c r="J983" t="s">
        <v>2869</v>
      </c>
      <c r="K983" t="s">
        <v>41</v>
      </c>
      <c r="L983" s="3">
        <v>45402</v>
      </c>
      <c r="M983" t="s">
        <v>34</v>
      </c>
      <c r="N983">
        <v>33</v>
      </c>
    </row>
    <row r="984" spans="1:14" x14ac:dyDescent="0.25">
      <c r="A984" t="s">
        <v>2870</v>
      </c>
      <c r="B984" t="s">
        <v>106</v>
      </c>
      <c r="C984" t="s">
        <v>2871</v>
      </c>
      <c r="D984" t="s">
        <v>24</v>
      </c>
      <c r="E984" t="s">
        <v>45</v>
      </c>
      <c r="F984">
        <v>62</v>
      </c>
      <c r="G984" t="s">
        <v>2532</v>
      </c>
      <c r="H984">
        <v>1</v>
      </c>
      <c r="I984" t="s">
        <v>2872</v>
      </c>
      <c r="J984">
        <v>8.9700000000000006</v>
      </c>
      <c r="K984" t="s">
        <v>41</v>
      </c>
      <c r="L984" s="3">
        <v>45112</v>
      </c>
      <c r="M984" t="s">
        <v>48</v>
      </c>
      <c r="N984">
        <v>62</v>
      </c>
    </row>
    <row r="985" spans="1:14" x14ac:dyDescent="0.25">
      <c r="A985" t="s">
        <v>2873</v>
      </c>
      <c r="B985" t="s">
        <v>64</v>
      </c>
      <c r="C985" t="s">
        <v>2874</v>
      </c>
      <c r="D985" t="s">
        <v>129</v>
      </c>
      <c r="E985" t="s">
        <v>38</v>
      </c>
      <c r="F985">
        <v>44</v>
      </c>
      <c r="G985" t="s">
        <v>2875</v>
      </c>
      <c r="H985">
        <v>1</v>
      </c>
      <c r="I985">
        <v>14.3</v>
      </c>
      <c r="J985">
        <v>7.14</v>
      </c>
      <c r="K985" t="s">
        <v>41</v>
      </c>
      <c r="L985" s="3">
        <v>45312</v>
      </c>
      <c r="M985" t="s">
        <v>34</v>
      </c>
      <c r="N985">
        <v>44</v>
      </c>
    </row>
    <row r="986" spans="1:14" x14ac:dyDescent="0.25">
      <c r="A986" t="s">
        <v>2876</v>
      </c>
      <c r="B986" t="s">
        <v>154</v>
      </c>
      <c r="C986" t="s">
        <v>890</v>
      </c>
      <c r="D986" t="s">
        <v>24</v>
      </c>
      <c r="E986" t="s">
        <v>34</v>
      </c>
      <c r="F986">
        <v>33</v>
      </c>
      <c r="G986" t="s">
        <v>852</v>
      </c>
      <c r="H986">
        <v>-1</v>
      </c>
      <c r="I986">
        <v>-5.42</v>
      </c>
      <c r="J986">
        <v>-0.77</v>
      </c>
      <c r="K986" t="s">
        <v>41</v>
      </c>
      <c r="L986" s="3">
        <v>45266</v>
      </c>
      <c r="M986" t="s">
        <v>34</v>
      </c>
      <c r="N986">
        <v>33</v>
      </c>
    </row>
    <row r="987" spans="1:14" x14ac:dyDescent="0.25">
      <c r="A987" t="s">
        <v>2877</v>
      </c>
      <c r="B987" t="s">
        <v>469</v>
      </c>
      <c r="C987" s="1">
        <v>45385</v>
      </c>
      <c r="D987" t="s">
        <v>51</v>
      </c>
      <c r="E987" t="s">
        <v>48</v>
      </c>
      <c r="F987">
        <v>57</v>
      </c>
      <c r="G987" t="s">
        <v>922</v>
      </c>
      <c r="H987">
        <v>3</v>
      </c>
      <c r="I987" s="2">
        <v>134.5</v>
      </c>
      <c r="J987" t="s">
        <v>2878</v>
      </c>
      <c r="K987" t="s">
        <v>19</v>
      </c>
      <c r="L987" s="3">
        <v>45385</v>
      </c>
      <c r="M987" t="s">
        <v>48</v>
      </c>
      <c r="N987">
        <v>57</v>
      </c>
    </row>
    <row r="988" spans="1:14" x14ac:dyDescent="0.25">
      <c r="A988" t="s">
        <v>2879</v>
      </c>
      <c r="B988" t="s">
        <v>1252</v>
      </c>
      <c r="C988" t="s">
        <v>2880</v>
      </c>
      <c r="D988" t="s">
        <v>24</v>
      </c>
      <c r="E988" t="s">
        <v>60</v>
      </c>
      <c r="F988">
        <v>18</v>
      </c>
      <c r="G988" t="s">
        <v>2881</v>
      </c>
      <c r="H988">
        <v>1</v>
      </c>
      <c r="I988" t="s">
        <v>2882</v>
      </c>
      <c r="J988">
        <v>3.07</v>
      </c>
      <c r="K988" t="s">
        <v>19</v>
      </c>
      <c r="L988" s="3">
        <v>45433</v>
      </c>
      <c r="M988" t="s">
        <v>48</v>
      </c>
      <c r="N988">
        <v>18</v>
      </c>
    </row>
    <row r="989" spans="1:14" x14ac:dyDescent="0.25">
      <c r="A989" t="s">
        <v>2883</v>
      </c>
      <c r="B989" t="s">
        <v>434</v>
      </c>
      <c r="C989" t="s">
        <v>2884</v>
      </c>
      <c r="D989" t="s">
        <v>30</v>
      </c>
      <c r="F989">
        <v>56</v>
      </c>
      <c r="G989" t="s">
        <v>2885</v>
      </c>
      <c r="H989">
        <v>1</v>
      </c>
      <c r="I989">
        <v>12.19</v>
      </c>
      <c r="J989" s="2">
        <v>4.91</v>
      </c>
      <c r="K989" t="s">
        <v>19</v>
      </c>
      <c r="L989" s="3">
        <v>45441</v>
      </c>
      <c r="M989" t="s">
        <v>20</v>
      </c>
      <c r="N989">
        <v>56</v>
      </c>
    </row>
    <row r="990" spans="1:14" x14ac:dyDescent="0.25">
      <c r="A990" t="s">
        <v>2886</v>
      </c>
      <c r="B990" t="s">
        <v>551</v>
      </c>
      <c r="C990" t="s">
        <v>2887</v>
      </c>
      <c r="D990" t="s">
        <v>129</v>
      </c>
      <c r="E990" t="s">
        <v>38</v>
      </c>
      <c r="F990">
        <v>50</v>
      </c>
      <c r="G990" t="s">
        <v>2888</v>
      </c>
      <c r="H990">
        <v>2</v>
      </c>
      <c r="I990">
        <v>24.06</v>
      </c>
      <c r="J990" s="2">
        <v>10.32</v>
      </c>
      <c r="K990" t="s">
        <v>41</v>
      </c>
      <c r="L990" s="3">
        <v>45652</v>
      </c>
      <c r="M990" t="s">
        <v>34</v>
      </c>
      <c r="N990">
        <v>50</v>
      </c>
    </row>
    <row r="991" spans="1:14" x14ac:dyDescent="0.25">
      <c r="A991" t="s">
        <v>2889</v>
      </c>
      <c r="B991" t="s">
        <v>2890</v>
      </c>
      <c r="C991" s="3">
        <v>45509</v>
      </c>
      <c r="D991" t="s">
        <v>51</v>
      </c>
      <c r="E991" t="s">
        <v>38</v>
      </c>
      <c r="F991">
        <v>66</v>
      </c>
      <c r="G991" t="s">
        <v>2891</v>
      </c>
      <c r="H991">
        <v>2</v>
      </c>
      <c r="I991" s="2">
        <v>20.03</v>
      </c>
      <c r="J991">
        <v>9.2799999999999994</v>
      </c>
      <c r="K991" t="s">
        <v>19</v>
      </c>
      <c r="L991" s="3">
        <v>45509</v>
      </c>
      <c r="M991" t="s">
        <v>34</v>
      </c>
      <c r="N991">
        <v>66</v>
      </c>
    </row>
    <row r="992" spans="1:14" x14ac:dyDescent="0.25">
      <c r="A992" t="s">
        <v>2892</v>
      </c>
      <c r="B992" t="s">
        <v>2893</v>
      </c>
      <c r="C992" t="s">
        <v>2894</v>
      </c>
      <c r="D992" t="s">
        <v>129</v>
      </c>
      <c r="E992" t="s">
        <v>45</v>
      </c>
      <c r="F992">
        <v>56</v>
      </c>
      <c r="G992" t="s">
        <v>2895</v>
      </c>
      <c r="H992">
        <v>3</v>
      </c>
      <c r="I992" t="s">
        <v>2896</v>
      </c>
      <c r="J992" t="s">
        <v>2897</v>
      </c>
      <c r="K992" t="s">
        <v>19</v>
      </c>
      <c r="L992" s="3">
        <v>45122</v>
      </c>
      <c r="M992" t="s">
        <v>48</v>
      </c>
      <c r="N992">
        <v>56</v>
      </c>
    </row>
    <row r="993" spans="1:14" x14ac:dyDescent="0.25">
      <c r="A993" t="s">
        <v>2898</v>
      </c>
      <c r="B993" t="s">
        <v>1873</v>
      </c>
      <c r="C993" t="s">
        <v>2038</v>
      </c>
      <c r="D993" t="s">
        <v>51</v>
      </c>
      <c r="E993" t="s">
        <v>60</v>
      </c>
      <c r="F993">
        <v>15</v>
      </c>
      <c r="G993" t="s">
        <v>1728</v>
      </c>
      <c r="H993">
        <v>3</v>
      </c>
      <c r="I993">
        <v>55.52</v>
      </c>
      <c r="J993" t="s">
        <v>2899</v>
      </c>
      <c r="K993" t="s">
        <v>41</v>
      </c>
      <c r="L993" s="3">
        <v>44943</v>
      </c>
      <c r="M993" t="s">
        <v>48</v>
      </c>
      <c r="N993">
        <v>15</v>
      </c>
    </row>
    <row r="994" spans="1:14" x14ac:dyDescent="0.25">
      <c r="A994" t="s">
        <v>2900</v>
      </c>
      <c r="B994" t="s">
        <v>2256</v>
      </c>
      <c r="C994" t="s">
        <v>2901</v>
      </c>
      <c r="D994" t="s">
        <v>51</v>
      </c>
      <c r="E994" t="s">
        <v>60</v>
      </c>
      <c r="F994">
        <v>13</v>
      </c>
      <c r="G994" t="s">
        <v>2902</v>
      </c>
      <c r="H994">
        <v>4</v>
      </c>
      <c r="I994">
        <v>178.56</v>
      </c>
      <c r="J994">
        <v>91.53</v>
      </c>
      <c r="K994" t="s">
        <v>41</v>
      </c>
      <c r="L994" s="3">
        <v>45442</v>
      </c>
      <c r="M994" t="s">
        <v>48</v>
      </c>
      <c r="N994">
        <v>13</v>
      </c>
    </row>
    <row r="995" spans="1:14" x14ac:dyDescent="0.25">
      <c r="A995" t="s">
        <v>2903</v>
      </c>
      <c r="B995" t="s">
        <v>2904</v>
      </c>
      <c r="C995" t="s">
        <v>2905</v>
      </c>
      <c r="D995" t="s">
        <v>129</v>
      </c>
      <c r="E995" t="s">
        <v>45</v>
      </c>
      <c r="F995">
        <v>69</v>
      </c>
      <c r="G995" t="s">
        <v>2161</v>
      </c>
      <c r="H995">
        <v>2</v>
      </c>
      <c r="I995" s="2">
        <v>19.510000000000002</v>
      </c>
      <c r="J995">
        <v>8.89</v>
      </c>
      <c r="K995" t="s">
        <v>41</v>
      </c>
      <c r="L995" s="3">
        <v>44974</v>
      </c>
      <c r="M995" t="s">
        <v>48</v>
      </c>
      <c r="N995">
        <v>69</v>
      </c>
    </row>
    <row r="996" spans="1:14" x14ac:dyDescent="0.25">
      <c r="A996" t="s">
        <v>2906</v>
      </c>
      <c r="B996" t="s">
        <v>2907</v>
      </c>
      <c r="C996" t="s">
        <v>2908</v>
      </c>
      <c r="D996" t="s">
        <v>51</v>
      </c>
      <c r="E996" t="s">
        <v>38</v>
      </c>
      <c r="F996">
        <v>43</v>
      </c>
      <c r="G996" t="s">
        <v>1768</v>
      </c>
      <c r="H996">
        <v>1</v>
      </c>
      <c r="I996" s="2">
        <v>17.34</v>
      </c>
      <c r="J996" t="s">
        <v>2909</v>
      </c>
      <c r="K996" t="s">
        <v>19</v>
      </c>
      <c r="L996" s="3">
        <v>45388</v>
      </c>
      <c r="M996" t="s">
        <v>34</v>
      </c>
      <c r="N996">
        <v>43</v>
      </c>
    </row>
    <row r="997" spans="1:14" x14ac:dyDescent="0.25">
      <c r="A997" t="s">
        <v>2910</v>
      </c>
      <c r="B997" t="s">
        <v>2315</v>
      </c>
      <c r="C997" s="1">
        <v>45467</v>
      </c>
      <c r="D997" t="s">
        <v>24</v>
      </c>
      <c r="E997" t="s">
        <v>34</v>
      </c>
      <c r="F997">
        <v>42</v>
      </c>
      <c r="G997" t="s">
        <v>2911</v>
      </c>
      <c r="H997">
        <v>1</v>
      </c>
      <c r="I997" s="2">
        <v>37.619999999999997</v>
      </c>
      <c r="J997">
        <v>15.65</v>
      </c>
      <c r="K997" t="s">
        <v>41</v>
      </c>
      <c r="L997" s="3">
        <v>45467</v>
      </c>
      <c r="M997" t="s">
        <v>34</v>
      </c>
      <c r="N997">
        <v>42</v>
      </c>
    </row>
    <row r="998" spans="1:14" x14ac:dyDescent="0.25">
      <c r="A998" t="s">
        <v>2912</v>
      </c>
      <c r="B998" t="s">
        <v>330</v>
      </c>
      <c r="C998" s="1">
        <v>45174</v>
      </c>
      <c r="D998" t="s">
        <v>129</v>
      </c>
      <c r="E998" t="s">
        <v>85</v>
      </c>
      <c r="G998" t="s">
        <v>2913</v>
      </c>
      <c r="H998">
        <v>2</v>
      </c>
      <c r="I998" t="s">
        <v>2914</v>
      </c>
      <c r="J998">
        <v>6.34</v>
      </c>
      <c r="K998" t="s">
        <v>19</v>
      </c>
      <c r="L998" s="3">
        <v>45174</v>
      </c>
      <c r="M998" t="s">
        <v>34</v>
      </c>
    </row>
    <row r="999" spans="1:14" x14ac:dyDescent="0.25">
      <c r="A999" t="s">
        <v>2915</v>
      </c>
      <c r="B999" t="s">
        <v>2916</v>
      </c>
      <c r="C999" s="3">
        <v>44985</v>
      </c>
      <c r="D999" t="s">
        <v>16</v>
      </c>
      <c r="E999" t="s">
        <v>45</v>
      </c>
      <c r="F999">
        <v>66</v>
      </c>
      <c r="G999" t="s">
        <v>2917</v>
      </c>
      <c r="H999">
        <v>2</v>
      </c>
      <c r="I999" s="2">
        <v>43.15</v>
      </c>
      <c r="J999">
        <v>22.22</v>
      </c>
      <c r="K999" t="s">
        <v>41</v>
      </c>
      <c r="L999" s="3">
        <v>44985</v>
      </c>
      <c r="M999" t="s">
        <v>48</v>
      </c>
      <c r="N999">
        <v>66</v>
      </c>
    </row>
    <row r="1000" spans="1:14" x14ac:dyDescent="0.25">
      <c r="A1000" t="s">
        <v>2918</v>
      </c>
      <c r="B1000" t="s">
        <v>257</v>
      </c>
      <c r="C1000" t="s">
        <v>626</v>
      </c>
      <c r="D1000" t="s">
        <v>30</v>
      </c>
      <c r="E1000" t="s">
        <v>31</v>
      </c>
      <c r="F1000">
        <v>15</v>
      </c>
      <c r="G1000" t="s">
        <v>2919</v>
      </c>
      <c r="H1000">
        <v>1</v>
      </c>
      <c r="I1000">
        <v>25.56</v>
      </c>
      <c r="J1000" s="2">
        <v>11.14</v>
      </c>
      <c r="K1000" t="s">
        <v>41</v>
      </c>
      <c r="L1000" s="3">
        <v>45192</v>
      </c>
      <c r="M1000" t="s">
        <v>34</v>
      </c>
      <c r="N1000">
        <v>15</v>
      </c>
    </row>
    <row r="1001" spans="1:14" x14ac:dyDescent="0.25">
      <c r="A1001" t="s">
        <v>2920</v>
      </c>
      <c r="B1001" t="s">
        <v>581</v>
      </c>
      <c r="C1001" t="s">
        <v>2921</v>
      </c>
      <c r="D1001" t="s">
        <v>16</v>
      </c>
      <c r="E1001" t="s">
        <v>31</v>
      </c>
      <c r="F1001">
        <v>42</v>
      </c>
      <c r="G1001" t="s">
        <v>2922</v>
      </c>
      <c r="H1001">
        <v>1</v>
      </c>
      <c r="I1001">
        <v>6.21</v>
      </c>
      <c r="J1001">
        <v>3.42</v>
      </c>
      <c r="K1001" t="s">
        <v>19</v>
      </c>
      <c r="L1001" s="3">
        <v>45013</v>
      </c>
      <c r="M1001" t="s">
        <v>34</v>
      </c>
      <c r="N1001">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88D7D-CE56-4A34-AD0F-2F5FFFED837A}">
  <dimension ref="A1:S1001"/>
  <sheetViews>
    <sheetView topLeftCell="G977" workbookViewId="0">
      <selection activeCell="U13" sqref="U13"/>
    </sheetView>
  </sheetViews>
  <sheetFormatPr defaultRowHeight="15" x14ac:dyDescent="0.25"/>
  <cols>
    <col min="1" max="1" width="15.5703125" customWidth="1"/>
    <col min="2" max="2" width="14.140625" customWidth="1"/>
    <col min="4" max="4" width="11.28515625" customWidth="1"/>
    <col min="5" max="5" width="9.85546875" customWidth="1"/>
    <col min="7" max="8" width="10.85546875" customWidth="1"/>
    <col min="11" max="11" width="10.7109375" customWidth="1"/>
    <col min="12" max="12" width="14.42578125" customWidth="1"/>
    <col min="13" max="13" width="16.85546875" customWidth="1"/>
    <col min="14" max="14" width="13.42578125" customWidth="1"/>
    <col min="15" max="15" width="18.28515625" bestFit="1" customWidth="1"/>
    <col min="16" max="16" width="21" customWidth="1"/>
    <col min="17" max="17" width="18.28515625" bestFit="1" customWidth="1"/>
    <col min="18" max="18" width="15.140625" bestFit="1" customWidth="1"/>
    <col min="19" max="19" width="15.425781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2923</v>
      </c>
      <c r="P1" t="s">
        <v>6</v>
      </c>
      <c r="Q1" t="s">
        <v>2924</v>
      </c>
      <c r="R1" t="s">
        <v>2984</v>
      </c>
      <c r="S1" t="s">
        <v>2985</v>
      </c>
    </row>
    <row r="2" spans="1:19" x14ac:dyDescent="0.25">
      <c r="A2" t="s">
        <v>14</v>
      </c>
      <c r="B2" t="s">
        <v>15</v>
      </c>
      <c r="C2" s="1">
        <v>45618</v>
      </c>
      <c r="D2" t="s">
        <v>16</v>
      </c>
      <c r="F2">
        <v>61</v>
      </c>
      <c r="G2" t="s">
        <v>17</v>
      </c>
      <c r="H2">
        <v>1</v>
      </c>
      <c r="I2" s="2">
        <v>12.11</v>
      </c>
      <c r="J2" t="s">
        <v>18</v>
      </c>
      <c r="K2" t="s">
        <v>19</v>
      </c>
      <c r="L2" s="3">
        <v>45618</v>
      </c>
      <c r="M2" t="s">
        <v>20</v>
      </c>
      <c r="N2" s="4">
        <v>61</v>
      </c>
      <c r="O2" t="str" cm="1">
        <f t="array" ref="O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 t="s">
        <v>17</v>
      </c>
      <c r="Q2" t="s">
        <v>2925</v>
      </c>
      <c r="R2" s="5">
        <v>12.11</v>
      </c>
      <c r="S2" s="5">
        <v>6.63</v>
      </c>
    </row>
    <row r="3" spans="1:19" x14ac:dyDescent="0.25">
      <c r="A3" t="s">
        <v>21</v>
      </c>
      <c r="B3" t="s">
        <v>22</v>
      </c>
      <c r="C3" t="s">
        <v>23</v>
      </c>
      <c r="D3" t="s">
        <v>24</v>
      </c>
      <c r="E3" t="s">
        <v>25</v>
      </c>
      <c r="G3" t="s">
        <v>26</v>
      </c>
      <c r="H3">
        <v>2</v>
      </c>
      <c r="I3" t="s">
        <v>25</v>
      </c>
      <c r="J3">
        <v>17.39</v>
      </c>
      <c r="K3" t="s">
        <v>19</v>
      </c>
      <c r="L3" s="3">
        <v>45117</v>
      </c>
      <c r="M3" t="s">
        <v>20</v>
      </c>
      <c r="N3" s="4"/>
      <c r="O3" t="str" cm="1">
        <f t="array" ref="O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3" t="s">
        <v>26</v>
      </c>
      <c r="Q3" t="s">
        <v>2926</v>
      </c>
      <c r="R3" s="5"/>
      <c r="S3" s="5">
        <v>17.39</v>
      </c>
    </row>
    <row r="4" spans="1:19" x14ac:dyDescent="0.25">
      <c r="A4" t="s">
        <v>27</v>
      </c>
      <c r="B4" t="s">
        <v>28</v>
      </c>
      <c r="C4" t="s">
        <v>29</v>
      </c>
      <c r="D4" t="s">
        <v>30</v>
      </c>
      <c r="E4" t="s">
        <v>31</v>
      </c>
      <c r="F4">
        <v>29</v>
      </c>
      <c r="G4" t="s">
        <v>32</v>
      </c>
      <c r="H4">
        <v>1</v>
      </c>
      <c r="I4" t="s">
        <v>33</v>
      </c>
      <c r="J4">
        <v>13.19</v>
      </c>
      <c r="K4" t="s">
        <v>19</v>
      </c>
      <c r="L4" s="3">
        <v>45432</v>
      </c>
      <c r="M4" t="s">
        <v>34</v>
      </c>
      <c r="N4" s="4">
        <v>29</v>
      </c>
      <c r="O4" t="str" cm="1">
        <f t="array" ref="O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 t="s">
        <v>32</v>
      </c>
      <c r="Q4" t="s">
        <v>2926</v>
      </c>
      <c r="R4" s="5">
        <v>29.53</v>
      </c>
      <c r="S4" s="5">
        <v>13.19</v>
      </c>
    </row>
    <row r="5" spans="1:19" x14ac:dyDescent="0.25">
      <c r="A5" t="s">
        <v>35</v>
      </c>
      <c r="B5" t="s">
        <v>36</v>
      </c>
      <c r="C5" t="s">
        <v>37</v>
      </c>
      <c r="D5" t="s">
        <v>16</v>
      </c>
      <c r="E5" t="s">
        <v>38</v>
      </c>
      <c r="F5">
        <v>38</v>
      </c>
      <c r="G5" t="s">
        <v>39</v>
      </c>
      <c r="H5">
        <v>1</v>
      </c>
      <c r="I5">
        <v>7.33</v>
      </c>
      <c r="J5" t="s">
        <v>40</v>
      </c>
      <c r="K5" t="s">
        <v>41</v>
      </c>
      <c r="L5" s="3">
        <v>45569</v>
      </c>
      <c r="M5" t="s">
        <v>34</v>
      </c>
      <c r="N5" s="4">
        <v>38</v>
      </c>
      <c r="O5" t="str" cm="1">
        <f t="array" ref="O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 t="s">
        <v>39</v>
      </c>
      <c r="Q5" t="s">
        <v>2926</v>
      </c>
      <c r="R5" s="5">
        <v>7.33</v>
      </c>
      <c r="S5" s="5">
        <v>2.94</v>
      </c>
    </row>
    <row r="6" spans="1:19" x14ac:dyDescent="0.25">
      <c r="A6" t="s">
        <v>42</v>
      </c>
      <c r="B6" t="s">
        <v>43</v>
      </c>
      <c r="C6" t="s">
        <v>44</v>
      </c>
      <c r="D6" t="s">
        <v>16</v>
      </c>
      <c r="E6" t="s">
        <v>45</v>
      </c>
      <c r="F6">
        <v>59</v>
      </c>
      <c r="G6" t="s">
        <v>46</v>
      </c>
      <c r="H6">
        <v>2</v>
      </c>
      <c r="I6" t="s">
        <v>47</v>
      </c>
      <c r="J6">
        <v>20.71</v>
      </c>
      <c r="K6" t="s">
        <v>19</v>
      </c>
      <c r="L6" s="3">
        <v>45091</v>
      </c>
      <c r="M6" t="s">
        <v>48</v>
      </c>
      <c r="N6" s="4">
        <v>59</v>
      </c>
      <c r="O6" t="str" cm="1">
        <f t="array" ref="O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 t="s">
        <v>46</v>
      </c>
      <c r="Q6" t="s">
        <v>2926</v>
      </c>
      <c r="R6" s="5">
        <v>54.88</v>
      </c>
      <c r="S6" s="5">
        <v>20.71</v>
      </c>
    </row>
    <row r="7" spans="1:19" x14ac:dyDescent="0.25">
      <c r="A7" t="s">
        <v>49</v>
      </c>
      <c r="B7" t="s">
        <v>50</v>
      </c>
      <c r="C7" s="1">
        <v>45631</v>
      </c>
      <c r="D7" t="s">
        <v>51</v>
      </c>
      <c r="F7">
        <v>55</v>
      </c>
      <c r="G7" t="s">
        <v>52</v>
      </c>
      <c r="H7">
        <v>2</v>
      </c>
      <c r="I7" t="s">
        <v>53</v>
      </c>
      <c r="J7" t="s">
        <v>54</v>
      </c>
      <c r="K7" t="s">
        <v>41</v>
      </c>
      <c r="L7" s="3">
        <v>45631</v>
      </c>
      <c r="M7" t="s">
        <v>20</v>
      </c>
      <c r="N7" s="4">
        <v>55</v>
      </c>
      <c r="O7" t="str" cm="1">
        <f t="array" ref="O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 t="s">
        <v>52</v>
      </c>
      <c r="Q7" t="s">
        <v>2925</v>
      </c>
      <c r="R7" s="5">
        <v>106.03</v>
      </c>
      <c r="S7" s="5">
        <v>42.4</v>
      </c>
    </row>
    <row r="8" spans="1:19" x14ac:dyDescent="0.25">
      <c r="A8" t="s">
        <v>55</v>
      </c>
      <c r="B8" t="s">
        <v>56</v>
      </c>
      <c r="C8" s="1">
        <v>45144</v>
      </c>
      <c r="D8" t="s">
        <v>51</v>
      </c>
      <c r="E8" t="s">
        <v>38</v>
      </c>
      <c r="F8">
        <v>65</v>
      </c>
      <c r="G8" t="s">
        <v>57</v>
      </c>
      <c r="H8">
        <v>2</v>
      </c>
      <c r="I8">
        <v>15.74</v>
      </c>
      <c r="J8" s="2">
        <v>7.12</v>
      </c>
      <c r="K8" t="s">
        <v>41</v>
      </c>
      <c r="L8" s="3">
        <v>45144</v>
      </c>
      <c r="M8" t="s">
        <v>34</v>
      </c>
      <c r="N8" s="4">
        <v>65</v>
      </c>
      <c r="O8" t="str" cm="1">
        <f t="array" ref="O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 t="s">
        <v>57</v>
      </c>
      <c r="Q8" t="s">
        <v>2927</v>
      </c>
      <c r="R8" s="5">
        <v>15.74</v>
      </c>
      <c r="S8" s="5">
        <v>7.12</v>
      </c>
    </row>
    <row r="9" spans="1:19" x14ac:dyDescent="0.25">
      <c r="A9" t="s">
        <v>58</v>
      </c>
      <c r="B9" t="s">
        <v>59</v>
      </c>
      <c r="C9" s="3">
        <v>45007</v>
      </c>
      <c r="D9" t="s">
        <v>30</v>
      </c>
      <c r="E9" t="s">
        <v>60</v>
      </c>
      <c r="F9">
        <v>56</v>
      </c>
      <c r="G9" t="s">
        <v>61</v>
      </c>
      <c r="H9">
        <v>4</v>
      </c>
      <c r="I9" t="s">
        <v>62</v>
      </c>
      <c r="J9" s="2">
        <v>24.26</v>
      </c>
      <c r="K9" t="s">
        <v>41</v>
      </c>
      <c r="L9" s="3">
        <v>45007</v>
      </c>
      <c r="M9" t="s">
        <v>48</v>
      </c>
      <c r="N9" s="4">
        <v>56</v>
      </c>
      <c r="O9" t="str" cm="1">
        <f t="array" ref="O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 t="s">
        <v>61</v>
      </c>
      <c r="Q9" t="s">
        <v>2926</v>
      </c>
      <c r="R9" s="5">
        <v>96.46</v>
      </c>
      <c r="S9" s="5">
        <v>24.26</v>
      </c>
    </row>
    <row r="10" spans="1:19" x14ac:dyDescent="0.25">
      <c r="A10" t="s">
        <v>63</v>
      </c>
      <c r="B10" t="s">
        <v>64</v>
      </c>
      <c r="C10" s="1">
        <v>45453</v>
      </c>
      <c r="D10" t="s">
        <v>16</v>
      </c>
      <c r="E10" t="s">
        <v>65</v>
      </c>
      <c r="F10">
        <v>39</v>
      </c>
      <c r="G10" t="s">
        <v>66</v>
      </c>
      <c r="H10">
        <v>1</v>
      </c>
      <c r="I10">
        <v>24.32</v>
      </c>
      <c r="J10">
        <v>8.65</v>
      </c>
      <c r="K10" t="s">
        <v>19</v>
      </c>
      <c r="L10" s="3">
        <v>45453</v>
      </c>
      <c r="M10" t="s">
        <v>48</v>
      </c>
      <c r="N10" s="4">
        <v>39</v>
      </c>
      <c r="O10" t="str" cm="1">
        <f t="array" ref="O1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0" t="s">
        <v>66</v>
      </c>
      <c r="Q10" t="s">
        <v>2926</v>
      </c>
      <c r="R10" s="5">
        <v>24.32</v>
      </c>
      <c r="S10" s="5">
        <v>8.65</v>
      </c>
    </row>
    <row r="11" spans="1:19" x14ac:dyDescent="0.25">
      <c r="A11" t="s">
        <v>67</v>
      </c>
      <c r="B11" t="s">
        <v>68</v>
      </c>
      <c r="C11" t="s">
        <v>69</v>
      </c>
      <c r="D11" t="s">
        <v>16</v>
      </c>
      <c r="E11" t="s">
        <v>70</v>
      </c>
      <c r="F11">
        <v>50</v>
      </c>
      <c r="G11" t="s">
        <v>71</v>
      </c>
      <c r="H11">
        <v>-4</v>
      </c>
      <c r="I11">
        <v>-50.65</v>
      </c>
      <c r="J11">
        <v>-16.77</v>
      </c>
      <c r="K11" t="s">
        <v>41</v>
      </c>
      <c r="L11" s="3">
        <v>45494</v>
      </c>
      <c r="M11" t="s">
        <v>20</v>
      </c>
      <c r="N11" s="4">
        <v>50</v>
      </c>
      <c r="O11" t="str" cm="1">
        <f t="array" ref="O1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1" t="s">
        <v>71</v>
      </c>
      <c r="Q11" t="s">
        <v>2925</v>
      </c>
      <c r="R11" s="5">
        <v>-50.65</v>
      </c>
      <c r="S11" s="5">
        <v>-16.77</v>
      </c>
    </row>
    <row r="12" spans="1:19" x14ac:dyDescent="0.25">
      <c r="A12" t="s">
        <v>72</v>
      </c>
      <c r="B12" t="s">
        <v>73</v>
      </c>
      <c r="C12" t="s">
        <v>74</v>
      </c>
      <c r="D12" t="s">
        <v>24</v>
      </c>
      <c r="E12" t="s">
        <v>60</v>
      </c>
      <c r="F12" t="s">
        <v>75</v>
      </c>
      <c r="G12" t="s">
        <v>76</v>
      </c>
      <c r="H12">
        <v>1</v>
      </c>
      <c r="I12">
        <v>23.1</v>
      </c>
      <c r="J12" t="s">
        <v>77</v>
      </c>
      <c r="K12" t="s">
        <v>41</v>
      </c>
      <c r="L12" s="3">
        <v>44937</v>
      </c>
      <c r="M12" t="s">
        <v>48</v>
      </c>
      <c r="N12" s="4">
        <v>20</v>
      </c>
      <c r="O12" t="str" cm="1">
        <f t="array" ref="O1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12" t="s">
        <v>76</v>
      </c>
      <c r="Q12" t="s">
        <v>2928</v>
      </c>
      <c r="R12" s="5">
        <v>23.1</v>
      </c>
      <c r="S12" s="5">
        <v>11.04</v>
      </c>
    </row>
    <row r="13" spans="1:19" x14ac:dyDescent="0.25">
      <c r="A13" t="s">
        <v>78</v>
      </c>
      <c r="B13" t="s">
        <v>79</v>
      </c>
      <c r="C13" t="s">
        <v>80</v>
      </c>
      <c r="D13" t="s">
        <v>16</v>
      </c>
      <c r="E13" t="s">
        <v>60</v>
      </c>
      <c r="F13">
        <v>14</v>
      </c>
      <c r="G13" t="s">
        <v>81</v>
      </c>
      <c r="H13">
        <v>2</v>
      </c>
      <c r="I13" s="2">
        <v>46.39</v>
      </c>
      <c r="J13" t="s">
        <v>25</v>
      </c>
      <c r="K13" t="s">
        <v>19</v>
      </c>
      <c r="L13" s="3">
        <v>45651</v>
      </c>
      <c r="M13" t="s">
        <v>48</v>
      </c>
      <c r="N13" s="4">
        <v>14</v>
      </c>
      <c r="O13" t="str" cm="1">
        <f t="array" ref="O1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13" t="s">
        <v>81</v>
      </c>
      <c r="Q13" t="s">
        <v>2929</v>
      </c>
      <c r="R13" s="5">
        <v>46.39</v>
      </c>
      <c r="S13" s="5"/>
    </row>
    <row r="14" spans="1:19" x14ac:dyDescent="0.25">
      <c r="A14" t="s">
        <v>82</v>
      </c>
      <c r="B14" t="s">
        <v>83</v>
      </c>
      <c r="C14" t="s">
        <v>84</v>
      </c>
      <c r="D14" t="s">
        <v>30</v>
      </c>
      <c r="E14" t="s">
        <v>85</v>
      </c>
      <c r="F14">
        <v>69</v>
      </c>
      <c r="G14" t="s">
        <v>86</v>
      </c>
      <c r="H14">
        <v>1</v>
      </c>
      <c r="I14" t="s">
        <v>87</v>
      </c>
      <c r="J14">
        <v>8.67</v>
      </c>
      <c r="K14" t="s">
        <v>41</v>
      </c>
      <c r="L14" s="3">
        <v>45109</v>
      </c>
      <c r="M14" t="s">
        <v>34</v>
      </c>
      <c r="N14" s="4">
        <v>69</v>
      </c>
      <c r="O14" t="str" cm="1">
        <f t="array" ref="O1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4" t="s">
        <v>1151</v>
      </c>
      <c r="Q14" t="s">
        <v>2927</v>
      </c>
      <c r="R14" s="5">
        <v>16.21</v>
      </c>
      <c r="S14" s="5">
        <v>8.67</v>
      </c>
    </row>
    <row r="15" spans="1:19" x14ac:dyDescent="0.25">
      <c r="A15" t="s">
        <v>88</v>
      </c>
      <c r="B15" t="s">
        <v>89</v>
      </c>
      <c r="C15" t="s">
        <v>90</v>
      </c>
      <c r="D15" t="s">
        <v>51</v>
      </c>
      <c r="E15" t="s">
        <v>34</v>
      </c>
      <c r="F15">
        <v>60</v>
      </c>
      <c r="G15" t="s">
        <v>91</v>
      </c>
      <c r="H15">
        <v>1</v>
      </c>
      <c r="I15" s="2">
        <v>8.39</v>
      </c>
      <c r="J15" s="2">
        <v>2.65</v>
      </c>
      <c r="K15" t="s">
        <v>41</v>
      </c>
      <c r="L15" s="3">
        <v>45037</v>
      </c>
      <c r="M15" t="s">
        <v>34</v>
      </c>
      <c r="N15" s="4">
        <v>60</v>
      </c>
      <c r="O15" t="str" cm="1">
        <f t="array" ref="O1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5" t="s">
        <v>91</v>
      </c>
      <c r="Q15" t="s">
        <v>2926</v>
      </c>
      <c r="R15" s="5">
        <v>8.39</v>
      </c>
      <c r="S15" s="5">
        <v>2.65</v>
      </c>
    </row>
    <row r="16" spans="1:19" x14ac:dyDescent="0.25">
      <c r="A16" t="s">
        <v>92</v>
      </c>
      <c r="B16" t="s">
        <v>93</v>
      </c>
      <c r="C16" t="s">
        <v>94</v>
      </c>
      <c r="D16" t="s">
        <v>16</v>
      </c>
      <c r="E16" t="s">
        <v>31</v>
      </c>
      <c r="F16">
        <v>54</v>
      </c>
      <c r="G16" t="s">
        <v>95</v>
      </c>
      <c r="H16">
        <v>1</v>
      </c>
      <c r="I16" t="s">
        <v>96</v>
      </c>
      <c r="J16">
        <v>1.43</v>
      </c>
      <c r="K16" t="s">
        <v>19</v>
      </c>
      <c r="L16" s="3">
        <v>45248</v>
      </c>
      <c r="M16" t="s">
        <v>34</v>
      </c>
      <c r="N16" s="4">
        <v>54</v>
      </c>
      <c r="O16" t="str" cm="1">
        <f t="array" ref="O1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6" t="s">
        <v>95</v>
      </c>
      <c r="Q16" t="s">
        <v>2927</v>
      </c>
      <c r="R16" s="5">
        <v>8.2799999999999994</v>
      </c>
      <c r="S16" s="5">
        <v>1.43</v>
      </c>
    </row>
    <row r="17" spans="1:19" x14ac:dyDescent="0.25">
      <c r="A17" t="s">
        <v>97</v>
      </c>
      <c r="B17" t="s">
        <v>98</v>
      </c>
      <c r="C17" t="s">
        <v>99</v>
      </c>
      <c r="D17" t="s">
        <v>30</v>
      </c>
      <c r="E17" t="s">
        <v>85</v>
      </c>
      <c r="F17">
        <v>40</v>
      </c>
      <c r="G17" t="s">
        <v>100</v>
      </c>
      <c r="H17">
        <v>1</v>
      </c>
      <c r="I17" s="2">
        <v>18.440000000000001</v>
      </c>
      <c r="J17">
        <v>7.13</v>
      </c>
      <c r="K17" t="s">
        <v>19</v>
      </c>
      <c r="L17" s="3">
        <v>44942</v>
      </c>
      <c r="M17" t="s">
        <v>34</v>
      </c>
      <c r="N17" s="4">
        <v>40</v>
      </c>
      <c r="O17" t="str" cm="1">
        <f t="array" ref="O1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7" t="s">
        <v>100</v>
      </c>
      <c r="Q17" t="s">
        <v>2926</v>
      </c>
      <c r="R17" s="5">
        <v>18.440000000000001</v>
      </c>
      <c r="S17" s="5">
        <v>7.13</v>
      </c>
    </row>
    <row r="18" spans="1:19" x14ac:dyDescent="0.25">
      <c r="A18" t="s">
        <v>101</v>
      </c>
      <c r="B18" t="s">
        <v>102</v>
      </c>
      <c r="C18" t="s">
        <v>103</v>
      </c>
      <c r="D18" t="s">
        <v>30</v>
      </c>
      <c r="E18" t="s">
        <v>38</v>
      </c>
      <c r="F18">
        <v>65</v>
      </c>
      <c r="G18" t="s">
        <v>104</v>
      </c>
      <c r="H18">
        <v>1</v>
      </c>
      <c r="I18">
        <v>16.02</v>
      </c>
      <c r="J18">
        <v>8.09</v>
      </c>
      <c r="K18" t="s">
        <v>41</v>
      </c>
      <c r="L18" s="3">
        <v>45359</v>
      </c>
      <c r="M18" t="s">
        <v>34</v>
      </c>
      <c r="N18" s="4">
        <v>65</v>
      </c>
      <c r="O18" t="str" cm="1">
        <f t="array" ref="O1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8" t="s">
        <v>104</v>
      </c>
      <c r="Q18" t="s">
        <v>2927</v>
      </c>
      <c r="R18" s="5">
        <v>16.02</v>
      </c>
      <c r="S18" s="5">
        <v>8.09</v>
      </c>
    </row>
    <row r="19" spans="1:19" x14ac:dyDescent="0.25">
      <c r="A19" t="s">
        <v>105</v>
      </c>
      <c r="B19" t="s">
        <v>106</v>
      </c>
      <c r="C19" t="s">
        <v>107</v>
      </c>
      <c r="D19" t="s">
        <v>51</v>
      </c>
      <c r="E19" t="s">
        <v>38</v>
      </c>
      <c r="F19">
        <v>21</v>
      </c>
      <c r="G19" t="s">
        <v>108</v>
      </c>
      <c r="H19">
        <v>2</v>
      </c>
      <c r="I19">
        <v>54.5</v>
      </c>
      <c r="J19">
        <v>28.76</v>
      </c>
      <c r="K19" t="s">
        <v>41</v>
      </c>
      <c r="L19" s="3">
        <v>45441</v>
      </c>
      <c r="M19" t="s">
        <v>34</v>
      </c>
      <c r="N19" s="4">
        <v>21</v>
      </c>
      <c r="O19" t="str" cm="1">
        <f t="array" ref="O1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19" t="s">
        <v>108</v>
      </c>
      <c r="Q19" t="s">
        <v>2927</v>
      </c>
      <c r="R19" s="5">
        <v>54.5</v>
      </c>
      <c r="S19" s="5">
        <v>28.76</v>
      </c>
    </row>
    <row r="20" spans="1:19" x14ac:dyDescent="0.25">
      <c r="A20" t="s">
        <v>109</v>
      </c>
      <c r="B20" t="s">
        <v>110</v>
      </c>
      <c r="C20" t="s">
        <v>111</v>
      </c>
      <c r="D20" t="s">
        <v>51</v>
      </c>
      <c r="E20" t="s">
        <v>31</v>
      </c>
      <c r="F20">
        <v>19</v>
      </c>
      <c r="G20" t="s">
        <v>112</v>
      </c>
      <c r="H20">
        <v>-2</v>
      </c>
      <c r="I20" s="2">
        <v>-13.81</v>
      </c>
      <c r="J20" t="s">
        <v>113</v>
      </c>
      <c r="K20" t="s">
        <v>41</v>
      </c>
      <c r="L20" s="3">
        <v>45043</v>
      </c>
      <c r="M20" t="s">
        <v>34</v>
      </c>
      <c r="N20" s="4">
        <v>19</v>
      </c>
      <c r="O20" t="str" cm="1">
        <f t="array" ref="O2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0" t="s">
        <v>112</v>
      </c>
      <c r="Q20" t="s">
        <v>2926</v>
      </c>
      <c r="R20" s="5">
        <v>-13.81</v>
      </c>
      <c r="S20" s="5">
        <v>-19.809999999999999</v>
      </c>
    </row>
    <row r="21" spans="1:19" x14ac:dyDescent="0.25">
      <c r="A21" t="s">
        <v>114</v>
      </c>
      <c r="B21" t="s">
        <v>89</v>
      </c>
      <c r="C21" s="3">
        <v>45237</v>
      </c>
      <c r="D21" t="s">
        <v>30</v>
      </c>
      <c r="E21" t="s">
        <v>85</v>
      </c>
      <c r="F21">
        <v>66</v>
      </c>
      <c r="G21" t="s">
        <v>115</v>
      </c>
      <c r="H21">
        <v>3</v>
      </c>
      <c r="I21">
        <v>69.53</v>
      </c>
      <c r="J21" t="s">
        <v>116</v>
      </c>
      <c r="K21" t="s">
        <v>41</v>
      </c>
      <c r="L21" s="3">
        <v>45237</v>
      </c>
      <c r="M21" t="s">
        <v>34</v>
      </c>
      <c r="N21" s="4">
        <v>66</v>
      </c>
      <c r="O21" t="str" cm="1">
        <f t="array" ref="O2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1" t="s">
        <v>115</v>
      </c>
      <c r="Q21" t="s">
        <v>2927</v>
      </c>
      <c r="R21" s="5">
        <v>69.53</v>
      </c>
      <c r="S21" s="5">
        <v>29.48</v>
      </c>
    </row>
    <row r="22" spans="1:19" x14ac:dyDescent="0.25">
      <c r="A22" t="s">
        <v>117</v>
      </c>
      <c r="B22" t="s">
        <v>118</v>
      </c>
      <c r="C22" s="1">
        <v>45421</v>
      </c>
      <c r="D22" t="s">
        <v>24</v>
      </c>
      <c r="E22" t="s">
        <v>34</v>
      </c>
      <c r="F22">
        <v>50</v>
      </c>
      <c r="G22" t="s">
        <v>119</v>
      </c>
      <c r="H22">
        <v>1</v>
      </c>
      <c r="I22">
        <v>23.52</v>
      </c>
      <c r="J22">
        <v>12.51</v>
      </c>
      <c r="K22" t="s">
        <v>19</v>
      </c>
      <c r="L22" s="3">
        <v>45421</v>
      </c>
      <c r="M22" t="s">
        <v>34</v>
      </c>
      <c r="N22" s="4">
        <v>50</v>
      </c>
      <c r="O22" t="str" cm="1">
        <f t="array" ref="O2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2" t="s">
        <v>119</v>
      </c>
      <c r="Q22" t="s">
        <v>2925</v>
      </c>
      <c r="R22" s="5">
        <v>23.52</v>
      </c>
      <c r="S22" s="5">
        <v>12.51</v>
      </c>
    </row>
    <row r="23" spans="1:19" x14ac:dyDescent="0.25">
      <c r="A23" t="s">
        <v>120</v>
      </c>
      <c r="B23" t="s">
        <v>121</v>
      </c>
      <c r="C23" s="1">
        <v>44999</v>
      </c>
      <c r="D23" t="s">
        <v>24</v>
      </c>
      <c r="E23" t="s">
        <v>65</v>
      </c>
      <c r="F23">
        <v>71</v>
      </c>
      <c r="G23" t="s">
        <v>122</v>
      </c>
      <c r="H23">
        <v>2</v>
      </c>
      <c r="I23">
        <v>20.260000000000002</v>
      </c>
      <c r="J23">
        <v>5.4</v>
      </c>
      <c r="K23" t="s">
        <v>19</v>
      </c>
      <c r="L23" s="3">
        <v>44999</v>
      </c>
      <c r="M23" t="s">
        <v>48</v>
      </c>
      <c r="N23" s="4">
        <v>71</v>
      </c>
      <c r="O23" t="str" cm="1">
        <f t="array" ref="O2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3" t="s">
        <v>122</v>
      </c>
      <c r="Q23" t="s">
        <v>2929</v>
      </c>
      <c r="R23" s="5">
        <v>20.260000000000002</v>
      </c>
      <c r="S23" s="5">
        <v>5.4</v>
      </c>
    </row>
    <row r="24" spans="1:19" x14ac:dyDescent="0.25">
      <c r="A24" t="s">
        <v>123</v>
      </c>
      <c r="B24" t="s">
        <v>124</v>
      </c>
      <c r="C24" t="s">
        <v>125</v>
      </c>
      <c r="D24" t="s">
        <v>16</v>
      </c>
      <c r="E24" t="s">
        <v>60</v>
      </c>
      <c r="F24">
        <v>18</v>
      </c>
      <c r="G24" t="s">
        <v>126</v>
      </c>
      <c r="H24">
        <v>1</v>
      </c>
      <c r="I24">
        <v>4.92</v>
      </c>
      <c r="J24">
        <v>2.78</v>
      </c>
      <c r="K24" t="s">
        <v>41</v>
      </c>
      <c r="L24" s="3">
        <v>45452</v>
      </c>
      <c r="M24" t="s">
        <v>48</v>
      </c>
      <c r="N24" s="4">
        <v>18</v>
      </c>
      <c r="O24" t="str" cm="1">
        <f t="array" ref="O2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4" t="s">
        <v>126</v>
      </c>
      <c r="Q24" t="s">
        <v>2930</v>
      </c>
      <c r="R24" s="5">
        <v>4.92</v>
      </c>
      <c r="S24" s="5">
        <v>2.78</v>
      </c>
    </row>
    <row r="25" spans="1:19" x14ac:dyDescent="0.25">
      <c r="A25" t="s">
        <v>127</v>
      </c>
      <c r="B25" t="s">
        <v>128</v>
      </c>
      <c r="C25" s="1">
        <v>45410</v>
      </c>
      <c r="D25" t="s">
        <v>129</v>
      </c>
      <c r="E25" t="s">
        <v>31</v>
      </c>
      <c r="F25">
        <v>44</v>
      </c>
      <c r="G25" t="s">
        <v>130</v>
      </c>
      <c r="H25">
        <v>2</v>
      </c>
      <c r="I25">
        <v>15.32</v>
      </c>
      <c r="J25">
        <v>6.15</v>
      </c>
      <c r="K25" t="s">
        <v>19</v>
      </c>
      <c r="L25" s="3">
        <v>45410</v>
      </c>
      <c r="M25" t="s">
        <v>34</v>
      </c>
      <c r="N25" s="4">
        <v>44</v>
      </c>
      <c r="O25" t="str" cm="1">
        <f t="array" ref="O2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5" t="s">
        <v>130</v>
      </c>
      <c r="Q25" t="s">
        <v>2926</v>
      </c>
      <c r="R25" s="5">
        <v>15.32</v>
      </c>
      <c r="S25" s="5">
        <v>6.15</v>
      </c>
    </row>
    <row r="26" spans="1:19" x14ac:dyDescent="0.25">
      <c r="A26" t="s">
        <v>131</v>
      </c>
      <c r="B26" t="s">
        <v>22</v>
      </c>
      <c r="C26" s="3">
        <v>45476</v>
      </c>
      <c r="D26" t="s">
        <v>30</v>
      </c>
      <c r="E26" t="s">
        <v>132</v>
      </c>
      <c r="F26">
        <v>47</v>
      </c>
      <c r="G26" t="s">
        <v>133</v>
      </c>
      <c r="H26">
        <v>3</v>
      </c>
      <c r="I26" t="s">
        <v>134</v>
      </c>
      <c r="J26">
        <v>31.93</v>
      </c>
      <c r="K26" t="s">
        <v>19</v>
      </c>
      <c r="L26" s="3">
        <v>45476</v>
      </c>
      <c r="M26" t="s">
        <v>132</v>
      </c>
      <c r="N26" s="4">
        <v>47</v>
      </c>
      <c r="O26" t="str" cm="1">
        <f t="array" ref="O2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6" t="s">
        <v>133</v>
      </c>
      <c r="Q26" t="s">
        <v>2931</v>
      </c>
      <c r="R26" s="5">
        <v>99.2</v>
      </c>
      <c r="S26" s="5">
        <v>31.93</v>
      </c>
    </row>
    <row r="27" spans="1:19" x14ac:dyDescent="0.25">
      <c r="A27" t="s">
        <v>135</v>
      </c>
      <c r="B27" t="s">
        <v>136</v>
      </c>
      <c r="C27" s="1">
        <v>45607</v>
      </c>
      <c r="D27" t="s">
        <v>24</v>
      </c>
      <c r="E27" t="s">
        <v>65</v>
      </c>
      <c r="F27">
        <v>74</v>
      </c>
      <c r="G27" t="s">
        <v>137</v>
      </c>
      <c r="H27">
        <v>1</v>
      </c>
      <c r="I27" t="s">
        <v>138</v>
      </c>
      <c r="J27">
        <v>7.69</v>
      </c>
      <c r="K27" t="s">
        <v>19</v>
      </c>
      <c r="L27" s="3">
        <v>45607</v>
      </c>
      <c r="M27" t="s">
        <v>48</v>
      </c>
      <c r="N27" s="4">
        <v>74</v>
      </c>
      <c r="O27" t="str" cm="1">
        <f t="array" ref="O2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7" t="s">
        <v>137</v>
      </c>
      <c r="Q27" t="s">
        <v>2927</v>
      </c>
      <c r="R27" s="5">
        <v>15.43</v>
      </c>
      <c r="S27" s="5">
        <v>7.69</v>
      </c>
    </row>
    <row r="28" spans="1:19" x14ac:dyDescent="0.25">
      <c r="A28" t="s">
        <v>139</v>
      </c>
      <c r="B28" t="s">
        <v>128</v>
      </c>
      <c r="C28" t="s">
        <v>140</v>
      </c>
      <c r="D28" t="s">
        <v>51</v>
      </c>
      <c r="E28" t="s">
        <v>48</v>
      </c>
      <c r="F28">
        <v>44</v>
      </c>
      <c r="G28" t="s">
        <v>141</v>
      </c>
      <c r="H28">
        <v>1</v>
      </c>
      <c r="I28">
        <v>31.02</v>
      </c>
      <c r="J28">
        <v>11.15</v>
      </c>
      <c r="K28" t="s">
        <v>19</v>
      </c>
      <c r="L28" s="3">
        <v>45111</v>
      </c>
      <c r="M28" t="s">
        <v>48</v>
      </c>
      <c r="N28" s="4">
        <v>44</v>
      </c>
      <c r="O28" t="str" cm="1">
        <f t="array" ref="O2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8" t="s">
        <v>141</v>
      </c>
      <c r="Q28" t="s">
        <v>2925</v>
      </c>
      <c r="R28" s="5">
        <v>31.02</v>
      </c>
      <c r="S28" s="5">
        <v>11.15</v>
      </c>
    </row>
    <row r="29" spans="1:19" x14ac:dyDescent="0.25">
      <c r="A29" t="s">
        <v>142</v>
      </c>
      <c r="B29" t="s">
        <v>143</v>
      </c>
      <c r="C29" t="s">
        <v>144</v>
      </c>
      <c r="D29" t="s">
        <v>16</v>
      </c>
      <c r="E29" t="s">
        <v>38</v>
      </c>
      <c r="F29">
        <v>46</v>
      </c>
      <c r="G29" t="s">
        <v>145</v>
      </c>
      <c r="H29">
        <v>3</v>
      </c>
      <c r="I29">
        <v>48.76</v>
      </c>
      <c r="J29">
        <v>27.2</v>
      </c>
      <c r="K29" t="s">
        <v>41</v>
      </c>
      <c r="L29" s="3">
        <v>45621</v>
      </c>
      <c r="M29" t="s">
        <v>34</v>
      </c>
      <c r="N29" s="4">
        <v>46</v>
      </c>
      <c r="O29" t="str" cm="1">
        <f t="array" ref="O2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9" t="s">
        <v>145</v>
      </c>
      <c r="Q29" t="s">
        <v>2927</v>
      </c>
      <c r="R29" s="5">
        <v>48.76</v>
      </c>
      <c r="S29" s="5">
        <v>27.2</v>
      </c>
    </row>
    <row r="30" spans="1:19" x14ac:dyDescent="0.25">
      <c r="A30" t="s">
        <v>146</v>
      </c>
      <c r="B30" t="s">
        <v>147</v>
      </c>
      <c r="C30" s="1">
        <v>45424</v>
      </c>
      <c r="D30" t="s">
        <v>51</v>
      </c>
      <c r="E30" t="s">
        <v>65</v>
      </c>
      <c r="F30">
        <v>43</v>
      </c>
      <c r="G30" t="s">
        <v>148</v>
      </c>
      <c r="H30">
        <v>4</v>
      </c>
      <c r="I30">
        <v>47.77</v>
      </c>
      <c r="J30">
        <v>29.42</v>
      </c>
      <c r="K30" t="s">
        <v>41</v>
      </c>
      <c r="L30" s="3">
        <v>45424</v>
      </c>
      <c r="M30" t="s">
        <v>48</v>
      </c>
      <c r="N30" s="4">
        <v>43</v>
      </c>
      <c r="O30" t="str" cm="1">
        <f t="array" ref="O3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0" t="s">
        <v>148</v>
      </c>
      <c r="Q30" t="s">
        <v>2925</v>
      </c>
      <c r="R30" s="5">
        <v>47.77</v>
      </c>
      <c r="S30" s="5">
        <v>29.42</v>
      </c>
    </row>
    <row r="31" spans="1:19" x14ac:dyDescent="0.25">
      <c r="A31" t="s">
        <v>149</v>
      </c>
      <c r="B31" t="s">
        <v>150</v>
      </c>
      <c r="C31" s="1">
        <v>44989</v>
      </c>
      <c r="D31" t="s">
        <v>16</v>
      </c>
      <c r="E31" t="s">
        <v>48</v>
      </c>
      <c r="F31">
        <v>48</v>
      </c>
      <c r="G31" t="s">
        <v>151</v>
      </c>
      <c r="H31">
        <v>1</v>
      </c>
      <c r="I31" t="s">
        <v>152</v>
      </c>
      <c r="J31">
        <v>4.71</v>
      </c>
      <c r="K31" t="s">
        <v>41</v>
      </c>
      <c r="L31" s="3">
        <v>44989</v>
      </c>
      <c r="M31" t="s">
        <v>48</v>
      </c>
      <c r="N31" s="4">
        <v>48</v>
      </c>
      <c r="O31" t="str" cm="1">
        <f t="array" ref="O3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1" t="s">
        <v>151</v>
      </c>
      <c r="Q31" t="s">
        <v>2929</v>
      </c>
      <c r="R31" s="5">
        <v>13.96</v>
      </c>
      <c r="S31" s="5">
        <v>4.71</v>
      </c>
    </row>
    <row r="32" spans="1:19" x14ac:dyDescent="0.25">
      <c r="A32" t="s">
        <v>153</v>
      </c>
      <c r="B32" t="s">
        <v>154</v>
      </c>
      <c r="C32" s="1">
        <v>45185</v>
      </c>
      <c r="D32" t="s">
        <v>51</v>
      </c>
      <c r="E32" t="s">
        <v>31</v>
      </c>
      <c r="F32">
        <v>44</v>
      </c>
      <c r="G32" t="s">
        <v>155</v>
      </c>
      <c r="H32">
        <v>1</v>
      </c>
      <c r="I32">
        <v>44.26</v>
      </c>
      <c r="J32">
        <v>29.12</v>
      </c>
      <c r="K32" t="s">
        <v>19</v>
      </c>
      <c r="L32" s="3">
        <v>45185</v>
      </c>
      <c r="M32" t="s">
        <v>34</v>
      </c>
      <c r="N32" s="4">
        <v>44</v>
      </c>
      <c r="O32" t="str" cm="1">
        <f t="array" ref="O3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2" t="s">
        <v>155</v>
      </c>
      <c r="Q32" t="s">
        <v>2927</v>
      </c>
      <c r="R32" s="5">
        <v>44.26</v>
      </c>
      <c r="S32" s="5">
        <v>29.12</v>
      </c>
    </row>
    <row r="33" spans="1:19" x14ac:dyDescent="0.25">
      <c r="A33" t="s">
        <v>156</v>
      </c>
      <c r="B33" t="s">
        <v>157</v>
      </c>
      <c r="C33" s="1">
        <v>45489</v>
      </c>
      <c r="D33" t="s">
        <v>129</v>
      </c>
      <c r="E33" t="s">
        <v>60</v>
      </c>
      <c r="F33">
        <v>73</v>
      </c>
      <c r="G33" t="s">
        <v>158</v>
      </c>
      <c r="H33">
        <v>1</v>
      </c>
      <c r="I33" s="2">
        <v>13.32</v>
      </c>
      <c r="J33">
        <v>4.92</v>
      </c>
      <c r="K33" t="s">
        <v>41</v>
      </c>
      <c r="L33" s="3">
        <v>45489</v>
      </c>
      <c r="M33" t="s">
        <v>48</v>
      </c>
      <c r="N33" s="4">
        <v>73</v>
      </c>
      <c r="O33" t="str" cm="1">
        <f t="array" ref="O3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3" t="s">
        <v>158</v>
      </c>
      <c r="Q33" t="s">
        <v>2926</v>
      </c>
      <c r="R33" s="5">
        <v>13.32</v>
      </c>
      <c r="S33" s="5">
        <v>4.92</v>
      </c>
    </row>
    <row r="34" spans="1:19" x14ac:dyDescent="0.25">
      <c r="A34" t="s">
        <v>159</v>
      </c>
      <c r="B34" t="s">
        <v>160</v>
      </c>
      <c r="C34" t="s">
        <v>161</v>
      </c>
      <c r="D34" t="s">
        <v>51</v>
      </c>
      <c r="E34" t="s">
        <v>25</v>
      </c>
      <c r="F34">
        <v>31</v>
      </c>
      <c r="G34" t="s">
        <v>162</v>
      </c>
      <c r="H34">
        <v>1</v>
      </c>
      <c r="I34" t="s">
        <v>163</v>
      </c>
      <c r="J34">
        <v>20.079999999999998</v>
      </c>
      <c r="K34" t="s">
        <v>41</v>
      </c>
      <c r="L34" s="3">
        <v>45110</v>
      </c>
      <c r="M34" t="s">
        <v>20</v>
      </c>
      <c r="N34" s="4">
        <v>31</v>
      </c>
      <c r="O34" t="str" cm="1">
        <f t="array" ref="O3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4" t="s">
        <v>162</v>
      </c>
      <c r="Q34" t="s">
        <v>2926</v>
      </c>
      <c r="R34" s="5">
        <v>36.69</v>
      </c>
      <c r="S34" s="5">
        <v>20.079999999999998</v>
      </c>
    </row>
    <row r="35" spans="1:19" x14ac:dyDescent="0.25">
      <c r="A35" t="s">
        <v>164</v>
      </c>
      <c r="B35" t="s">
        <v>165</v>
      </c>
      <c r="C35" s="1">
        <v>44960</v>
      </c>
      <c r="D35" t="s">
        <v>30</v>
      </c>
      <c r="E35" t="s">
        <v>38</v>
      </c>
      <c r="F35">
        <v>34</v>
      </c>
      <c r="G35" t="s">
        <v>166</v>
      </c>
      <c r="H35">
        <v>1</v>
      </c>
      <c r="I35" s="2">
        <v>18.940000000000001</v>
      </c>
      <c r="J35">
        <v>9.7799999999999994</v>
      </c>
      <c r="K35" t="s">
        <v>19</v>
      </c>
      <c r="L35" s="3">
        <v>44960</v>
      </c>
      <c r="M35" t="s">
        <v>34</v>
      </c>
      <c r="N35" s="4">
        <v>34</v>
      </c>
      <c r="O35" t="str" cm="1">
        <f t="array" ref="O3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5" t="s">
        <v>166</v>
      </c>
      <c r="Q35" t="s">
        <v>2926</v>
      </c>
      <c r="R35" s="5">
        <v>18.940000000000001</v>
      </c>
      <c r="S35" s="5">
        <v>9.7799999999999994</v>
      </c>
    </row>
    <row r="36" spans="1:19" x14ac:dyDescent="0.25">
      <c r="A36" t="s">
        <v>167</v>
      </c>
      <c r="B36" t="s">
        <v>168</v>
      </c>
      <c r="C36" t="s">
        <v>169</v>
      </c>
      <c r="D36" t="s">
        <v>129</v>
      </c>
      <c r="E36" t="s">
        <v>31</v>
      </c>
      <c r="F36">
        <v>14</v>
      </c>
      <c r="G36" t="s">
        <v>170</v>
      </c>
      <c r="H36">
        <v>1</v>
      </c>
      <c r="I36">
        <v>8</v>
      </c>
      <c r="J36">
        <v>2.86</v>
      </c>
      <c r="K36" t="s">
        <v>19</v>
      </c>
      <c r="L36" s="3">
        <v>45285</v>
      </c>
      <c r="M36" t="s">
        <v>34</v>
      </c>
      <c r="N36" s="4">
        <v>14</v>
      </c>
      <c r="O36" t="str" cm="1">
        <f t="array" ref="O3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6" t="s">
        <v>170</v>
      </c>
      <c r="Q36" t="s">
        <v>2932</v>
      </c>
      <c r="R36" s="5">
        <v>8</v>
      </c>
      <c r="S36" s="5">
        <v>2.86</v>
      </c>
    </row>
    <row r="37" spans="1:19" x14ac:dyDescent="0.25">
      <c r="A37" t="s">
        <v>171</v>
      </c>
      <c r="B37" t="s">
        <v>172</v>
      </c>
      <c r="C37" s="1">
        <v>45647</v>
      </c>
      <c r="D37" t="s">
        <v>51</v>
      </c>
      <c r="E37" t="s">
        <v>48</v>
      </c>
      <c r="F37" t="s">
        <v>173</v>
      </c>
      <c r="G37" t="s">
        <v>174</v>
      </c>
      <c r="H37">
        <v>3</v>
      </c>
      <c r="I37" s="2">
        <v>210.48</v>
      </c>
      <c r="K37" t="s">
        <v>19</v>
      </c>
      <c r="L37" s="3">
        <v>45647</v>
      </c>
      <c r="M37" t="s">
        <v>48</v>
      </c>
      <c r="N37" s="4">
        <v>30</v>
      </c>
      <c r="O37" t="str" cm="1">
        <f t="array" ref="O3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7" t="s">
        <v>174</v>
      </c>
      <c r="Q37" t="s">
        <v>2927</v>
      </c>
      <c r="R37" s="5">
        <v>210.48</v>
      </c>
      <c r="S37" s="5"/>
    </row>
    <row r="38" spans="1:19" x14ac:dyDescent="0.25">
      <c r="A38" t="s">
        <v>175</v>
      </c>
      <c r="B38" t="s">
        <v>176</v>
      </c>
      <c r="C38" t="s">
        <v>177</v>
      </c>
      <c r="D38" t="s">
        <v>51</v>
      </c>
      <c r="E38" t="s">
        <v>34</v>
      </c>
      <c r="F38">
        <v>38</v>
      </c>
      <c r="G38" t="s">
        <v>178</v>
      </c>
      <c r="H38">
        <v>3</v>
      </c>
      <c r="I38">
        <v>124.14</v>
      </c>
      <c r="J38">
        <v>47.04</v>
      </c>
      <c r="K38" t="s">
        <v>41</v>
      </c>
      <c r="L38" s="3">
        <v>45235</v>
      </c>
      <c r="M38" t="s">
        <v>34</v>
      </c>
      <c r="N38" s="4">
        <v>38</v>
      </c>
      <c r="O38" t="str" cm="1">
        <f t="array" ref="O3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8" t="s">
        <v>178</v>
      </c>
      <c r="Q38" t="s">
        <v>2926</v>
      </c>
      <c r="R38" s="5">
        <v>124.14</v>
      </c>
      <c r="S38" s="5">
        <v>47.04</v>
      </c>
    </row>
    <row r="39" spans="1:19" x14ac:dyDescent="0.25">
      <c r="A39" t="s">
        <v>179</v>
      </c>
      <c r="B39" t="s">
        <v>180</v>
      </c>
      <c r="C39" t="s">
        <v>181</v>
      </c>
      <c r="D39" t="s">
        <v>129</v>
      </c>
      <c r="E39" t="s">
        <v>38</v>
      </c>
      <c r="F39">
        <v>26</v>
      </c>
      <c r="G39" t="s">
        <v>182</v>
      </c>
      <c r="H39">
        <v>2</v>
      </c>
      <c r="I39" t="s">
        <v>183</v>
      </c>
      <c r="J39">
        <v>8.86</v>
      </c>
      <c r="K39" t="s">
        <v>41</v>
      </c>
      <c r="L39" s="3">
        <v>45516</v>
      </c>
      <c r="M39" t="s">
        <v>34</v>
      </c>
      <c r="N39" s="4">
        <v>26</v>
      </c>
      <c r="O39" t="str" cm="1">
        <f t="array" ref="O3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9" t="s">
        <v>182</v>
      </c>
      <c r="Q39" t="s">
        <v>2927</v>
      </c>
      <c r="R39" s="5">
        <v>37.33</v>
      </c>
      <c r="S39" s="5">
        <v>8.86</v>
      </c>
    </row>
    <row r="40" spans="1:19" x14ac:dyDescent="0.25">
      <c r="A40" t="s">
        <v>184</v>
      </c>
      <c r="B40" t="s">
        <v>89</v>
      </c>
      <c r="C40" t="s">
        <v>185</v>
      </c>
      <c r="D40" t="s">
        <v>16</v>
      </c>
      <c r="E40" t="s">
        <v>31</v>
      </c>
      <c r="F40">
        <v>33</v>
      </c>
      <c r="G40" t="s">
        <v>186</v>
      </c>
      <c r="H40">
        <v>1</v>
      </c>
      <c r="I40" s="2">
        <v>4.84</v>
      </c>
      <c r="J40">
        <v>2.2000000000000002</v>
      </c>
      <c r="K40" t="s">
        <v>19</v>
      </c>
      <c r="L40" s="3">
        <v>45475</v>
      </c>
      <c r="M40" t="s">
        <v>34</v>
      </c>
      <c r="N40" s="4">
        <v>33</v>
      </c>
      <c r="O40" t="str" cm="1">
        <f t="array" ref="O4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0" t="s">
        <v>186</v>
      </c>
      <c r="Q40" t="s">
        <v>2926</v>
      </c>
      <c r="R40" s="5">
        <v>4.84</v>
      </c>
      <c r="S40" s="5">
        <v>2.2000000000000002</v>
      </c>
    </row>
    <row r="41" spans="1:19" x14ac:dyDescent="0.25">
      <c r="A41" t="s">
        <v>187</v>
      </c>
      <c r="B41" t="s">
        <v>188</v>
      </c>
      <c r="C41" s="3">
        <v>44985</v>
      </c>
      <c r="D41" t="s">
        <v>51</v>
      </c>
      <c r="E41" t="s">
        <v>38</v>
      </c>
      <c r="F41">
        <v>44</v>
      </c>
      <c r="G41" t="s">
        <v>189</v>
      </c>
      <c r="H41">
        <v>2</v>
      </c>
      <c r="I41">
        <v>94.83</v>
      </c>
      <c r="J41" s="2">
        <v>46.75</v>
      </c>
      <c r="K41" t="s">
        <v>19</v>
      </c>
      <c r="L41" s="3">
        <v>44985</v>
      </c>
      <c r="M41" t="s">
        <v>34</v>
      </c>
      <c r="N41" s="4">
        <v>44</v>
      </c>
      <c r="O41" t="str" cm="1">
        <f t="array" ref="O4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1" t="s">
        <v>189</v>
      </c>
      <c r="Q41" t="s">
        <v>2927</v>
      </c>
      <c r="R41" s="5">
        <v>94.83</v>
      </c>
      <c r="S41" s="5">
        <v>46.75</v>
      </c>
    </row>
    <row r="42" spans="1:19" x14ac:dyDescent="0.25">
      <c r="A42" t="s">
        <v>190</v>
      </c>
      <c r="B42" t="s">
        <v>191</v>
      </c>
      <c r="C42" s="1">
        <v>44955</v>
      </c>
      <c r="D42" t="s">
        <v>30</v>
      </c>
      <c r="E42" t="s">
        <v>45</v>
      </c>
      <c r="F42">
        <v>57</v>
      </c>
      <c r="G42" t="s">
        <v>192</v>
      </c>
      <c r="H42">
        <v>2</v>
      </c>
      <c r="I42">
        <v>26.02</v>
      </c>
      <c r="J42">
        <v>7.22</v>
      </c>
      <c r="K42" t="s">
        <v>19</v>
      </c>
      <c r="L42" s="3">
        <v>44955</v>
      </c>
      <c r="M42" t="s">
        <v>48</v>
      </c>
      <c r="N42" s="4">
        <v>57</v>
      </c>
      <c r="O42" t="str" cm="1">
        <f t="array" ref="O4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2" t="s">
        <v>192</v>
      </c>
      <c r="Q42" t="s">
        <v>2929</v>
      </c>
      <c r="R42" s="5">
        <v>26.02</v>
      </c>
      <c r="S42" s="5">
        <v>7.22</v>
      </c>
    </row>
    <row r="43" spans="1:19" x14ac:dyDescent="0.25">
      <c r="A43" t="s">
        <v>193</v>
      </c>
      <c r="B43" t="s">
        <v>194</v>
      </c>
      <c r="C43" t="s">
        <v>195</v>
      </c>
      <c r="D43" t="s">
        <v>51</v>
      </c>
      <c r="E43" t="s">
        <v>25</v>
      </c>
      <c r="F43">
        <v>75</v>
      </c>
      <c r="G43" t="s">
        <v>196</v>
      </c>
      <c r="H43">
        <v>1</v>
      </c>
      <c r="I43" s="2">
        <v>40.200000000000003</v>
      </c>
      <c r="J43" s="2">
        <v>17.03</v>
      </c>
      <c r="K43" t="s">
        <v>41</v>
      </c>
      <c r="L43" s="3">
        <v>44951</v>
      </c>
      <c r="M43" t="s">
        <v>20</v>
      </c>
      <c r="N43" s="4">
        <v>75</v>
      </c>
      <c r="O43" t="str" cm="1">
        <f t="array" ref="O4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3" t="s">
        <v>196</v>
      </c>
      <c r="Q43" t="s">
        <v>2929</v>
      </c>
      <c r="R43" s="5">
        <v>40.200000000000003</v>
      </c>
      <c r="S43" s="5">
        <v>17.03</v>
      </c>
    </row>
    <row r="44" spans="1:19" x14ac:dyDescent="0.25">
      <c r="A44" t="s">
        <v>197</v>
      </c>
      <c r="B44" t="s">
        <v>198</v>
      </c>
      <c r="C44" s="3">
        <v>45451</v>
      </c>
      <c r="D44" t="s">
        <v>129</v>
      </c>
      <c r="E44" t="s">
        <v>48</v>
      </c>
      <c r="F44">
        <v>20</v>
      </c>
      <c r="G44" t="s">
        <v>199</v>
      </c>
      <c r="H44">
        <v>1</v>
      </c>
      <c r="I44">
        <v>22.47</v>
      </c>
      <c r="J44" t="s">
        <v>200</v>
      </c>
      <c r="K44" t="s">
        <v>19</v>
      </c>
      <c r="L44" s="3">
        <v>45451</v>
      </c>
      <c r="M44" t="s">
        <v>48</v>
      </c>
      <c r="N44" s="4">
        <v>20</v>
      </c>
      <c r="O44" t="str" cm="1">
        <f t="array" ref="O4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44" t="s">
        <v>199</v>
      </c>
      <c r="Q44" t="s">
        <v>2928</v>
      </c>
      <c r="R44" s="5">
        <v>22.47</v>
      </c>
      <c r="S44" s="5">
        <v>10.57</v>
      </c>
    </row>
    <row r="45" spans="1:19" x14ac:dyDescent="0.25">
      <c r="A45" t="s">
        <v>201</v>
      </c>
      <c r="B45" t="s">
        <v>202</v>
      </c>
      <c r="C45" t="s">
        <v>203</v>
      </c>
      <c r="D45" t="s">
        <v>30</v>
      </c>
      <c r="E45" t="s">
        <v>65</v>
      </c>
      <c r="F45">
        <v>42</v>
      </c>
      <c r="G45" t="s">
        <v>204</v>
      </c>
      <c r="H45">
        <v>1</v>
      </c>
      <c r="I45" t="s">
        <v>205</v>
      </c>
      <c r="J45" s="2">
        <v>6.7</v>
      </c>
      <c r="K45" t="s">
        <v>19</v>
      </c>
      <c r="L45" s="3">
        <v>45311</v>
      </c>
      <c r="M45" t="s">
        <v>48</v>
      </c>
      <c r="N45" s="4">
        <v>42</v>
      </c>
      <c r="O45" t="str" cm="1">
        <f t="array" ref="O4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5" t="s">
        <v>204</v>
      </c>
      <c r="Q45" t="s">
        <v>2929</v>
      </c>
      <c r="R45" s="5"/>
      <c r="S45" s="5">
        <v>6.7</v>
      </c>
    </row>
    <row r="46" spans="1:19" x14ac:dyDescent="0.25">
      <c r="A46" t="s">
        <v>206</v>
      </c>
      <c r="B46" t="s">
        <v>207</v>
      </c>
      <c r="C46" t="s">
        <v>208</v>
      </c>
      <c r="D46" t="s">
        <v>24</v>
      </c>
      <c r="E46" t="s">
        <v>60</v>
      </c>
      <c r="F46">
        <v>19</v>
      </c>
      <c r="G46" t="s">
        <v>209</v>
      </c>
      <c r="H46">
        <v>5</v>
      </c>
      <c r="I46">
        <v>82.49</v>
      </c>
      <c r="J46" t="s">
        <v>210</v>
      </c>
      <c r="K46" t="s">
        <v>41</v>
      </c>
      <c r="L46" s="3">
        <v>45010</v>
      </c>
      <c r="M46" t="s">
        <v>48</v>
      </c>
      <c r="N46" s="4">
        <v>19</v>
      </c>
      <c r="O46" t="str" cm="1">
        <f t="array" ref="O4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46" t="s">
        <v>1019</v>
      </c>
      <c r="Q46" t="s">
        <v>2926</v>
      </c>
      <c r="R46" s="5">
        <v>82.49</v>
      </c>
      <c r="S46" s="5">
        <v>19.5</v>
      </c>
    </row>
    <row r="47" spans="1:19" x14ac:dyDescent="0.25">
      <c r="A47" t="s">
        <v>211</v>
      </c>
      <c r="B47" t="s">
        <v>28</v>
      </c>
      <c r="C47" t="s">
        <v>212</v>
      </c>
      <c r="D47" t="s">
        <v>30</v>
      </c>
      <c r="E47" t="s">
        <v>45</v>
      </c>
      <c r="F47">
        <v>50</v>
      </c>
      <c r="G47" t="s">
        <v>213</v>
      </c>
      <c r="H47">
        <v>1</v>
      </c>
      <c r="I47">
        <v>10.37</v>
      </c>
      <c r="J47">
        <v>5.19</v>
      </c>
      <c r="K47" t="s">
        <v>41</v>
      </c>
      <c r="L47" s="3">
        <v>45084</v>
      </c>
      <c r="M47" t="s">
        <v>48</v>
      </c>
      <c r="N47" s="4">
        <v>50</v>
      </c>
      <c r="O47" t="str" cm="1">
        <f t="array" ref="O4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7" t="s">
        <v>213</v>
      </c>
      <c r="Q47" t="s">
        <v>2925</v>
      </c>
      <c r="R47" s="5">
        <v>10.37</v>
      </c>
      <c r="S47" s="5">
        <v>5.19</v>
      </c>
    </row>
    <row r="48" spans="1:19" x14ac:dyDescent="0.25">
      <c r="A48" t="s">
        <v>214</v>
      </c>
      <c r="B48" t="s">
        <v>215</v>
      </c>
      <c r="C48" s="1">
        <v>45497</v>
      </c>
      <c r="D48" t="s">
        <v>24</v>
      </c>
      <c r="E48" t="s">
        <v>31</v>
      </c>
      <c r="F48">
        <v>68</v>
      </c>
      <c r="G48" t="s">
        <v>216</v>
      </c>
      <c r="H48">
        <v>2</v>
      </c>
      <c r="I48">
        <v>39.19</v>
      </c>
      <c r="J48" t="s">
        <v>217</v>
      </c>
      <c r="K48" t="s">
        <v>41</v>
      </c>
      <c r="L48" s="3">
        <v>45497</v>
      </c>
      <c r="M48" t="s">
        <v>34</v>
      </c>
      <c r="N48" s="4">
        <v>68</v>
      </c>
      <c r="O48" t="str" cm="1">
        <f t="array" ref="O4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8" t="s">
        <v>216</v>
      </c>
      <c r="Q48" t="s">
        <v>2927</v>
      </c>
      <c r="R48" s="5">
        <v>39.19</v>
      </c>
      <c r="S48" s="5">
        <v>11.5</v>
      </c>
    </row>
    <row r="49" spans="1:19" x14ac:dyDescent="0.25">
      <c r="A49" t="s">
        <v>218</v>
      </c>
      <c r="B49" t="s">
        <v>219</v>
      </c>
      <c r="C49" t="s">
        <v>220</v>
      </c>
      <c r="D49" t="s">
        <v>30</v>
      </c>
      <c r="E49" t="s">
        <v>45</v>
      </c>
      <c r="F49">
        <v>34</v>
      </c>
      <c r="G49" t="s">
        <v>221</v>
      </c>
      <c r="H49">
        <v>3</v>
      </c>
      <c r="J49" s="2">
        <v>49.38</v>
      </c>
      <c r="K49" t="s">
        <v>19</v>
      </c>
      <c r="L49" s="3">
        <v>45635</v>
      </c>
      <c r="M49" t="s">
        <v>48</v>
      </c>
      <c r="N49" s="4">
        <v>34</v>
      </c>
      <c r="O49" t="str" cm="1">
        <f t="array" ref="O4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9" t="s">
        <v>221</v>
      </c>
      <c r="Q49" t="s">
        <v>2929</v>
      </c>
      <c r="R49" s="5"/>
      <c r="S49" s="5">
        <v>49.38</v>
      </c>
    </row>
    <row r="50" spans="1:19" x14ac:dyDescent="0.25">
      <c r="A50" t="s">
        <v>222</v>
      </c>
      <c r="B50" t="s">
        <v>223</v>
      </c>
      <c r="C50" t="s">
        <v>224</v>
      </c>
      <c r="D50" t="s">
        <v>129</v>
      </c>
      <c r="E50" t="s">
        <v>34</v>
      </c>
      <c r="F50">
        <v>53</v>
      </c>
      <c r="G50" t="s">
        <v>225</v>
      </c>
      <c r="H50">
        <v>1</v>
      </c>
      <c r="I50">
        <v>19.010000000000002</v>
      </c>
      <c r="J50" s="2">
        <v>4.43</v>
      </c>
      <c r="K50" t="s">
        <v>41</v>
      </c>
      <c r="L50" s="3">
        <v>44950</v>
      </c>
      <c r="M50" t="s">
        <v>34</v>
      </c>
      <c r="N50" s="4">
        <v>53</v>
      </c>
      <c r="O50" t="str" cm="1">
        <f t="array" ref="O5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0" t="s">
        <v>225</v>
      </c>
      <c r="Q50" t="s">
        <v>2927</v>
      </c>
      <c r="R50" s="5">
        <v>19.010000000000002</v>
      </c>
      <c r="S50" s="5">
        <v>4.43</v>
      </c>
    </row>
    <row r="51" spans="1:19" x14ac:dyDescent="0.25">
      <c r="A51" t="s">
        <v>226</v>
      </c>
      <c r="B51" t="s">
        <v>227</v>
      </c>
      <c r="C51" t="s">
        <v>228</v>
      </c>
      <c r="D51" t="s">
        <v>51</v>
      </c>
      <c r="E51" t="s">
        <v>45</v>
      </c>
      <c r="F51">
        <v>31</v>
      </c>
      <c r="G51" t="s">
        <v>229</v>
      </c>
      <c r="H51">
        <v>2</v>
      </c>
      <c r="I51">
        <v>70.7</v>
      </c>
      <c r="J51">
        <v>35.200000000000003</v>
      </c>
      <c r="K51" t="s">
        <v>41</v>
      </c>
      <c r="L51" s="3">
        <v>45443</v>
      </c>
      <c r="M51" t="s">
        <v>48</v>
      </c>
      <c r="N51" s="4">
        <v>31</v>
      </c>
      <c r="O51" t="str" cm="1">
        <f t="array" ref="O5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1" t="s">
        <v>2387</v>
      </c>
      <c r="Q51" t="s">
        <v>2927</v>
      </c>
      <c r="R51" s="5">
        <v>70.7</v>
      </c>
      <c r="S51" s="5">
        <v>35.200000000000003</v>
      </c>
    </row>
    <row r="52" spans="1:19" x14ac:dyDescent="0.25">
      <c r="A52" t="s">
        <v>230</v>
      </c>
      <c r="B52" t="s">
        <v>118</v>
      </c>
      <c r="C52" t="s">
        <v>231</v>
      </c>
      <c r="D52" t="s">
        <v>16</v>
      </c>
      <c r="E52" t="s">
        <v>48</v>
      </c>
      <c r="F52">
        <v>26</v>
      </c>
      <c r="G52" t="s">
        <v>232</v>
      </c>
      <c r="H52">
        <v>6</v>
      </c>
      <c r="I52">
        <v>77.78</v>
      </c>
      <c r="J52">
        <v>21.86</v>
      </c>
      <c r="K52" t="s">
        <v>19</v>
      </c>
      <c r="L52" s="3">
        <v>45444</v>
      </c>
      <c r="M52" t="s">
        <v>48</v>
      </c>
      <c r="N52" s="4">
        <v>26</v>
      </c>
      <c r="O52" t="str" cm="1">
        <f t="array" ref="O5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2" t="s">
        <v>232</v>
      </c>
      <c r="Q52" t="s">
        <v>2926</v>
      </c>
      <c r="R52" s="5">
        <v>77.78</v>
      </c>
      <c r="S52" s="5">
        <v>21.86</v>
      </c>
    </row>
    <row r="53" spans="1:19" x14ac:dyDescent="0.25">
      <c r="A53" t="s">
        <v>233</v>
      </c>
      <c r="B53" t="s">
        <v>234</v>
      </c>
      <c r="C53" s="1">
        <v>45312</v>
      </c>
      <c r="D53" t="s">
        <v>30</v>
      </c>
      <c r="E53" t="s">
        <v>132</v>
      </c>
      <c r="F53">
        <v>25</v>
      </c>
      <c r="G53" t="s">
        <v>235</v>
      </c>
      <c r="H53">
        <v>2</v>
      </c>
      <c r="I53" s="2">
        <v>64.260000000000005</v>
      </c>
      <c r="J53">
        <v>22.9</v>
      </c>
      <c r="K53" t="s">
        <v>19</v>
      </c>
      <c r="L53" s="3">
        <v>45312</v>
      </c>
      <c r="M53" t="s">
        <v>132</v>
      </c>
      <c r="N53" s="4">
        <v>25</v>
      </c>
      <c r="O53" t="str" cm="1">
        <f t="array" ref="O5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3" t="s">
        <v>235</v>
      </c>
      <c r="Q53" t="s">
        <v>2929</v>
      </c>
      <c r="R53" s="5">
        <v>64.260000000000005</v>
      </c>
      <c r="S53" s="5">
        <v>22.9</v>
      </c>
    </row>
    <row r="54" spans="1:19" x14ac:dyDescent="0.25">
      <c r="A54" t="s">
        <v>236</v>
      </c>
      <c r="B54" t="s">
        <v>237</v>
      </c>
      <c r="C54" s="1">
        <v>45418</v>
      </c>
      <c r="D54" t="s">
        <v>129</v>
      </c>
      <c r="E54" t="s">
        <v>31</v>
      </c>
      <c r="F54">
        <v>54</v>
      </c>
      <c r="G54" t="s">
        <v>238</v>
      </c>
      <c r="H54">
        <v>3</v>
      </c>
      <c r="I54" t="s">
        <v>239</v>
      </c>
      <c r="J54" t="s">
        <v>240</v>
      </c>
      <c r="K54" t="s">
        <v>41</v>
      </c>
      <c r="L54" s="3">
        <v>45418</v>
      </c>
      <c r="M54" t="s">
        <v>34</v>
      </c>
      <c r="N54" s="4">
        <v>54</v>
      </c>
      <c r="O54" t="str" cm="1">
        <f t="array" ref="O5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4" t="s">
        <v>238</v>
      </c>
      <c r="Q54" t="s">
        <v>2930</v>
      </c>
      <c r="R54" s="5">
        <v>17.59</v>
      </c>
      <c r="S54" s="5">
        <v>8.19</v>
      </c>
    </row>
    <row r="55" spans="1:19" x14ac:dyDescent="0.25">
      <c r="A55" t="s">
        <v>241</v>
      </c>
      <c r="B55" t="s">
        <v>242</v>
      </c>
      <c r="C55" s="1">
        <v>45148</v>
      </c>
      <c r="D55" t="s">
        <v>30</v>
      </c>
      <c r="E55" t="s">
        <v>31</v>
      </c>
      <c r="F55">
        <v>53</v>
      </c>
      <c r="G55" t="s">
        <v>243</v>
      </c>
      <c r="H55">
        <v>2</v>
      </c>
      <c r="I55">
        <v>47.65</v>
      </c>
      <c r="J55">
        <v>10.86</v>
      </c>
      <c r="K55" t="s">
        <v>41</v>
      </c>
      <c r="L55" s="3">
        <v>45148</v>
      </c>
      <c r="M55" t="s">
        <v>34</v>
      </c>
      <c r="N55" s="4">
        <v>53</v>
      </c>
      <c r="O55" t="str" cm="1">
        <f t="array" ref="O5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5" t="s">
        <v>243</v>
      </c>
      <c r="Q55" t="s">
        <v>2928</v>
      </c>
      <c r="R55" s="5">
        <v>47.65</v>
      </c>
      <c r="S55" s="5">
        <v>10.86</v>
      </c>
    </row>
    <row r="56" spans="1:19" x14ac:dyDescent="0.25">
      <c r="A56" t="s">
        <v>244</v>
      </c>
      <c r="B56" t="s">
        <v>245</v>
      </c>
      <c r="C56" s="3">
        <v>45268</v>
      </c>
      <c r="D56" t="s">
        <v>129</v>
      </c>
      <c r="E56" t="s">
        <v>48</v>
      </c>
      <c r="F56">
        <v>33</v>
      </c>
      <c r="G56" t="s">
        <v>246</v>
      </c>
      <c r="H56">
        <v>1</v>
      </c>
      <c r="I56" t="s">
        <v>247</v>
      </c>
      <c r="J56">
        <v>1.78</v>
      </c>
      <c r="K56" t="s">
        <v>19</v>
      </c>
      <c r="L56" s="3">
        <v>45268</v>
      </c>
      <c r="M56" t="s">
        <v>48</v>
      </c>
      <c r="N56" s="4">
        <v>33</v>
      </c>
      <c r="O56" t="str" cm="1">
        <f t="array" ref="O5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6" t="s">
        <v>246</v>
      </c>
      <c r="Q56" t="s">
        <v>2926</v>
      </c>
      <c r="R56" s="5">
        <v>4.3600000000000003</v>
      </c>
      <c r="S56" s="5">
        <v>1.78</v>
      </c>
    </row>
    <row r="57" spans="1:19" x14ac:dyDescent="0.25">
      <c r="A57" t="s">
        <v>248</v>
      </c>
      <c r="B57" t="s">
        <v>249</v>
      </c>
      <c r="C57" s="3">
        <v>45025</v>
      </c>
      <c r="D57" t="s">
        <v>129</v>
      </c>
      <c r="E57" t="s">
        <v>38</v>
      </c>
      <c r="F57">
        <v>21</v>
      </c>
      <c r="G57" t="s">
        <v>250</v>
      </c>
      <c r="H57">
        <v>1</v>
      </c>
      <c r="I57" s="2">
        <v>3.63</v>
      </c>
      <c r="J57">
        <v>2.2200000000000002</v>
      </c>
      <c r="K57" t="s">
        <v>41</v>
      </c>
      <c r="L57" s="3">
        <v>45025</v>
      </c>
      <c r="M57" t="s">
        <v>34</v>
      </c>
      <c r="N57" s="4">
        <v>21</v>
      </c>
      <c r="O57" t="str" cm="1">
        <f t="array" ref="O5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57" t="s">
        <v>250</v>
      </c>
      <c r="Q57" t="s">
        <v>2926</v>
      </c>
      <c r="R57" s="5">
        <v>3.63</v>
      </c>
      <c r="S57" s="5">
        <v>2.2200000000000002</v>
      </c>
    </row>
    <row r="58" spans="1:19" x14ac:dyDescent="0.25">
      <c r="A58" t="s">
        <v>251</v>
      </c>
      <c r="B58" t="s">
        <v>252</v>
      </c>
      <c r="C58" t="s">
        <v>37</v>
      </c>
      <c r="D58" t="s">
        <v>24</v>
      </c>
      <c r="E58" t="s">
        <v>31</v>
      </c>
      <c r="F58">
        <v>35</v>
      </c>
      <c r="G58" t="s">
        <v>253</v>
      </c>
      <c r="H58">
        <v>2</v>
      </c>
      <c r="I58" t="s">
        <v>254</v>
      </c>
      <c r="J58" t="s">
        <v>255</v>
      </c>
      <c r="K58" t="s">
        <v>41</v>
      </c>
      <c r="L58" s="3">
        <v>45569</v>
      </c>
      <c r="M58" t="s">
        <v>34</v>
      </c>
      <c r="N58" s="4">
        <v>35</v>
      </c>
      <c r="O58" t="str" cm="1">
        <f t="array" ref="O5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8" t="s">
        <v>253</v>
      </c>
      <c r="Q58" t="s">
        <v>2929</v>
      </c>
      <c r="R58" s="5">
        <v>10.79</v>
      </c>
      <c r="S58" s="5">
        <v>3.82</v>
      </c>
    </row>
    <row r="59" spans="1:19" x14ac:dyDescent="0.25">
      <c r="A59" t="s">
        <v>256</v>
      </c>
      <c r="B59" t="s">
        <v>257</v>
      </c>
      <c r="C59" s="3">
        <v>45566</v>
      </c>
      <c r="D59" t="s">
        <v>30</v>
      </c>
      <c r="E59" t="s">
        <v>48</v>
      </c>
      <c r="F59">
        <v>13</v>
      </c>
      <c r="G59" t="s">
        <v>258</v>
      </c>
      <c r="H59">
        <v>3</v>
      </c>
      <c r="I59" t="s">
        <v>259</v>
      </c>
      <c r="J59" s="2">
        <v>44.45</v>
      </c>
      <c r="K59" t="s">
        <v>19</v>
      </c>
      <c r="L59" s="3">
        <v>45566</v>
      </c>
      <c r="M59" t="s">
        <v>48</v>
      </c>
      <c r="N59" s="4">
        <v>13</v>
      </c>
      <c r="O59" t="str" cm="1">
        <f t="array" ref="O5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59" t="s">
        <v>258</v>
      </c>
      <c r="Q59" t="s">
        <v>2927</v>
      </c>
      <c r="R59" s="5">
        <v>91.13</v>
      </c>
      <c r="S59" s="5">
        <v>44.45</v>
      </c>
    </row>
    <row r="60" spans="1:19" x14ac:dyDescent="0.25">
      <c r="A60" t="s">
        <v>260</v>
      </c>
      <c r="B60" t="s">
        <v>261</v>
      </c>
      <c r="C60" t="s">
        <v>262</v>
      </c>
      <c r="D60" t="s">
        <v>16</v>
      </c>
      <c r="E60" t="s">
        <v>25</v>
      </c>
      <c r="F60">
        <v>54</v>
      </c>
      <c r="G60" t="s">
        <v>263</v>
      </c>
      <c r="H60">
        <v>1</v>
      </c>
      <c r="I60" t="s">
        <v>264</v>
      </c>
      <c r="J60">
        <v>11.84</v>
      </c>
      <c r="K60" t="s">
        <v>19</v>
      </c>
      <c r="L60" s="3">
        <v>45560</v>
      </c>
      <c r="M60" t="s">
        <v>20</v>
      </c>
      <c r="N60" s="4">
        <v>54</v>
      </c>
      <c r="O60" t="str" cm="1">
        <f t="array" ref="O6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0" t="s">
        <v>263</v>
      </c>
      <c r="Q60" t="s">
        <v>2926</v>
      </c>
      <c r="R60" s="5">
        <v>28.04</v>
      </c>
      <c r="S60" s="5">
        <v>11.84</v>
      </c>
    </row>
    <row r="61" spans="1:19" x14ac:dyDescent="0.25">
      <c r="A61" t="s">
        <v>265</v>
      </c>
      <c r="B61" t="s">
        <v>266</v>
      </c>
      <c r="C61" t="s">
        <v>267</v>
      </c>
      <c r="D61" t="s">
        <v>16</v>
      </c>
      <c r="E61" t="s">
        <v>48</v>
      </c>
      <c r="F61">
        <v>22</v>
      </c>
      <c r="G61" t="s">
        <v>130</v>
      </c>
      <c r="H61">
        <v>1</v>
      </c>
      <c r="I61">
        <v>13.57</v>
      </c>
      <c r="J61">
        <v>2.75</v>
      </c>
      <c r="K61" t="s">
        <v>41</v>
      </c>
      <c r="L61" s="3">
        <v>45061</v>
      </c>
      <c r="M61" t="s">
        <v>48</v>
      </c>
      <c r="N61" s="4">
        <v>22</v>
      </c>
      <c r="O61" t="str" cm="1">
        <f t="array" ref="O6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61" t="s">
        <v>130</v>
      </c>
      <c r="Q61" t="s">
        <v>2926</v>
      </c>
      <c r="R61" s="5">
        <v>13.57</v>
      </c>
      <c r="S61" s="5">
        <v>2.75</v>
      </c>
    </row>
    <row r="62" spans="1:19" x14ac:dyDescent="0.25">
      <c r="A62" t="s">
        <v>268</v>
      </c>
      <c r="B62" t="s">
        <v>269</v>
      </c>
      <c r="C62" s="1">
        <v>45436</v>
      </c>
      <c r="D62" t="s">
        <v>24</v>
      </c>
      <c r="E62" t="s">
        <v>65</v>
      </c>
      <c r="F62">
        <v>38</v>
      </c>
      <c r="G62" t="s">
        <v>270</v>
      </c>
      <c r="H62">
        <v>1</v>
      </c>
      <c r="I62" t="s">
        <v>271</v>
      </c>
      <c r="J62">
        <v>4.68</v>
      </c>
      <c r="K62" t="s">
        <v>19</v>
      </c>
      <c r="L62" s="3">
        <v>45436</v>
      </c>
      <c r="M62" t="s">
        <v>48</v>
      </c>
      <c r="N62" s="4">
        <v>38</v>
      </c>
      <c r="O62" t="str" cm="1">
        <f t="array" ref="O6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2" t="s">
        <v>270</v>
      </c>
      <c r="Q62" t="s">
        <v>2926</v>
      </c>
      <c r="R62" s="5">
        <v>17.52</v>
      </c>
      <c r="S62" s="5">
        <v>4.68</v>
      </c>
    </row>
    <row r="63" spans="1:19" x14ac:dyDescent="0.25">
      <c r="A63" t="s">
        <v>272</v>
      </c>
      <c r="B63" t="s">
        <v>273</v>
      </c>
      <c r="C63" t="s">
        <v>274</v>
      </c>
      <c r="D63" t="s">
        <v>129</v>
      </c>
      <c r="E63" t="s">
        <v>38</v>
      </c>
      <c r="F63">
        <v>23</v>
      </c>
      <c r="G63" t="s">
        <v>182</v>
      </c>
      <c r="H63">
        <v>3</v>
      </c>
      <c r="I63">
        <v>29.51</v>
      </c>
      <c r="J63">
        <v>16.690000000000001</v>
      </c>
      <c r="K63" t="s">
        <v>41</v>
      </c>
      <c r="L63" s="3">
        <v>45381</v>
      </c>
      <c r="M63" t="s">
        <v>34</v>
      </c>
      <c r="N63" s="4">
        <v>23</v>
      </c>
      <c r="O63" t="str" cm="1">
        <f t="array" ref="O6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63" t="s">
        <v>182</v>
      </c>
      <c r="Q63" t="s">
        <v>2927</v>
      </c>
      <c r="R63" s="5">
        <v>29.51</v>
      </c>
      <c r="S63" s="5">
        <v>16.690000000000001</v>
      </c>
    </row>
    <row r="64" spans="1:19" x14ac:dyDescent="0.25">
      <c r="A64" t="s">
        <v>275</v>
      </c>
      <c r="B64" t="s">
        <v>276</v>
      </c>
      <c r="C64" s="1">
        <v>45588</v>
      </c>
      <c r="D64" t="s">
        <v>129</v>
      </c>
      <c r="E64" t="s">
        <v>45</v>
      </c>
      <c r="F64">
        <v>18</v>
      </c>
      <c r="G64" t="s">
        <v>277</v>
      </c>
      <c r="H64">
        <v>-1</v>
      </c>
      <c r="I64">
        <v>-4.59</v>
      </c>
      <c r="J64">
        <v>-1.1599999999999999</v>
      </c>
      <c r="K64" t="s">
        <v>19</v>
      </c>
      <c r="L64" s="3">
        <v>45588</v>
      </c>
      <c r="M64" t="s">
        <v>48</v>
      </c>
      <c r="N64" s="4">
        <v>18</v>
      </c>
      <c r="O64" t="str" cm="1">
        <f t="array" ref="O6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64" t="s">
        <v>277</v>
      </c>
      <c r="Q64" t="s">
        <v>2929</v>
      </c>
      <c r="R64" s="5">
        <v>-4.59</v>
      </c>
      <c r="S64" s="5">
        <v>-1.1599999999999999</v>
      </c>
    </row>
    <row r="65" spans="1:19" x14ac:dyDescent="0.25">
      <c r="A65" t="s">
        <v>278</v>
      </c>
      <c r="B65" t="s">
        <v>279</v>
      </c>
      <c r="C65" s="3">
        <v>45333</v>
      </c>
      <c r="D65" t="s">
        <v>16</v>
      </c>
      <c r="E65" t="s">
        <v>31</v>
      </c>
      <c r="F65">
        <v>51</v>
      </c>
      <c r="G65" t="s">
        <v>280</v>
      </c>
      <c r="H65">
        <v>1</v>
      </c>
      <c r="I65" s="2">
        <v>12.04</v>
      </c>
      <c r="J65">
        <v>6.94</v>
      </c>
      <c r="K65" t="s">
        <v>41</v>
      </c>
      <c r="L65" s="3">
        <v>45333</v>
      </c>
      <c r="M65" t="s">
        <v>34</v>
      </c>
      <c r="N65" s="4">
        <v>51</v>
      </c>
      <c r="O65" t="str" cm="1">
        <f t="array" ref="O6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5" t="s">
        <v>280</v>
      </c>
      <c r="Q65" t="s">
        <v>2928</v>
      </c>
      <c r="R65" s="5">
        <v>12.04</v>
      </c>
      <c r="S65" s="5">
        <v>6.94</v>
      </c>
    </row>
    <row r="66" spans="1:19" x14ac:dyDescent="0.25">
      <c r="A66" t="s">
        <v>281</v>
      </c>
      <c r="B66" t="s">
        <v>282</v>
      </c>
      <c r="C66" s="1">
        <v>45268</v>
      </c>
      <c r="D66" t="s">
        <v>24</v>
      </c>
      <c r="E66" t="s">
        <v>34</v>
      </c>
      <c r="F66">
        <v>15</v>
      </c>
      <c r="G66" t="s">
        <v>283</v>
      </c>
      <c r="H66">
        <v>1</v>
      </c>
      <c r="I66">
        <v>30.48</v>
      </c>
      <c r="J66">
        <v>11.06</v>
      </c>
      <c r="K66" t="s">
        <v>19</v>
      </c>
      <c r="L66" s="3">
        <v>45268</v>
      </c>
      <c r="M66" t="s">
        <v>34</v>
      </c>
      <c r="N66" s="4">
        <v>15</v>
      </c>
      <c r="O66" t="str" cm="1">
        <f t="array" ref="O6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66" t="s">
        <v>283</v>
      </c>
      <c r="Q66" t="s">
        <v>2927</v>
      </c>
      <c r="R66" s="5">
        <v>30.48</v>
      </c>
      <c r="S66" s="5">
        <v>11.06</v>
      </c>
    </row>
    <row r="67" spans="1:19" x14ac:dyDescent="0.25">
      <c r="A67" t="s">
        <v>284</v>
      </c>
      <c r="B67" t="s">
        <v>285</v>
      </c>
      <c r="C67" s="3">
        <v>45204</v>
      </c>
      <c r="D67" t="s">
        <v>30</v>
      </c>
      <c r="E67" t="s">
        <v>45</v>
      </c>
      <c r="F67">
        <v>34</v>
      </c>
      <c r="G67" t="s">
        <v>270</v>
      </c>
      <c r="H67">
        <v>2</v>
      </c>
      <c r="I67" t="s">
        <v>286</v>
      </c>
      <c r="J67">
        <v>13.29</v>
      </c>
      <c r="K67" t="s">
        <v>41</v>
      </c>
      <c r="L67" s="3">
        <v>45204</v>
      </c>
      <c r="M67" t="s">
        <v>48</v>
      </c>
      <c r="N67" s="4">
        <v>34</v>
      </c>
      <c r="O67" t="str" cm="1">
        <f t="array" ref="O6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7" t="s">
        <v>270</v>
      </c>
      <c r="Q67" t="s">
        <v>2926</v>
      </c>
      <c r="R67" s="5">
        <v>35.83</v>
      </c>
      <c r="S67" s="5">
        <v>13.29</v>
      </c>
    </row>
    <row r="68" spans="1:19" x14ac:dyDescent="0.25">
      <c r="A68" t="s">
        <v>287</v>
      </c>
      <c r="B68" t="s">
        <v>288</v>
      </c>
      <c r="C68" t="s">
        <v>289</v>
      </c>
      <c r="D68" t="s">
        <v>30</v>
      </c>
      <c r="E68" t="s">
        <v>38</v>
      </c>
      <c r="F68">
        <v>46</v>
      </c>
      <c r="G68" t="s">
        <v>290</v>
      </c>
      <c r="H68">
        <v>1</v>
      </c>
      <c r="I68">
        <v>28.11</v>
      </c>
      <c r="J68" s="2">
        <v>7.1</v>
      </c>
      <c r="K68" t="s">
        <v>41</v>
      </c>
      <c r="L68" s="3">
        <v>45256</v>
      </c>
      <c r="M68" t="s">
        <v>34</v>
      </c>
      <c r="N68" s="4">
        <v>46</v>
      </c>
      <c r="O68" t="str" cm="1">
        <f t="array" ref="O6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8" t="s">
        <v>290</v>
      </c>
      <c r="Q68" t="s">
        <v>2926</v>
      </c>
      <c r="R68" s="5">
        <v>28.11</v>
      </c>
      <c r="S68" s="5">
        <v>7.1</v>
      </c>
    </row>
    <row r="69" spans="1:19" x14ac:dyDescent="0.25">
      <c r="A69" t="s">
        <v>291</v>
      </c>
      <c r="B69" t="s">
        <v>292</v>
      </c>
      <c r="C69" s="1">
        <v>45164</v>
      </c>
      <c r="D69" t="s">
        <v>129</v>
      </c>
      <c r="E69" t="s">
        <v>31</v>
      </c>
      <c r="F69">
        <v>45</v>
      </c>
      <c r="G69" t="s">
        <v>293</v>
      </c>
      <c r="H69">
        <v>1</v>
      </c>
      <c r="I69" t="s">
        <v>294</v>
      </c>
      <c r="J69" t="s">
        <v>295</v>
      </c>
      <c r="K69" t="s">
        <v>19</v>
      </c>
      <c r="L69" s="3">
        <v>45164</v>
      </c>
      <c r="M69" t="s">
        <v>34</v>
      </c>
      <c r="N69" s="4">
        <v>45</v>
      </c>
      <c r="O69" t="str" cm="1">
        <f t="array" ref="O6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9" t="s">
        <v>2917</v>
      </c>
      <c r="Q69" t="s">
        <v>2925</v>
      </c>
      <c r="R69" s="5">
        <v>12.1</v>
      </c>
      <c r="S69" s="5">
        <v>6.17</v>
      </c>
    </row>
    <row r="70" spans="1:19" x14ac:dyDescent="0.25">
      <c r="A70" t="s">
        <v>296</v>
      </c>
      <c r="B70" t="s">
        <v>297</v>
      </c>
      <c r="C70" t="s">
        <v>298</v>
      </c>
      <c r="D70" t="s">
        <v>129</v>
      </c>
      <c r="E70" t="s">
        <v>25</v>
      </c>
      <c r="F70">
        <v>27</v>
      </c>
      <c r="G70" t="s">
        <v>299</v>
      </c>
      <c r="H70">
        <v>1</v>
      </c>
      <c r="I70">
        <v>4.2</v>
      </c>
      <c r="J70" s="2">
        <v>1.27</v>
      </c>
      <c r="K70" t="s">
        <v>41</v>
      </c>
      <c r="L70" s="3">
        <v>45510</v>
      </c>
      <c r="M70" t="s">
        <v>20</v>
      </c>
      <c r="N70" s="4">
        <v>27</v>
      </c>
      <c r="O70" t="str" cm="1">
        <f t="array" ref="O7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0" t="s">
        <v>299</v>
      </c>
      <c r="Q70" t="s">
        <v>2926</v>
      </c>
      <c r="R70" s="5">
        <v>4.2</v>
      </c>
      <c r="S70" s="5">
        <v>1.27</v>
      </c>
    </row>
    <row r="71" spans="1:19" x14ac:dyDescent="0.25">
      <c r="A71" t="s">
        <v>300</v>
      </c>
      <c r="B71" t="s">
        <v>301</v>
      </c>
      <c r="C71" t="s">
        <v>302</v>
      </c>
      <c r="D71" t="s">
        <v>51</v>
      </c>
      <c r="E71" t="s">
        <v>38</v>
      </c>
      <c r="F71">
        <v>51</v>
      </c>
      <c r="G71" t="s">
        <v>303</v>
      </c>
      <c r="H71">
        <v>1</v>
      </c>
      <c r="I71">
        <v>19.670000000000002</v>
      </c>
      <c r="J71" t="s">
        <v>304</v>
      </c>
      <c r="K71" t="s">
        <v>41</v>
      </c>
      <c r="L71" s="3">
        <v>45304</v>
      </c>
      <c r="M71" t="s">
        <v>34</v>
      </c>
      <c r="N71" s="4">
        <v>51</v>
      </c>
      <c r="O71" t="str" cm="1">
        <f t="array" ref="O7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1" t="s">
        <v>303</v>
      </c>
      <c r="Q71" t="s">
        <v>2926</v>
      </c>
      <c r="R71" s="5">
        <v>19.670000000000002</v>
      </c>
      <c r="S71" s="5">
        <v>10.01</v>
      </c>
    </row>
    <row r="72" spans="1:19" x14ac:dyDescent="0.25">
      <c r="A72" t="s">
        <v>305</v>
      </c>
      <c r="B72" t="s">
        <v>306</v>
      </c>
      <c r="C72" t="s">
        <v>307</v>
      </c>
      <c r="D72" t="s">
        <v>24</v>
      </c>
      <c r="E72" t="s">
        <v>45</v>
      </c>
      <c r="F72">
        <v>14</v>
      </c>
      <c r="G72" t="s">
        <v>308</v>
      </c>
      <c r="H72">
        <v>3</v>
      </c>
      <c r="I72">
        <v>95.21</v>
      </c>
      <c r="J72">
        <v>45.8</v>
      </c>
      <c r="K72" t="s">
        <v>19</v>
      </c>
      <c r="L72" s="3">
        <v>45288</v>
      </c>
      <c r="M72" t="s">
        <v>48</v>
      </c>
      <c r="N72" s="4">
        <v>14</v>
      </c>
      <c r="O72" t="str" cm="1">
        <f t="array" ref="O7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72" t="s">
        <v>308</v>
      </c>
      <c r="Q72" t="s">
        <v>2927</v>
      </c>
      <c r="R72" s="5">
        <v>95.21</v>
      </c>
      <c r="S72" s="5">
        <v>45.8</v>
      </c>
    </row>
    <row r="73" spans="1:19" x14ac:dyDescent="0.25">
      <c r="A73" t="s">
        <v>309</v>
      </c>
      <c r="B73" t="s">
        <v>310</v>
      </c>
      <c r="C73" s="1">
        <v>45028</v>
      </c>
      <c r="D73" t="s">
        <v>129</v>
      </c>
      <c r="E73" t="s">
        <v>45</v>
      </c>
      <c r="F73">
        <v>20</v>
      </c>
      <c r="G73" t="s">
        <v>311</v>
      </c>
      <c r="H73">
        <v>1</v>
      </c>
      <c r="I73">
        <v>11.52</v>
      </c>
      <c r="J73" t="s">
        <v>312</v>
      </c>
      <c r="K73" t="s">
        <v>19</v>
      </c>
      <c r="L73" s="3">
        <v>45028</v>
      </c>
      <c r="M73" t="s">
        <v>48</v>
      </c>
      <c r="N73" s="4">
        <v>20</v>
      </c>
      <c r="O73" t="str" cm="1">
        <f t="array" ref="O7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3" t="s">
        <v>1291</v>
      </c>
      <c r="Q73" t="s">
        <v>2926</v>
      </c>
      <c r="R73" s="5">
        <v>11.52</v>
      </c>
      <c r="S73" s="5">
        <v>6.79</v>
      </c>
    </row>
    <row r="74" spans="1:19" x14ac:dyDescent="0.25">
      <c r="A74" t="s">
        <v>313</v>
      </c>
      <c r="B74" t="s">
        <v>314</v>
      </c>
      <c r="C74" t="s">
        <v>315</v>
      </c>
      <c r="D74" t="s">
        <v>51</v>
      </c>
      <c r="E74" t="s">
        <v>38</v>
      </c>
      <c r="F74">
        <v>42</v>
      </c>
      <c r="G74" t="s">
        <v>316</v>
      </c>
      <c r="H74">
        <v>6</v>
      </c>
      <c r="I74" s="2">
        <v>272.41000000000003</v>
      </c>
      <c r="J74">
        <v>154.34</v>
      </c>
      <c r="K74" t="s">
        <v>41</v>
      </c>
      <c r="L74" s="3">
        <v>45079</v>
      </c>
      <c r="M74" t="s">
        <v>34</v>
      </c>
      <c r="N74" s="4">
        <v>42</v>
      </c>
      <c r="O74" t="str" cm="1">
        <f t="array" ref="O7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4" t="s">
        <v>316</v>
      </c>
      <c r="Q74" t="s">
        <v>2929</v>
      </c>
      <c r="R74" s="5">
        <v>272.41000000000003</v>
      </c>
      <c r="S74" s="5">
        <v>154.34</v>
      </c>
    </row>
    <row r="75" spans="1:19" x14ac:dyDescent="0.25">
      <c r="A75" t="s">
        <v>317</v>
      </c>
      <c r="B75" t="s">
        <v>318</v>
      </c>
      <c r="C75" t="s">
        <v>319</v>
      </c>
      <c r="D75" t="s">
        <v>51</v>
      </c>
      <c r="E75" t="s">
        <v>34</v>
      </c>
      <c r="F75" t="s">
        <v>25</v>
      </c>
      <c r="G75" t="s">
        <v>320</v>
      </c>
      <c r="H75">
        <v>2</v>
      </c>
      <c r="I75">
        <v>40.869999999999997</v>
      </c>
      <c r="J75">
        <v>24.38</v>
      </c>
      <c r="K75" t="s">
        <v>19</v>
      </c>
      <c r="L75" s="3">
        <v>45066</v>
      </c>
      <c r="M75" t="s">
        <v>34</v>
      </c>
      <c r="N75" s="4"/>
      <c r="O75" t="str" cm="1">
        <f t="array" ref="O7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75" t="s">
        <v>320</v>
      </c>
      <c r="Q75" t="s">
        <v>2926</v>
      </c>
      <c r="R75" s="5">
        <v>40.869999999999997</v>
      </c>
      <c r="S75" s="5">
        <v>24.38</v>
      </c>
    </row>
    <row r="76" spans="1:19" x14ac:dyDescent="0.25">
      <c r="A76" t="s">
        <v>321</v>
      </c>
      <c r="B76" t="s">
        <v>322</v>
      </c>
      <c r="C76" t="s">
        <v>323</v>
      </c>
      <c r="D76" t="s">
        <v>24</v>
      </c>
      <c r="F76">
        <v>44</v>
      </c>
      <c r="G76" t="s">
        <v>324</v>
      </c>
      <c r="H76">
        <v>2</v>
      </c>
      <c r="I76">
        <v>26.84</v>
      </c>
      <c r="J76">
        <v>13.53</v>
      </c>
      <c r="K76" t="s">
        <v>19</v>
      </c>
      <c r="L76" s="3">
        <v>45077</v>
      </c>
      <c r="M76" t="s">
        <v>20</v>
      </c>
      <c r="N76" s="4">
        <v>44</v>
      </c>
      <c r="O76" t="str" cm="1">
        <f t="array" ref="O7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6" t="s">
        <v>324</v>
      </c>
      <c r="Q76" t="s">
        <v>2927</v>
      </c>
      <c r="R76" s="5">
        <v>26.84</v>
      </c>
      <c r="S76" s="5">
        <v>13.53</v>
      </c>
    </row>
    <row r="77" spans="1:19" x14ac:dyDescent="0.25">
      <c r="A77" t="s">
        <v>325</v>
      </c>
      <c r="B77" t="s">
        <v>326</v>
      </c>
      <c r="C77" s="1">
        <v>44951</v>
      </c>
      <c r="D77" t="s">
        <v>16</v>
      </c>
      <c r="E77" t="s">
        <v>65</v>
      </c>
      <c r="F77">
        <v>58</v>
      </c>
      <c r="G77" t="s">
        <v>327</v>
      </c>
      <c r="H77">
        <v>1</v>
      </c>
      <c r="I77" t="s">
        <v>328</v>
      </c>
      <c r="J77">
        <v>2.27</v>
      </c>
      <c r="K77" t="s">
        <v>41</v>
      </c>
      <c r="L77" s="3">
        <v>44951</v>
      </c>
      <c r="M77" t="s">
        <v>48</v>
      </c>
      <c r="N77" s="4">
        <v>58</v>
      </c>
      <c r="O77" t="str" cm="1">
        <f t="array" ref="O7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7" t="s">
        <v>327</v>
      </c>
      <c r="Q77" t="s">
        <v>2926</v>
      </c>
      <c r="R77" s="5">
        <v>6.28</v>
      </c>
      <c r="S77" s="5">
        <v>2.27</v>
      </c>
    </row>
    <row r="78" spans="1:19" x14ac:dyDescent="0.25">
      <c r="A78" t="s">
        <v>329</v>
      </c>
      <c r="B78" t="s">
        <v>330</v>
      </c>
      <c r="C78" s="1">
        <v>45430</v>
      </c>
      <c r="D78" t="s">
        <v>129</v>
      </c>
      <c r="E78" t="s">
        <v>48</v>
      </c>
      <c r="F78">
        <v>22</v>
      </c>
      <c r="G78" t="s">
        <v>331</v>
      </c>
      <c r="H78">
        <v>2</v>
      </c>
      <c r="I78">
        <v>41.58</v>
      </c>
      <c r="J78" s="2">
        <v>13.46</v>
      </c>
      <c r="K78" t="s">
        <v>19</v>
      </c>
      <c r="L78" s="3">
        <v>45430</v>
      </c>
      <c r="M78" t="s">
        <v>48</v>
      </c>
      <c r="N78" s="4">
        <v>22</v>
      </c>
      <c r="O78" t="str" cm="1">
        <f t="array" ref="O7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8" t="s">
        <v>331</v>
      </c>
      <c r="Q78" t="s">
        <v>2927</v>
      </c>
      <c r="R78" s="5">
        <v>41.58</v>
      </c>
      <c r="S78" s="5">
        <v>13.46</v>
      </c>
    </row>
    <row r="79" spans="1:19" x14ac:dyDescent="0.25">
      <c r="A79" t="s">
        <v>332</v>
      </c>
      <c r="B79" t="s">
        <v>56</v>
      </c>
      <c r="C79" s="3">
        <v>44952</v>
      </c>
      <c r="D79" t="s">
        <v>24</v>
      </c>
      <c r="E79" t="s">
        <v>48</v>
      </c>
      <c r="F79">
        <v>48</v>
      </c>
      <c r="G79" t="s">
        <v>333</v>
      </c>
      <c r="H79">
        <v>2</v>
      </c>
      <c r="I79">
        <v>22.25</v>
      </c>
      <c r="J79">
        <v>5.33</v>
      </c>
      <c r="K79" t="s">
        <v>41</v>
      </c>
      <c r="L79" s="3">
        <v>44952</v>
      </c>
      <c r="M79" t="s">
        <v>48</v>
      </c>
      <c r="N79" s="4">
        <v>48</v>
      </c>
      <c r="O79" t="str" cm="1">
        <f t="array" ref="O7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9" t="s">
        <v>333</v>
      </c>
      <c r="Q79" t="s">
        <v>2926</v>
      </c>
      <c r="R79" s="5">
        <v>22.25</v>
      </c>
      <c r="S79" s="5">
        <v>5.33</v>
      </c>
    </row>
    <row r="80" spans="1:19" x14ac:dyDescent="0.25">
      <c r="A80" t="s">
        <v>334</v>
      </c>
      <c r="B80" t="s">
        <v>335</v>
      </c>
      <c r="C80" t="s">
        <v>336</v>
      </c>
      <c r="D80" t="s">
        <v>51</v>
      </c>
      <c r="E80" t="s">
        <v>31</v>
      </c>
      <c r="F80">
        <v>51</v>
      </c>
      <c r="G80" t="s">
        <v>337</v>
      </c>
      <c r="H80">
        <v>1</v>
      </c>
      <c r="I80">
        <v>14.01</v>
      </c>
      <c r="J80">
        <v>8.89</v>
      </c>
      <c r="K80" t="s">
        <v>41</v>
      </c>
      <c r="L80" s="3">
        <v>44962</v>
      </c>
      <c r="M80" t="s">
        <v>34</v>
      </c>
      <c r="N80" s="4">
        <v>51</v>
      </c>
      <c r="O80" t="str" cm="1">
        <f t="array" ref="O8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0" t="s">
        <v>337</v>
      </c>
      <c r="Q80" t="s">
        <v>2927</v>
      </c>
      <c r="R80" s="5">
        <v>14.01</v>
      </c>
      <c r="S80" s="5">
        <v>8.89</v>
      </c>
    </row>
    <row r="81" spans="1:19" x14ac:dyDescent="0.25">
      <c r="A81" t="s">
        <v>338</v>
      </c>
      <c r="B81" t="s">
        <v>339</v>
      </c>
      <c r="C81" s="3">
        <v>45639</v>
      </c>
      <c r="D81" t="s">
        <v>129</v>
      </c>
      <c r="E81" t="s">
        <v>48</v>
      </c>
      <c r="F81">
        <v>32</v>
      </c>
      <c r="G81" t="s">
        <v>340</v>
      </c>
      <c r="H81">
        <v>5</v>
      </c>
      <c r="I81" t="s">
        <v>341</v>
      </c>
      <c r="J81">
        <v>43.69</v>
      </c>
      <c r="K81" t="s">
        <v>41</v>
      </c>
      <c r="L81" s="3">
        <v>45639</v>
      </c>
      <c r="M81" t="s">
        <v>48</v>
      </c>
      <c r="N81" s="4">
        <v>32</v>
      </c>
      <c r="O81" t="str" cm="1">
        <f t="array" ref="O8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1" t="s">
        <v>340</v>
      </c>
      <c r="Q81" t="s">
        <v>2926</v>
      </c>
      <c r="R81" s="5">
        <v>147.91</v>
      </c>
      <c r="S81" s="5">
        <v>43.69</v>
      </c>
    </row>
    <row r="82" spans="1:19" x14ac:dyDescent="0.25">
      <c r="A82" t="s">
        <v>342</v>
      </c>
      <c r="B82" t="s">
        <v>188</v>
      </c>
      <c r="C82" t="s">
        <v>343</v>
      </c>
      <c r="D82" t="s">
        <v>24</v>
      </c>
      <c r="E82" t="s">
        <v>60</v>
      </c>
      <c r="F82">
        <v>13</v>
      </c>
      <c r="G82" t="s">
        <v>108</v>
      </c>
      <c r="H82">
        <v>2</v>
      </c>
      <c r="I82">
        <v>50.66</v>
      </c>
      <c r="J82">
        <v>23.4</v>
      </c>
      <c r="K82" t="s">
        <v>19</v>
      </c>
      <c r="L82" s="3">
        <v>45220</v>
      </c>
      <c r="M82" t="s">
        <v>48</v>
      </c>
      <c r="N82" s="4">
        <v>13</v>
      </c>
      <c r="O82" t="str" cm="1">
        <f t="array" ref="O8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82" t="s">
        <v>108</v>
      </c>
      <c r="Q82" t="s">
        <v>2927</v>
      </c>
      <c r="R82" s="5">
        <v>50.66</v>
      </c>
      <c r="S82" s="5">
        <v>23.4</v>
      </c>
    </row>
    <row r="83" spans="1:19" x14ac:dyDescent="0.25">
      <c r="A83" t="s">
        <v>344</v>
      </c>
      <c r="B83" t="s">
        <v>345</v>
      </c>
      <c r="C83" s="1">
        <v>45008</v>
      </c>
      <c r="D83" t="s">
        <v>30</v>
      </c>
      <c r="E83" t="s">
        <v>34</v>
      </c>
      <c r="F83">
        <v>22</v>
      </c>
      <c r="G83" t="s">
        <v>346</v>
      </c>
      <c r="H83">
        <v>3</v>
      </c>
      <c r="I83">
        <v>60.83</v>
      </c>
      <c r="J83">
        <v>25.83</v>
      </c>
      <c r="K83" t="s">
        <v>41</v>
      </c>
      <c r="L83" s="3">
        <v>45008</v>
      </c>
      <c r="M83" t="s">
        <v>34</v>
      </c>
      <c r="N83" s="4">
        <v>22</v>
      </c>
      <c r="O83" t="str" cm="1">
        <f t="array" ref="O8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83" t="s">
        <v>346</v>
      </c>
      <c r="Q83" t="s">
        <v>2925</v>
      </c>
      <c r="R83" s="5">
        <v>60.83</v>
      </c>
      <c r="S83" s="5">
        <v>25.83</v>
      </c>
    </row>
    <row r="84" spans="1:19" x14ac:dyDescent="0.25">
      <c r="A84" t="s">
        <v>347</v>
      </c>
      <c r="B84" t="s">
        <v>348</v>
      </c>
      <c r="C84" t="s">
        <v>349</v>
      </c>
      <c r="D84" t="s">
        <v>30</v>
      </c>
      <c r="E84" t="s">
        <v>70</v>
      </c>
      <c r="F84">
        <v>44</v>
      </c>
      <c r="G84" t="s">
        <v>350</v>
      </c>
      <c r="H84">
        <v>1</v>
      </c>
      <c r="I84" t="s">
        <v>351</v>
      </c>
      <c r="J84">
        <v>10.66</v>
      </c>
      <c r="K84" t="s">
        <v>41</v>
      </c>
      <c r="L84" s="3">
        <v>45056</v>
      </c>
      <c r="M84" t="s">
        <v>20</v>
      </c>
      <c r="N84" s="4">
        <v>44</v>
      </c>
      <c r="O84" t="str" cm="1">
        <f t="array" ref="O8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4" t="s">
        <v>350</v>
      </c>
      <c r="Q84" t="s">
        <v>2925</v>
      </c>
      <c r="R84" s="5">
        <v>29.34</v>
      </c>
      <c r="S84" s="5">
        <v>10.66</v>
      </c>
    </row>
    <row r="85" spans="1:19" x14ac:dyDescent="0.25">
      <c r="A85" t="s">
        <v>352</v>
      </c>
      <c r="B85" t="s">
        <v>73</v>
      </c>
      <c r="C85" s="1">
        <v>44963</v>
      </c>
      <c r="D85" t="s">
        <v>30</v>
      </c>
      <c r="E85" t="s">
        <v>38</v>
      </c>
      <c r="F85">
        <v>59</v>
      </c>
      <c r="G85" t="s">
        <v>353</v>
      </c>
      <c r="H85">
        <v>4</v>
      </c>
      <c r="I85">
        <v>107.08</v>
      </c>
      <c r="J85" s="2">
        <v>40.64</v>
      </c>
      <c r="K85" t="s">
        <v>19</v>
      </c>
      <c r="L85" s="3">
        <v>44963</v>
      </c>
      <c r="M85" t="s">
        <v>34</v>
      </c>
      <c r="N85" s="4">
        <v>59</v>
      </c>
      <c r="O85" t="str" cm="1">
        <f t="array" ref="O8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5" t="s">
        <v>353</v>
      </c>
      <c r="Q85" t="s">
        <v>2926</v>
      </c>
      <c r="R85" s="5">
        <v>107.08</v>
      </c>
      <c r="S85" s="5">
        <v>40.64</v>
      </c>
    </row>
    <row r="86" spans="1:19" x14ac:dyDescent="0.25">
      <c r="A86" t="s">
        <v>354</v>
      </c>
      <c r="B86" t="s">
        <v>355</v>
      </c>
      <c r="C86" s="1">
        <v>44975</v>
      </c>
      <c r="D86" t="s">
        <v>24</v>
      </c>
      <c r="E86" t="s">
        <v>65</v>
      </c>
      <c r="F86">
        <v>28</v>
      </c>
      <c r="G86" t="s">
        <v>356</v>
      </c>
      <c r="H86">
        <v>4</v>
      </c>
      <c r="I86" t="s">
        <v>357</v>
      </c>
      <c r="J86">
        <v>43.04</v>
      </c>
      <c r="K86" t="s">
        <v>19</v>
      </c>
      <c r="L86" s="3">
        <v>44975</v>
      </c>
      <c r="M86" t="s">
        <v>48</v>
      </c>
      <c r="N86" s="4">
        <v>28</v>
      </c>
      <c r="O86" t="str" cm="1">
        <f t="array" ref="O8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6" t="s">
        <v>356</v>
      </c>
      <c r="Q86" t="s">
        <v>2926</v>
      </c>
      <c r="R86" s="5">
        <v>90.98</v>
      </c>
      <c r="S86" s="5">
        <v>43.04</v>
      </c>
    </row>
    <row r="87" spans="1:19" x14ac:dyDescent="0.25">
      <c r="A87" t="s">
        <v>358</v>
      </c>
      <c r="B87" t="s">
        <v>359</v>
      </c>
      <c r="C87" t="s">
        <v>360</v>
      </c>
      <c r="D87" t="s">
        <v>24</v>
      </c>
      <c r="E87" t="s">
        <v>45</v>
      </c>
      <c r="F87">
        <v>26</v>
      </c>
      <c r="G87" t="s">
        <v>361</v>
      </c>
      <c r="H87">
        <v>4</v>
      </c>
      <c r="I87">
        <v>25.04</v>
      </c>
      <c r="J87" s="2">
        <v>11.89</v>
      </c>
      <c r="K87" t="s">
        <v>19</v>
      </c>
      <c r="L87" s="3">
        <v>45263</v>
      </c>
      <c r="M87" t="s">
        <v>48</v>
      </c>
      <c r="N87" s="4">
        <v>26</v>
      </c>
      <c r="O87" t="str" cm="1">
        <f t="array" ref="O8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7" t="s">
        <v>361</v>
      </c>
      <c r="Q87" t="s">
        <v>2926</v>
      </c>
      <c r="R87" s="5">
        <v>25.04</v>
      </c>
      <c r="S87" s="5">
        <v>11.89</v>
      </c>
    </row>
    <row r="88" spans="1:19" x14ac:dyDescent="0.25">
      <c r="A88" t="s">
        <v>362</v>
      </c>
      <c r="B88" t="s">
        <v>363</v>
      </c>
      <c r="C88" t="s">
        <v>364</v>
      </c>
      <c r="D88" t="s">
        <v>24</v>
      </c>
      <c r="E88" t="s">
        <v>365</v>
      </c>
      <c r="F88">
        <v>49</v>
      </c>
      <c r="G88" t="s">
        <v>366</v>
      </c>
      <c r="H88">
        <v>2</v>
      </c>
      <c r="I88">
        <v>26.81</v>
      </c>
      <c r="J88">
        <v>13.33</v>
      </c>
      <c r="K88" t="s">
        <v>19</v>
      </c>
      <c r="L88" s="3">
        <v>45463</v>
      </c>
      <c r="M88" t="s">
        <v>48</v>
      </c>
      <c r="N88" s="4">
        <v>49</v>
      </c>
      <c r="O88" t="str" cm="1">
        <f t="array" ref="O8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8" t="s">
        <v>1809</v>
      </c>
      <c r="Q88" t="s">
        <v>2926</v>
      </c>
      <c r="R88" s="5">
        <v>26.81</v>
      </c>
      <c r="S88" s="5">
        <v>13.33</v>
      </c>
    </row>
    <row r="89" spans="1:19" x14ac:dyDescent="0.25">
      <c r="A89" t="s">
        <v>367</v>
      </c>
      <c r="B89" t="s">
        <v>157</v>
      </c>
      <c r="C89" s="1">
        <v>45234</v>
      </c>
      <c r="D89" t="s">
        <v>16</v>
      </c>
      <c r="E89" t="s">
        <v>65</v>
      </c>
      <c r="F89">
        <v>73</v>
      </c>
      <c r="G89" t="s">
        <v>368</v>
      </c>
      <c r="H89">
        <v>1</v>
      </c>
      <c r="I89">
        <v>29.9</v>
      </c>
      <c r="J89">
        <v>11.89</v>
      </c>
      <c r="K89" t="s">
        <v>41</v>
      </c>
      <c r="L89" s="3">
        <v>45234</v>
      </c>
      <c r="M89" t="s">
        <v>48</v>
      </c>
      <c r="N89" s="4">
        <v>73</v>
      </c>
      <c r="O89" t="str" cm="1">
        <f t="array" ref="O8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9" t="s">
        <v>368</v>
      </c>
      <c r="Q89" t="s">
        <v>2926</v>
      </c>
      <c r="R89" s="5">
        <v>29.9</v>
      </c>
      <c r="S89" s="5">
        <v>11.89</v>
      </c>
    </row>
    <row r="90" spans="1:19" x14ac:dyDescent="0.25">
      <c r="A90" t="s">
        <v>369</v>
      </c>
      <c r="B90" t="s">
        <v>370</v>
      </c>
      <c r="C90" s="1">
        <v>45048</v>
      </c>
      <c r="D90" t="s">
        <v>30</v>
      </c>
      <c r="E90" t="s">
        <v>60</v>
      </c>
      <c r="F90">
        <v>61</v>
      </c>
      <c r="G90" t="s">
        <v>371</v>
      </c>
      <c r="H90">
        <v>2</v>
      </c>
      <c r="I90" t="s">
        <v>372</v>
      </c>
      <c r="J90">
        <v>26.98</v>
      </c>
      <c r="K90" t="s">
        <v>19</v>
      </c>
      <c r="L90" s="3">
        <v>45048</v>
      </c>
      <c r="M90" t="s">
        <v>48</v>
      </c>
      <c r="N90" s="4">
        <v>61</v>
      </c>
      <c r="O90" t="str" cm="1">
        <f t="array" ref="O9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0" t="s">
        <v>371</v>
      </c>
      <c r="Q90" t="s">
        <v>2931</v>
      </c>
      <c r="R90" s="5">
        <v>79.790000000000006</v>
      </c>
      <c r="S90" s="5">
        <v>26.98</v>
      </c>
    </row>
    <row r="91" spans="1:19" x14ac:dyDescent="0.25">
      <c r="A91" t="s">
        <v>373</v>
      </c>
      <c r="B91" t="s">
        <v>374</v>
      </c>
      <c r="C91" s="1">
        <v>45223</v>
      </c>
      <c r="D91" t="s">
        <v>51</v>
      </c>
      <c r="E91" t="s">
        <v>38</v>
      </c>
      <c r="F91">
        <v>21</v>
      </c>
      <c r="G91" t="s">
        <v>375</v>
      </c>
      <c r="H91">
        <v>4</v>
      </c>
      <c r="I91" t="s">
        <v>376</v>
      </c>
      <c r="J91">
        <v>70.55</v>
      </c>
      <c r="K91" t="s">
        <v>41</v>
      </c>
      <c r="L91" s="3">
        <v>45223</v>
      </c>
      <c r="M91" t="s">
        <v>34</v>
      </c>
      <c r="N91" s="4">
        <v>21</v>
      </c>
      <c r="O91" t="str" cm="1">
        <f t="array" ref="O9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1" t="s">
        <v>375</v>
      </c>
      <c r="Q91" t="s">
        <v>2925</v>
      </c>
      <c r="R91" s="5">
        <v>114.8</v>
      </c>
      <c r="S91" s="5">
        <v>70.55</v>
      </c>
    </row>
    <row r="92" spans="1:19" x14ac:dyDescent="0.25">
      <c r="A92" t="s">
        <v>377</v>
      </c>
      <c r="B92" t="s">
        <v>322</v>
      </c>
      <c r="C92" s="1">
        <v>45458</v>
      </c>
      <c r="D92" t="s">
        <v>24</v>
      </c>
      <c r="E92" t="s">
        <v>65</v>
      </c>
      <c r="F92">
        <v>47</v>
      </c>
      <c r="G92" t="s">
        <v>378</v>
      </c>
      <c r="H92">
        <v>1</v>
      </c>
      <c r="J92" s="2">
        <v>5.03</v>
      </c>
      <c r="K92" t="s">
        <v>41</v>
      </c>
      <c r="L92" s="3">
        <v>45458</v>
      </c>
      <c r="M92" t="s">
        <v>48</v>
      </c>
      <c r="N92" s="4">
        <v>47</v>
      </c>
      <c r="O92" t="str" cm="1">
        <f t="array" ref="O9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2" t="s">
        <v>378</v>
      </c>
      <c r="Q92" t="s">
        <v>2926</v>
      </c>
      <c r="R92" s="5"/>
      <c r="S92" s="5">
        <v>5.03</v>
      </c>
    </row>
    <row r="93" spans="1:19" x14ac:dyDescent="0.25">
      <c r="A93" t="s">
        <v>379</v>
      </c>
      <c r="B93" t="s">
        <v>59</v>
      </c>
      <c r="C93" t="s">
        <v>380</v>
      </c>
      <c r="D93" t="s">
        <v>16</v>
      </c>
      <c r="E93" t="s">
        <v>38</v>
      </c>
      <c r="F93">
        <v>41</v>
      </c>
      <c r="G93" t="s">
        <v>381</v>
      </c>
      <c r="H93">
        <v>3</v>
      </c>
      <c r="I93" t="s">
        <v>205</v>
      </c>
      <c r="J93" s="2">
        <v>26.05</v>
      </c>
      <c r="K93" t="s">
        <v>19</v>
      </c>
      <c r="L93" s="3">
        <v>45269</v>
      </c>
      <c r="M93" t="s">
        <v>34</v>
      </c>
      <c r="N93" s="4">
        <v>41</v>
      </c>
      <c r="O93" t="str" cm="1">
        <f t="array" ref="O9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3" t="s">
        <v>381</v>
      </c>
      <c r="Q93" t="s">
        <v>2928</v>
      </c>
      <c r="R93" s="5"/>
      <c r="S93" s="5">
        <v>26.05</v>
      </c>
    </row>
    <row r="94" spans="1:19" x14ac:dyDescent="0.25">
      <c r="A94" t="s">
        <v>382</v>
      </c>
      <c r="B94" t="s">
        <v>383</v>
      </c>
      <c r="C94" s="1">
        <v>45386</v>
      </c>
      <c r="D94" t="s">
        <v>24</v>
      </c>
      <c r="E94" t="s">
        <v>85</v>
      </c>
      <c r="F94">
        <v>48</v>
      </c>
      <c r="G94" t="s">
        <v>384</v>
      </c>
      <c r="H94">
        <v>2</v>
      </c>
      <c r="I94">
        <v>57.77</v>
      </c>
      <c r="J94" t="s">
        <v>385</v>
      </c>
      <c r="K94" t="s">
        <v>41</v>
      </c>
      <c r="L94" s="3">
        <v>45386</v>
      </c>
      <c r="M94" t="s">
        <v>34</v>
      </c>
      <c r="N94" s="4">
        <v>48</v>
      </c>
      <c r="O94" t="str" cm="1">
        <f t="array" ref="O9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4" t="s">
        <v>384</v>
      </c>
      <c r="Q94" t="s">
        <v>2926</v>
      </c>
      <c r="R94" s="5">
        <v>57.77</v>
      </c>
      <c r="S94" s="5">
        <v>29.37</v>
      </c>
    </row>
    <row r="95" spans="1:19" x14ac:dyDescent="0.25">
      <c r="A95" t="s">
        <v>386</v>
      </c>
      <c r="B95" t="s">
        <v>387</v>
      </c>
      <c r="C95" t="s">
        <v>388</v>
      </c>
      <c r="D95" t="s">
        <v>129</v>
      </c>
      <c r="E95" t="s">
        <v>31</v>
      </c>
      <c r="F95">
        <v>70</v>
      </c>
      <c r="G95" t="s">
        <v>290</v>
      </c>
      <c r="H95">
        <v>4</v>
      </c>
      <c r="I95" s="2">
        <v>78.27</v>
      </c>
      <c r="J95">
        <v>26.91</v>
      </c>
      <c r="K95" t="s">
        <v>41</v>
      </c>
      <c r="L95" s="3">
        <v>45072</v>
      </c>
      <c r="M95" t="s">
        <v>34</v>
      </c>
      <c r="N95" s="4">
        <v>70</v>
      </c>
      <c r="O95" t="str" cm="1">
        <f t="array" ref="O9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5" t="s">
        <v>290</v>
      </c>
      <c r="Q95" t="s">
        <v>2926</v>
      </c>
      <c r="R95" s="5">
        <v>78.27</v>
      </c>
      <c r="S95" s="5">
        <v>26.91</v>
      </c>
    </row>
    <row r="96" spans="1:19" x14ac:dyDescent="0.25">
      <c r="A96" t="s">
        <v>389</v>
      </c>
      <c r="B96" t="s">
        <v>390</v>
      </c>
      <c r="C96" s="3">
        <v>44968</v>
      </c>
      <c r="D96" t="s">
        <v>129</v>
      </c>
      <c r="E96" t="s">
        <v>31</v>
      </c>
      <c r="F96">
        <v>34</v>
      </c>
      <c r="G96" t="s">
        <v>391</v>
      </c>
      <c r="H96">
        <v>1</v>
      </c>
      <c r="I96" t="s">
        <v>392</v>
      </c>
      <c r="J96">
        <v>7.14</v>
      </c>
      <c r="K96" t="s">
        <v>41</v>
      </c>
      <c r="L96" s="3">
        <v>44968</v>
      </c>
      <c r="M96" t="s">
        <v>34</v>
      </c>
      <c r="N96" s="4">
        <v>34</v>
      </c>
      <c r="O96" t="str" cm="1">
        <f t="array" ref="O9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6" t="s">
        <v>391</v>
      </c>
      <c r="Q96" t="s">
        <v>2927</v>
      </c>
      <c r="R96" s="5">
        <v>15.61</v>
      </c>
      <c r="S96" s="5">
        <v>7.14</v>
      </c>
    </row>
    <row r="97" spans="1:19" x14ac:dyDescent="0.25">
      <c r="A97" t="s">
        <v>393</v>
      </c>
      <c r="B97" t="s">
        <v>394</v>
      </c>
      <c r="C97" s="3">
        <v>45468</v>
      </c>
      <c r="D97" t="s">
        <v>30</v>
      </c>
      <c r="E97" t="s">
        <v>48</v>
      </c>
      <c r="F97">
        <v>38</v>
      </c>
      <c r="G97" t="s">
        <v>395</v>
      </c>
      <c r="H97">
        <v>2</v>
      </c>
      <c r="I97" s="2">
        <v>32.159999999999997</v>
      </c>
      <c r="J97">
        <v>11.91</v>
      </c>
      <c r="K97" t="s">
        <v>41</v>
      </c>
      <c r="L97" s="3">
        <v>45468</v>
      </c>
      <c r="M97" t="s">
        <v>48</v>
      </c>
      <c r="N97" s="4">
        <v>38</v>
      </c>
      <c r="O97" t="str" cm="1">
        <f t="array" ref="O9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7" t="s">
        <v>395</v>
      </c>
      <c r="Q97" t="s">
        <v>2925</v>
      </c>
      <c r="R97" s="5">
        <v>32.159999999999997</v>
      </c>
      <c r="S97" s="5">
        <v>11.91</v>
      </c>
    </row>
    <row r="98" spans="1:19" x14ac:dyDescent="0.25">
      <c r="A98" t="s">
        <v>396</v>
      </c>
      <c r="B98" t="s">
        <v>397</v>
      </c>
      <c r="C98" t="s">
        <v>398</v>
      </c>
      <c r="D98" t="s">
        <v>51</v>
      </c>
      <c r="E98" t="s">
        <v>85</v>
      </c>
      <c r="F98">
        <v>40</v>
      </c>
      <c r="G98" t="s">
        <v>399</v>
      </c>
      <c r="H98">
        <v>1</v>
      </c>
      <c r="I98" t="s">
        <v>400</v>
      </c>
      <c r="J98">
        <v>5.37</v>
      </c>
      <c r="K98" t="s">
        <v>41</v>
      </c>
      <c r="L98" s="3">
        <v>45037</v>
      </c>
      <c r="M98" t="s">
        <v>34</v>
      </c>
      <c r="N98" s="4">
        <v>40</v>
      </c>
      <c r="O98" t="str" cm="1">
        <f t="array" ref="O9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8" t="s">
        <v>399</v>
      </c>
      <c r="Q98" t="s">
        <v>2927</v>
      </c>
      <c r="R98" s="5">
        <v>11.22</v>
      </c>
      <c r="S98" s="5">
        <v>5.37</v>
      </c>
    </row>
    <row r="99" spans="1:19" x14ac:dyDescent="0.25">
      <c r="A99" t="s">
        <v>401</v>
      </c>
      <c r="B99" t="s">
        <v>402</v>
      </c>
      <c r="C99" s="3">
        <v>45652</v>
      </c>
      <c r="D99" t="s">
        <v>30</v>
      </c>
      <c r="E99" t="s">
        <v>65</v>
      </c>
      <c r="F99">
        <v>51</v>
      </c>
      <c r="G99" t="s">
        <v>403</v>
      </c>
      <c r="H99">
        <v>2</v>
      </c>
      <c r="I99" s="2">
        <v>75.47</v>
      </c>
      <c r="J99">
        <v>23.54</v>
      </c>
      <c r="K99" t="s">
        <v>19</v>
      </c>
      <c r="L99" s="3">
        <v>45652</v>
      </c>
      <c r="M99" t="s">
        <v>48</v>
      </c>
      <c r="N99" s="4">
        <v>51</v>
      </c>
      <c r="O99" t="str" cm="1">
        <f t="array" ref="O9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9" t="s">
        <v>2933</v>
      </c>
      <c r="Q99" t="s">
        <v>2927</v>
      </c>
      <c r="R99" s="5">
        <v>75.47</v>
      </c>
      <c r="S99" s="5">
        <v>23.54</v>
      </c>
    </row>
    <row r="100" spans="1:19" x14ac:dyDescent="0.25">
      <c r="A100" t="s">
        <v>404</v>
      </c>
      <c r="B100" t="s">
        <v>405</v>
      </c>
      <c r="C100" s="3">
        <v>45015</v>
      </c>
      <c r="D100" t="s">
        <v>51</v>
      </c>
      <c r="E100" t="s">
        <v>48</v>
      </c>
      <c r="F100">
        <v>71</v>
      </c>
      <c r="G100" t="s">
        <v>406</v>
      </c>
      <c r="H100">
        <v>2</v>
      </c>
      <c r="I100">
        <v>26.89</v>
      </c>
      <c r="J100" s="2">
        <v>12.86</v>
      </c>
      <c r="K100" t="s">
        <v>41</v>
      </c>
      <c r="L100" s="3">
        <v>45015</v>
      </c>
      <c r="M100" t="s">
        <v>48</v>
      </c>
      <c r="N100" s="4">
        <v>71</v>
      </c>
      <c r="O100" t="str" cm="1">
        <f t="array" ref="O10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00" t="s">
        <v>406</v>
      </c>
      <c r="Q100" t="s">
        <v>2927</v>
      </c>
      <c r="R100" s="5">
        <v>26.89</v>
      </c>
      <c r="S100" s="5">
        <v>12.86</v>
      </c>
    </row>
    <row r="101" spans="1:19" x14ac:dyDescent="0.25">
      <c r="A101" t="s">
        <v>407</v>
      </c>
      <c r="B101" t="s">
        <v>408</v>
      </c>
      <c r="C101" s="3">
        <v>45315</v>
      </c>
      <c r="D101" t="s">
        <v>129</v>
      </c>
      <c r="F101">
        <v>56</v>
      </c>
      <c r="G101" t="s">
        <v>409</v>
      </c>
      <c r="H101">
        <v>2</v>
      </c>
      <c r="I101">
        <v>21.78</v>
      </c>
      <c r="J101">
        <v>13.3</v>
      </c>
      <c r="K101" t="s">
        <v>19</v>
      </c>
      <c r="L101" s="3">
        <v>45315</v>
      </c>
      <c r="M101" t="s">
        <v>20</v>
      </c>
      <c r="N101" s="4">
        <v>56</v>
      </c>
      <c r="O101" t="str" cm="1">
        <f t="array" ref="O10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01" t="s">
        <v>409</v>
      </c>
      <c r="Q101" t="s">
        <v>2926</v>
      </c>
      <c r="R101" s="5">
        <v>21.78</v>
      </c>
      <c r="S101" s="5">
        <v>13.3</v>
      </c>
    </row>
    <row r="102" spans="1:19" x14ac:dyDescent="0.25">
      <c r="A102" t="s">
        <v>410</v>
      </c>
      <c r="B102" t="s">
        <v>411</v>
      </c>
      <c r="C102" s="1">
        <v>45593</v>
      </c>
      <c r="D102" t="s">
        <v>30</v>
      </c>
      <c r="E102" t="s">
        <v>25</v>
      </c>
      <c r="F102">
        <v>69</v>
      </c>
      <c r="G102" t="s">
        <v>412</v>
      </c>
      <c r="H102">
        <v>1</v>
      </c>
      <c r="I102">
        <v>24.11</v>
      </c>
      <c r="J102">
        <v>14.31</v>
      </c>
      <c r="K102" t="s">
        <v>41</v>
      </c>
      <c r="L102" s="3">
        <v>45593</v>
      </c>
      <c r="M102" t="s">
        <v>20</v>
      </c>
      <c r="N102" s="4">
        <v>69</v>
      </c>
      <c r="O102" t="str" cm="1">
        <f t="array" ref="O10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02" t="s">
        <v>412</v>
      </c>
      <c r="Q102" t="s">
        <v>2929</v>
      </c>
      <c r="R102" s="5">
        <v>24.11</v>
      </c>
      <c r="S102" s="5">
        <v>14.31</v>
      </c>
    </row>
    <row r="103" spans="1:19" x14ac:dyDescent="0.25">
      <c r="A103" t="s">
        <v>413</v>
      </c>
      <c r="B103" t="s">
        <v>414</v>
      </c>
      <c r="C103" t="s">
        <v>415</v>
      </c>
      <c r="D103" t="s">
        <v>24</v>
      </c>
      <c r="E103" t="s">
        <v>48</v>
      </c>
      <c r="F103">
        <v>23</v>
      </c>
      <c r="G103" t="s">
        <v>416</v>
      </c>
      <c r="H103">
        <v>5</v>
      </c>
      <c r="I103" t="s">
        <v>417</v>
      </c>
      <c r="J103">
        <v>10.220000000000001</v>
      </c>
      <c r="K103" t="s">
        <v>41</v>
      </c>
      <c r="L103" s="3">
        <v>45406</v>
      </c>
      <c r="M103" t="s">
        <v>48</v>
      </c>
      <c r="N103" s="4">
        <v>23</v>
      </c>
      <c r="O103" t="str" cm="1">
        <f t="array" ref="O10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103" t="s">
        <v>416</v>
      </c>
      <c r="Q103" t="s">
        <v>2926</v>
      </c>
      <c r="R103" s="5">
        <v>21.22</v>
      </c>
      <c r="S103" s="5">
        <v>10.220000000000001</v>
      </c>
    </row>
    <row r="104" spans="1:19" x14ac:dyDescent="0.25">
      <c r="A104" t="s">
        <v>418</v>
      </c>
      <c r="B104" t="s">
        <v>419</v>
      </c>
      <c r="C104" s="3">
        <v>45163</v>
      </c>
      <c r="D104" t="s">
        <v>24</v>
      </c>
      <c r="E104" t="s">
        <v>70</v>
      </c>
      <c r="F104">
        <v>51</v>
      </c>
      <c r="G104" t="s">
        <v>420</v>
      </c>
      <c r="H104">
        <v>2</v>
      </c>
      <c r="I104">
        <v>35.729999999999997</v>
      </c>
      <c r="J104">
        <v>12.58</v>
      </c>
      <c r="K104" t="s">
        <v>19</v>
      </c>
      <c r="L104" s="3">
        <v>45163</v>
      </c>
      <c r="M104" t="s">
        <v>20</v>
      </c>
      <c r="N104" s="4">
        <v>51</v>
      </c>
      <c r="O104" t="str" cm="1">
        <f t="array" ref="O10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04" t="s">
        <v>420</v>
      </c>
      <c r="Q104" t="s">
        <v>2929</v>
      </c>
      <c r="R104" s="5">
        <v>35.729999999999997</v>
      </c>
      <c r="S104" s="5">
        <v>12.58</v>
      </c>
    </row>
    <row r="105" spans="1:19" x14ac:dyDescent="0.25">
      <c r="A105" t="s">
        <v>421</v>
      </c>
      <c r="B105" t="s">
        <v>422</v>
      </c>
      <c r="C105" t="s">
        <v>423</v>
      </c>
      <c r="D105" t="s">
        <v>30</v>
      </c>
      <c r="E105" t="s">
        <v>38</v>
      </c>
      <c r="F105">
        <v>52</v>
      </c>
      <c r="G105" t="s">
        <v>424</v>
      </c>
      <c r="H105">
        <v>1</v>
      </c>
      <c r="I105">
        <v>19.72</v>
      </c>
      <c r="J105">
        <v>5.37</v>
      </c>
      <c r="K105" t="s">
        <v>41</v>
      </c>
      <c r="L105" s="3">
        <v>45355</v>
      </c>
      <c r="M105" t="s">
        <v>34</v>
      </c>
      <c r="N105" s="4">
        <v>52</v>
      </c>
      <c r="O105" t="str" cm="1">
        <f t="array" ref="O10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05" t="s">
        <v>424</v>
      </c>
      <c r="Q105" t="s">
        <v>2927</v>
      </c>
      <c r="R105" s="5">
        <v>19.72</v>
      </c>
      <c r="S105" s="5">
        <v>5.37</v>
      </c>
    </row>
    <row r="106" spans="1:19" x14ac:dyDescent="0.25">
      <c r="A106" t="s">
        <v>425</v>
      </c>
      <c r="B106" t="s">
        <v>426</v>
      </c>
      <c r="C106" t="s">
        <v>427</v>
      </c>
      <c r="D106" t="s">
        <v>129</v>
      </c>
      <c r="E106" t="s">
        <v>31</v>
      </c>
      <c r="F106">
        <v>17</v>
      </c>
      <c r="G106" t="s">
        <v>428</v>
      </c>
      <c r="H106">
        <v>2</v>
      </c>
      <c r="I106" s="2">
        <v>25.82</v>
      </c>
      <c r="J106">
        <v>8.66</v>
      </c>
      <c r="K106" t="s">
        <v>19</v>
      </c>
      <c r="L106" s="3">
        <v>45589</v>
      </c>
      <c r="M106" t="s">
        <v>34</v>
      </c>
      <c r="N106" s="4">
        <v>17</v>
      </c>
      <c r="O106" t="str" cm="1">
        <f t="array" ref="O10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106" t="s">
        <v>428</v>
      </c>
      <c r="Q106" t="s">
        <v>2927</v>
      </c>
      <c r="R106" s="5">
        <v>25.82</v>
      </c>
      <c r="S106" s="5">
        <v>8.66</v>
      </c>
    </row>
    <row r="107" spans="1:19" x14ac:dyDescent="0.25">
      <c r="A107" t="s">
        <v>429</v>
      </c>
      <c r="B107" t="s">
        <v>430</v>
      </c>
      <c r="C107" t="s">
        <v>431</v>
      </c>
      <c r="D107" t="s">
        <v>129</v>
      </c>
      <c r="E107" t="s">
        <v>48</v>
      </c>
      <c r="F107">
        <v>27</v>
      </c>
      <c r="G107" t="s">
        <v>432</v>
      </c>
      <c r="H107">
        <v>1</v>
      </c>
      <c r="I107">
        <v>13.13</v>
      </c>
      <c r="J107">
        <v>4.72</v>
      </c>
      <c r="K107" t="s">
        <v>41</v>
      </c>
      <c r="L107" s="3">
        <v>45021</v>
      </c>
      <c r="M107" t="s">
        <v>48</v>
      </c>
      <c r="N107" s="4">
        <v>27</v>
      </c>
      <c r="O107" t="str" cm="1">
        <f t="array" ref="O10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07" t="s">
        <v>432</v>
      </c>
      <c r="Q107" t="s">
        <v>2932</v>
      </c>
      <c r="R107" s="5">
        <v>13.13</v>
      </c>
      <c r="S107" s="5">
        <v>4.72</v>
      </c>
    </row>
    <row r="108" spans="1:19" x14ac:dyDescent="0.25">
      <c r="A108" t="s">
        <v>433</v>
      </c>
      <c r="B108" t="s">
        <v>434</v>
      </c>
      <c r="C108" s="3">
        <v>45575</v>
      </c>
      <c r="D108" t="s">
        <v>51</v>
      </c>
      <c r="E108" t="s">
        <v>45</v>
      </c>
      <c r="F108" t="s">
        <v>435</v>
      </c>
      <c r="G108" t="s">
        <v>436</v>
      </c>
      <c r="H108">
        <v>2</v>
      </c>
      <c r="I108">
        <v>16.55</v>
      </c>
      <c r="J108">
        <v>6.78</v>
      </c>
      <c r="K108" t="s">
        <v>41</v>
      </c>
      <c r="L108" s="3">
        <v>45575</v>
      </c>
      <c r="M108" t="s">
        <v>48</v>
      </c>
      <c r="N108" s="4"/>
      <c r="O108" t="str" cm="1">
        <f t="array" ref="O10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108" t="s">
        <v>436</v>
      </c>
      <c r="Q108" t="s">
        <v>2925</v>
      </c>
      <c r="R108" s="5">
        <v>16.55</v>
      </c>
      <c r="S108" s="5">
        <v>6.78</v>
      </c>
    </row>
    <row r="109" spans="1:19" x14ac:dyDescent="0.25">
      <c r="A109" t="s">
        <v>437</v>
      </c>
      <c r="B109" t="s">
        <v>438</v>
      </c>
      <c r="C109" s="1">
        <v>45386</v>
      </c>
      <c r="D109" t="s">
        <v>30</v>
      </c>
      <c r="E109" t="s">
        <v>31</v>
      </c>
      <c r="F109">
        <v>74</v>
      </c>
      <c r="G109" t="s">
        <v>439</v>
      </c>
      <c r="H109">
        <v>3</v>
      </c>
      <c r="I109">
        <v>24.02</v>
      </c>
      <c r="J109">
        <v>11.88</v>
      </c>
      <c r="K109" t="s">
        <v>41</v>
      </c>
      <c r="L109" s="3">
        <v>45386</v>
      </c>
      <c r="M109" t="s">
        <v>34</v>
      </c>
      <c r="N109" s="4">
        <v>74</v>
      </c>
      <c r="O109" t="str" cm="1">
        <f t="array" ref="O10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09" t="s">
        <v>439</v>
      </c>
      <c r="Q109" t="s">
        <v>2926</v>
      </c>
      <c r="R109" s="5">
        <v>24.02</v>
      </c>
      <c r="S109" s="5">
        <v>11.88</v>
      </c>
    </row>
    <row r="110" spans="1:19" x14ac:dyDescent="0.25">
      <c r="A110" t="s">
        <v>440</v>
      </c>
      <c r="B110" t="s">
        <v>441</v>
      </c>
      <c r="C110" s="3">
        <v>45171</v>
      </c>
      <c r="D110" t="s">
        <v>24</v>
      </c>
      <c r="E110" t="s">
        <v>85</v>
      </c>
      <c r="F110">
        <v>64</v>
      </c>
      <c r="G110" t="s">
        <v>442</v>
      </c>
      <c r="H110">
        <v>2</v>
      </c>
      <c r="I110" s="2">
        <v>39.89</v>
      </c>
      <c r="J110" t="s">
        <v>443</v>
      </c>
      <c r="K110" t="s">
        <v>19</v>
      </c>
      <c r="L110" s="3">
        <v>45171</v>
      </c>
      <c r="M110" t="s">
        <v>34</v>
      </c>
      <c r="N110" s="4">
        <v>64</v>
      </c>
      <c r="O110" t="str" cm="1">
        <f t="array" ref="O11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10" t="s">
        <v>442</v>
      </c>
      <c r="Q110" t="s">
        <v>2925</v>
      </c>
      <c r="R110" s="5">
        <v>39.89</v>
      </c>
      <c r="S110" s="5">
        <v>17.11</v>
      </c>
    </row>
    <row r="111" spans="1:19" x14ac:dyDescent="0.25">
      <c r="A111" t="s">
        <v>444</v>
      </c>
      <c r="B111" t="s">
        <v>445</v>
      </c>
      <c r="C111" t="s">
        <v>446</v>
      </c>
      <c r="D111" t="s">
        <v>30</v>
      </c>
      <c r="E111" t="s">
        <v>38</v>
      </c>
      <c r="F111">
        <v>70</v>
      </c>
      <c r="G111" t="s">
        <v>447</v>
      </c>
      <c r="H111">
        <v>2</v>
      </c>
      <c r="I111" t="s">
        <v>448</v>
      </c>
      <c r="J111" s="2">
        <v>13.27</v>
      </c>
      <c r="K111" t="s">
        <v>19</v>
      </c>
      <c r="L111" s="3">
        <v>45478</v>
      </c>
      <c r="M111" t="s">
        <v>34</v>
      </c>
      <c r="N111" s="4">
        <v>70</v>
      </c>
      <c r="O111" t="str" cm="1">
        <f t="array" ref="O11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11" t="s">
        <v>447</v>
      </c>
      <c r="Q111" t="s">
        <v>2926</v>
      </c>
      <c r="R111" s="5">
        <v>25.44</v>
      </c>
      <c r="S111" s="5">
        <v>13.27</v>
      </c>
    </row>
    <row r="112" spans="1:19" x14ac:dyDescent="0.25">
      <c r="A112" t="s">
        <v>449</v>
      </c>
      <c r="B112" t="s">
        <v>450</v>
      </c>
      <c r="C112" s="3">
        <v>45263</v>
      </c>
      <c r="D112" t="s">
        <v>24</v>
      </c>
      <c r="E112" t="s">
        <v>85</v>
      </c>
      <c r="F112">
        <v>27</v>
      </c>
      <c r="G112" t="s">
        <v>451</v>
      </c>
      <c r="H112">
        <v>1</v>
      </c>
      <c r="I112">
        <v>13.88</v>
      </c>
      <c r="J112" s="2">
        <v>9.18</v>
      </c>
      <c r="K112" t="s">
        <v>41</v>
      </c>
      <c r="L112" s="3">
        <v>45263</v>
      </c>
      <c r="M112" t="s">
        <v>34</v>
      </c>
      <c r="N112" s="4">
        <v>27</v>
      </c>
      <c r="O112" t="str" cm="1">
        <f t="array" ref="O11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12" t="s">
        <v>451</v>
      </c>
      <c r="Q112" t="s">
        <v>2931</v>
      </c>
      <c r="R112" s="5">
        <v>13.88</v>
      </c>
      <c r="S112" s="5">
        <v>9.18</v>
      </c>
    </row>
    <row r="113" spans="1:19" x14ac:dyDescent="0.25">
      <c r="A113" t="s">
        <v>452</v>
      </c>
      <c r="B113" t="s">
        <v>453</v>
      </c>
      <c r="C113" s="1">
        <v>45301</v>
      </c>
      <c r="D113" t="s">
        <v>51</v>
      </c>
      <c r="E113" t="s">
        <v>48</v>
      </c>
      <c r="F113">
        <v>68</v>
      </c>
      <c r="G113" t="s">
        <v>454</v>
      </c>
      <c r="H113">
        <v>1</v>
      </c>
      <c r="I113">
        <v>52.53</v>
      </c>
      <c r="J113" t="s">
        <v>455</v>
      </c>
      <c r="K113" t="s">
        <v>41</v>
      </c>
      <c r="L113" s="3">
        <v>45301</v>
      </c>
      <c r="M113" t="s">
        <v>48</v>
      </c>
      <c r="N113" s="4">
        <v>68</v>
      </c>
      <c r="O113" t="str" cm="1">
        <f t="array" ref="O11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13" t="s">
        <v>1442</v>
      </c>
      <c r="Q113" t="s">
        <v>2927</v>
      </c>
      <c r="R113" s="5">
        <v>52.53</v>
      </c>
      <c r="S113" s="5">
        <v>18.579999999999998</v>
      </c>
    </row>
    <row r="114" spans="1:19" x14ac:dyDescent="0.25">
      <c r="A114" t="s">
        <v>456</v>
      </c>
      <c r="B114" t="s">
        <v>457</v>
      </c>
      <c r="C114" s="1">
        <v>45033</v>
      </c>
      <c r="D114" t="s">
        <v>30</v>
      </c>
      <c r="E114" t="s">
        <v>31</v>
      </c>
      <c r="F114">
        <v>70</v>
      </c>
      <c r="G114" t="s">
        <v>458</v>
      </c>
      <c r="H114">
        <v>2</v>
      </c>
      <c r="I114" t="s">
        <v>459</v>
      </c>
      <c r="J114">
        <v>13.7</v>
      </c>
      <c r="K114" t="s">
        <v>41</v>
      </c>
      <c r="L114" s="3">
        <v>45033</v>
      </c>
      <c r="M114" t="s">
        <v>34</v>
      </c>
      <c r="N114" s="4">
        <v>70</v>
      </c>
      <c r="O114" t="str" cm="1">
        <f t="array" ref="O11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14" t="s">
        <v>458</v>
      </c>
      <c r="Q114" t="s">
        <v>2926</v>
      </c>
      <c r="R114" s="5">
        <v>31.64</v>
      </c>
      <c r="S114" s="5">
        <v>13.7</v>
      </c>
    </row>
    <row r="115" spans="1:19" x14ac:dyDescent="0.25">
      <c r="A115" t="s">
        <v>460</v>
      </c>
      <c r="B115" t="s">
        <v>461</v>
      </c>
      <c r="C115" t="s">
        <v>462</v>
      </c>
      <c r="D115" t="s">
        <v>16</v>
      </c>
      <c r="E115" t="s">
        <v>38</v>
      </c>
      <c r="F115">
        <v>35</v>
      </c>
      <c r="G115" t="s">
        <v>463</v>
      </c>
      <c r="H115">
        <v>2</v>
      </c>
      <c r="I115">
        <v>34.19</v>
      </c>
      <c r="J115" t="s">
        <v>464</v>
      </c>
      <c r="K115" t="s">
        <v>41</v>
      </c>
      <c r="L115" s="3">
        <v>45345</v>
      </c>
      <c r="M115" t="s">
        <v>34</v>
      </c>
      <c r="N115" s="4">
        <v>35</v>
      </c>
      <c r="O115" t="str" cm="1">
        <f t="array" ref="O11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15" t="s">
        <v>463</v>
      </c>
      <c r="Q115" t="s">
        <v>2926</v>
      </c>
      <c r="R115" s="5">
        <v>34.19</v>
      </c>
      <c r="S115" s="5">
        <v>15.13</v>
      </c>
    </row>
    <row r="116" spans="1:19" x14ac:dyDescent="0.25">
      <c r="A116" t="s">
        <v>465</v>
      </c>
      <c r="B116" t="s">
        <v>466</v>
      </c>
      <c r="C116" s="1">
        <v>45641</v>
      </c>
      <c r="D116" t="s">
        <v>30</v>
      </c>
      <c r="E116" t="s">
        <v>65</v>
      </c>
      <c r="F116">
        <v>42</v>
      </c>
      <c r="G116" t="s">
        <v>467</v>
      </c>
      <c r="H116">
        <v>1</v>
      </c>
      <c r="I116">
        <v>30.43</v>
      </c>
      <c r="J116">
        <v>11.48</v>
      </c>
      <c r="K116" t="s">
        <v>19</v>
      </c>
      <c r="L116" s="3">
        <v>45641</v>
      </c>
      <c r="M116" t="s">
        <v>48</v>
      </c>
      <c r="N116" s="4">
        <v>42</v>
      </c>
      <c r="O116" t="str" cm="1">
        <f t="array" ref="O11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16" t="s">
        <v>467</v>
      </c>
      <c r="Q116" t="s">
        <v>2927</v>
      </c>
      <c r="R116" s="5">
        <v>30.43</v>
      </c>
      <c r="S116" s="5">
        <v>11.48</v>
      </c>
    </row>
    <row r="117" spans="1:19" x14ac:dyDescent="0.25">
      <c r="A117" t="s">
        <v>468</v>
      </c>
      <c r="B117" t="s">
        <v>469</v>
      </c>
      <c r="C117" s="1">
        <v>45514</v>
      </c>
      <c r="D117" t="s">
        <v>24</v>
      </c>
      <c r="E117" t="s">
        <v>48</v>
      </c>
      <c r="F117">
        <v>51</v>
      </c>
      <c r="G117" t="s">
        <v>470</v>
      </c>
      <c r="H117">
        <v>5</v>
      </c>
      <c r="I117">
        <v>72.209999999999994</v>
      </c>
      <c r="J117" t="s">
        <v>471</v>
      </c>
      <c r="K117" t="s">
        <v>19</v>
      </c>
      <c r="L117" s="3">
        <v>45514</v>
      </c>
      <c r="M117" t="s">
        <v>48</v>
      </c>
      <c r="N117" s="4">
        <v>51</v>
      </c>
      <c r="O117" t="str" cm="1">
        <f t="array" ref="O11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17" t="s">
        <v>2934</v>
      </c>
      <c r="Q117" t="s">
        <v>2925</v>
      </c>
      <c r="R117" s="5">
        <v>72.209999999999994</v>
      </c>
      <c r="S117" s="5">
        <v>38.229999999999997</v>
      </c>
    </row>
    <row r="118" spans="1:19" x14ac:dyDescent="0.25">
      <c r="A118" t="s">
        <v>472</v>
      </c>
      <c r="B118" t="s">
        <v>473</v>
      </c>
      <c r="C118" t="s">
        <v>474</v>
      </c>
      <c r="D118" t="s">
        <v>24</v>
      </c>
      <c r="E118" t="s">
        <v>25</v>
      </c>
      <c r="F118">
        <v>65</v>
      </c>
      <c r="G118" t="s">
        <v>475</v>
      </c>
      <c r="H118">
        <v>3</v>
      </c>
      <c r="I118">
        <v>56.12</v>
      </c>
      <c r="J118" s="2">
        <v>20.67</v>
      </c>
      <c r="K118" t="s">
        <v>41</v>
      </c>
      <c r="L118" s="3">
        <v>45101</v>
      </c>
      <c r="M118" t="s">
        <v>20</v>
      </c>
      <c r="N118" s="4">
        <v>65</v>
      </c>
      <c r="O118" t="str" cm="1">
        <f t="array" ref="O11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18" t="s">
        <v>475</v>
      </c>
      <c r="Q118" t="s">
        <v>2925</v>
      </c>
      <c r="R118" s="5">
        <v>56.12</v>
      </c>
      <c r="S118" s="5">
        <v>20.67</v>
      </c>
    </row>
    <row r="119" spans="1:19" x14ac:dyDescent="0.25">
      <c r="A119" t="s">
        <v>476</v>
      </c>
      <c r="B119" t="s">
        <v>477</v>
      </c>
      <c r="C119" s="3">
        <v>45598</v>
      </c>
      <c r="D119" t="s">
        <v>129</v>
      </c>
      <c r="E119" t="s">
        <v>38</v>
      </c>
      <c r="F119">
        <v>37</v>
      </c>
      <c r="G119" t="s">
        <v>478</v>
      </c>
      <c r="H119">
        <v>1</v>
      </c>
      <c r="I119">
        <v>4.4800000000000004</v>
      </c>
      <c r="J119">
        <v>1.65</v>
      </c>
      <c r="K119" t="s">
        <v>41</v>
      </c>
      <c r="L119" s="3">
        <v>45598</v>
      </c>
      <c r="M119" t="s">
        <v>34</v>
      </c>
      <c r="N119" s="4">
        <v>37</v>
      </c>
      <c r="O119" t="str" cm="1">
        <f t="array" ref="O11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19" t="s">
        <v>478</v>
      </c>
      <c r="Q119" t="s">
        <v>2927</v>
      </c>
      <c r="R119" s="5">
        <v>4.4800000000000004</v>
      </c>
      <c r="S119" s="5">
        <v>1.65</v>
      </c>
    </row>
    <row r="120" spans="1:19" x14ac:dyDescent="0.25">
      <c r="A120" t="s">
        <v>479</v>
      </c>
      <c r="B120" t="s">
        <v>480</v>
      </c>
      <c r="C120" s="1">
        <v>45497</v>
      </c>
      <c r="D120" t="s">
        <v>30</v>
      </c>
      <c r="E120" t="s">
        <v>48</v>
      </c>
      <c r="F120">
        <v>66</v>
      </c>
      <c r="G120" t="s">
        <v>481</v>
      </c>
      <c r="H120">
        <v>2</v>
      </c>
      <c r="I120">
        <v>15.89</v>
      </c>
      <c r="J120">
        <v>6.38</v>
      </c>
      <c r="K120" t="s">
        <v>19</v>
      </c>
      <c r="L120" s="3">
        <v>45497</v>
      </c>
      <c r="M120" t="s">
        <v>48</v>
      </c>
      <c r="N120" s="4">
        <v>66</v>
      </c>
      <c r="O120" t="str" cm="1">
        <f t="array" ref="O12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20" t="s">
        <v>481</v>
      </c>
      <c r="Q120" t="s">
        <v>2929</v>
      </c>
      <c r="R120" s="5">
        <v>15.89</v>
      </c>
      <c r="S120" s="5">
        <v>6.38</v>
      </c>
    </row>
    <row r="121" spans="1:19" x14ac:dyDescent="0.25">
      <c r="A121" t="s">
        <v>482</v>
      </c>
      <c r="B121" t="s">
        <v>483</v>
      </c>
      <c r="C121" s="1">
        <v>45279</v>
      </c>
      <c r="D121" t="s">
        <v>129</v>
      </c>
      <c r="E121" t="s">
        <v>38</v>
      </c>
      <c r="F121">
        <v>16</v>
      </c>
      <c r="G121" t="s">
        <v>484</v>
      </c>
      <c r="H121">
        <v>2</v>
      </c>
      <c r="I121" s="2">
        <v>42.6</v>
      </c>
      <c r="J121" t="s">
        <v>485</v>
      </c>
      <c r="K121" t="s">
        <v>19</v>
      </c>
      <c r="L121" s="3">
        <v>45279</v>
      </c>
      <c r="M121" t="s">
        <v>34</v>
      </c>
      <c r="N121" s="4">
        <v>16</v>
      </c>
      <c r="O121" t="str" cm="1">
        <f t="array" ref="O12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121" t="s">
        <v>484</v>
      </c>
      <c r="Q121" t="s">
        <v>2926</v>
      </c>
      <c r="R121" s="5">
        <v>42.6</v>
      </c>
      <c r="S121" s="5">
        <v>16.239999999999998</v>
      </c>
    </row>
    <row r="122" spans="1:19" x14ac:dyDescent="0.25">
      <c r="A122" t="s">
        <v>486</v>
      </c>
      <c r="B122" t="s">
        <v>487</v>
      </c>
      <c r="C122" s="3">
        <v>45535</v>
      </c>
      <c r="D122" t="s">
        <v>30</v>
      </c>
      <c r="E122" t="s">
        <v>31</v>
      </c>
      <c r="F122">
        <v>57</v>
      </c>
      <c r="G122" t="s">
        <v>488</v>
      </c>
      <c r="H122">
        <v>1</v>
      </c>
      <c r="I122">
        <v>8.25</v>
      </c>
      <c r="J122" s="2">
        <v>3.78</v>
      </c>
      <c r="K122" t="s">
        <v>41</v>
      </c>
      <c r="L122" s="3">
        <v>45535</v>
      </c>
      <c r="M122" t="s">
        <v>34</v>
      </c>
      <c r="N122" s="4">
        <v>57</v>
      </c>
      <c r="O122" t="str" cm="1">
        <f t="array" ref="O12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22" t="s">
        <v>488</v>
      </c>
      <c r="Q122" t="s">
        <v>2926</v>
      </c>
      <c r="R122" s="5">
        <v>8.25</v>
      </c>
      <c r="S122" s="5">
        <v>3.78</v>
      </c>
    </row>
    <row r="123" spans="1:19" x14ac:dyDescent="0.25">
      <c r="A123" t="s">
        <v>489</v>
      </c>
      <c r="B123" t="s">
        <v>490</v>
      </c>
      <c r="C123" s="3">
        <v>45534</v>
      </c>
      <c r="D123" t="s">
        <v>16</v>
      </c>
      <c r="E123" t="s">
        <v>70</v>
      </c>
      <c r="F123">
        <v>66</v>
      </c>
      <c r="G123" t="s">
        <v>491</v>
      </c>
      <c r="H123">
        <v>1</v>
      </c>
      <c r="I123">
        <v>22.65</v>
      </c>
      <c r="J123">
        <v>7.02</v>
      </c>
      <c r="K123" t="s">
        <v>41</v>
      </c>
      <c r="L123" s="3">
        <v>45534</v>
      </c>
      <c r="M123" t="s">
        <v>20</v>
      </c>
      <c r="N123" s="4">
        <v>66</v>
      </c>
      <c r="O123" t="str" cm="1">
        <f t="array" ref="O12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23" t="s">
        <v>491</v>
      </c>
      <c r="Q123" t="s">
        <v>2926</v>
      </c>
      <c r="R123" s="5">
        <v>22.65</v>
      </c>
      <c r="S123" s="5">
        <v>7.02</v>
      </c>
    </row>
    <row r="124" spans="1:19" x14ac:dyDescent="0.25">
      <c r="A124" t="s">
        <v>492</v>
      </c>
      <c r="B124" t="s">
        <v>493</v>
      </c>
      <c r="C124" t="s">
        <v>494</v>
      </c>
      <c r="D124" t="s">
        <v>129</v>
      </c>
      <c r="E124" t="s">
        <v>85</v>
      </c>
      <c r="F124">
        <v>52</v>
      </c>
      <c r="G124" t="s">
        <v>495</v>
      </c>
      <c r="H124">
        <v>1</v>
      </c>
      <c r="I124">
        <v>14.5</v>
      </c>
      <c r="J124">
        <v>6.17</v>
      </c>
      <c r="K124" t="s">
        <v>41</v>
      </c>
      <c r="L124" s="3">
        <v>45149</v>
      </c>
      <c r="M124" t="s">
        <v>34</v>
      </c>
      <c r="N124" s="4">
        <v>52</v>
      </c>
      <c r="O124" t="str" cm="1">
        <f t="array" ref="O12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24" t="s">
        <v>1550</v>
      </c>
      <c r="Q124" t="s">
        <v>2925</v>
      </c>
      <c r="R124" s="5">
        <v>14.5</v>
      </c>
      <c r="S124" s="5">
        <v>6.17</v>
      </c>
    </row>
    <row r="125" spans="1:19" x14ac:dyDescent="0.25">
      <c r="A125" t="s">
        <v>496</v>
      </c>
      <c r="B125" t="s">
        <v>497</v>
      </c>
      <c r="C125" t="s">
        <v>498</v>
      </c>
      <c r="D125" t="s">
        <v>129</v>
      </c>
      <c r="E125" t="s">
        <v>85</v>
      </c>
      <c r="F125">
        <v>59</v>
      </c>
      <c r="G125" t="s">
        <v>499</v>
      </c>
      <c r="H125">
        <v>2</v>
      </c>
      <c r="I125" t="s">
        <v>500</v>
      </c>
      <c r="J125" t="s">
        <v>501</v>
      </c>
      <c r="K125" t="s">
        <v>19</v>
      </c>
      <c r="L125" s="3">
        <v>45419</v>
      </c>
      <c r="M125" t="s">
        <v>34</v>
      </c>
      <c r="N125" s="4">
        <v>59</v>
      </c>
      <c r="O125" t="str" cm="1">
        <f t="array" ref="O12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25" t="s">
        <v>499</v>
      </c>
      <c r="Q125" t="s">
        <v>2929</v>
      </c>
      <c r="R125" s="5">
        <v>25.58</v>
      </c>
      <c r="S125" s="5">
        <v>7.01</v>
      </c>
    </row>
    <row r="126" spans="1:19" x14ac:dyDescent="0.25">
      <c r="A126" t="s">
        <v>502</v>
      </c>
      <c r="B126" t="s">
        <v>503</v>
      </c>
      <c r="C126" t="s">
        <v>398</v>
      </c>
      <c r="D126" t="s">
        <v>129</v>
      </c>
      <c r="E126" t="s">
        <v>38</v>
      </c>
      <c r="F126">
        <v>63</v>
      </c>
      <c r="G126" t="s">
        <v>409</v>
      </c>
      <c r="H126">
        <v>1</v>
      </c>
      <c r="I126" s="2">
        <v>13.61</v>
      </c>
      <c r="J126">
        <v>6.78</v>
      </c>
      <c r="K126" t="s">
        <v>41</v>
      </c>
      <c r="L126" s="3">
        <v>45037</v>
      </c>
      <c r="M126" t="s">
        <v>34</v>
      </c>
      <c r="N126" s="4">
        <v>63</v>
      </c>
      <c r="O126" t="str" cm="1">
        <f t="array" ref="O12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26" t="s">
        <v>409</v>
      </c>
      <c r="Q126" t="s">
        <v>2926</v>
      </c>
      <c r="R126" s="5">
        <v>13.61</v>
      </c>
      <c r="S126" s="5">
        <v>6.78</v>
      </c>
    </row>
    <row r="127" spans="1:19" x14ac:dyDescent="0.25">
      <c r="A127" t="s">
        <v>504</v>
      </c>
      <c r="B127" t="s">
        <v>273</v>
      </c>
      <c r="C127" s="3">
        <v>45084</v>
      </c>
      <c r="D127" t="s">
        <v>129</v>
      </c>
      <c r="E127" t="s">
        <v>60</v>
      </c>
      <c r="F127">
        <v>28</v>
      </c>
      <c r="G127" t="s">
        <v>505</v>
      </c>
      <c r="H127">
        <v>2</v>
      </c>
      <c r="I127">
        <v>18.62</v>
      </c>
      <c r="J127">
        <v>8.42</v>
      </c>
      <c r="K127" t="s">
        <v>41</v>
      </c>
      <c r="L127" s="3">
        <v>45084</v>
      </c>
      <c r="M127" t="s">
        <v>48</v>
      </c>
      <c r="N127" s="4">
        <v>28</v>
      </c>
      <c r="O127" t="str" cm="1">
        <f t="array" ref="O12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27" t="s">
        <v>505</v>
      </c>
      <c r="Q127" t="s">
        <v>2927</v>
      </c>
      <c r="R127" s="5">
        <v>18.62</v>
      </c>
      <c r="S127" s="5">
        <v>8.42</v>
      </c>
    </row>
    <row r="128" spans="1:19" x14ac:dyDescent="0.25">
      <c r="A128" t="s">
        <v>506</v>
      </c>
      <c r="B128" t="s">
        <v>507</v>
      </c>
      <c r="C128" s="1">
        <v>45516</v>
      </c>
      <c r="D128" t="s">
        <v>129</v>
      </c>
      <c r="E128" t="s">
        <v>65</v>
      </c>
      <c r="F128">
        <v>65</v>
      </c>
      <c r="G128" t="s">
        <v>508</v>
      </c>
      <c r="H128">
        <v>1</v>
      </c>
      <c r="I128">
        <v>2.92</v>
      </c>
      <c r="J128">
        <v>1.76</v>
      </c>
      <c r="K128" t="s">
        <v>41</v>
      </c>
      <c r="L128" s="3">
        <v>45516</v>
      </c>
      <c r="M128" t="s">
        <v>48</v>
      </c>
      <c r="N128" s="4">
        <v>65</v>
      </c>
      <c r="O128" t="str" cm="1">
        <f t="array" ref="O12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28" t="s">
        <v>508</v>
      </c>
      <c r="Q128" t="s">
        <v>2926</v>
      </c>
      <c r="R128" s="5">
        <v>2.92</v>
      </c>
      <c r="S128" s="5">
        <v>1.76</v>
      </c>
    </row>
    <row r="129" spans="1:19" x14ac:dyDescent="0.25">
      <c r="A129" t="s">
        <v>509</v>
      </c>
      <c r="B129" t="s">
        <v>510</v>
      </c>
      <c r="C129" t="s">
        <v>511</v>
      </c>
      <c r="D129" t="s">
        <v>51</v>
      </c>
      <c r="E129" t="s">
        <v>25</v>
      </c>
      <c r="F129">
        <v>43</v>
      </c>
      <c r="G129" t="s">
        <v>512</v>
      </c>
      <c r="H129">
        <v>1</v>
      </c>
      <c r="I129" s="2">
        <v>36.549999999999997</v>
      </c>
      <c r="J129">
        <v>13.52</v>
      </c>
      <c r="K129" t="s">
        <v>19</v>
      </c>
      <c r="L129" s="3">
        <v>45317</v>
      </c>
      <c r="M129" t="s">
        <v>20</v>
      </c>
      <c r="N129" s="4">
        <v>43</v>
      </c>
      <c r="O129" t="str" cm="1">
        <f t="array" ref="O12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29" t="s">
        <v>2935</v>
      </c>
      <c r="Q129" t="s">
        <v>2928</v>
      </c>
      <c r="R129" s="5">
        <v>36.549999999999997</v>
      </c>
      <c r="S129" s="5">
        <v>13.52</v>
      </c>
    </row>
    <row r="130" spans="1:19" x14ac:dyDescent="0.25">
      <c r="A130" t="s">
        <v>513</v>
      </c>
      <c r="B130" t="s">
        <v>514</v>
      </c>
      <c r="C130" t="s">
        <v>515</v>
      </c>
      <c r="D130" t="s">
        <v>30</v>
      </c>
      <c r="E130" t="s">
        <v>38</v>
      </c>
      <c r="F130">
        <v>53</v>
      </c>
      <c r="G130" t="s">
        <v>516</v>
      </c>
      <c r="H130">
        <v>2</v>
      </c>
      <c r="I130" s="2">
        <v>13.68</v>
      </c>
      <c r="J130">
        <v>3.85</v>
      </c>
      <c r="K130" t="s">
        <v>41</v>
      </c>
      <c r="L130" s="3">
        <v>45305</v>
      </c>
      <c r="M130" t="s">
        <v>34</v>
      </c>
      <c r="N130" s="4">
        <v>53</v>
      </c>
      <c r="O130" t="str" cm="1">
        <f t="array" ref="O13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30" t="s">
        <v>516</v>
      </c>
      <c r="Q130" t="s">
        <v>2925</v>
      </c>
      <c r="R130" s="5">
        <v>13.68</v>
      </c>
      <c r="S130" s="5">
        <v>3.85</v>
      </c>
    </row>
    <row r="131" spans="1:19" x14ac:dyDescent="0.25">
      <c r="A131" t="s">
        <v>517</v>
      </c>
      <c r="B131" t="s">
        <v>518</v>
      </c>
      <c r="C131" s="1">
        <v>45202</v>
      </c>
      <c r="D131" t="s">
        <v>51</v>
      </c>
      <c r="E131" t="s">
        <v>65</v>
      </c>
      <c r="F131">
        <v>29</v>
      </c>
      <c r="G131" t="s">
        <v>519</v>
      </c>
      <c r="H131">
        <v>1</v>
      </c>
      <c r="I131">
        <v>9.8000000000000007</v>
      </c>
      <c r="J131">
        <v>4.07</v>
      </c>
      <c r="K131" t="s">
        <v>41</v>
      </c>
      <c r="L131" s="3">
        <v>45202</v>
      </c>
      <c r="M131" t="s">
        <v>48</v>
      </c>
      <c r="N131" s="4">
        <v>29</v>
      </c>
      <c r="O131" t="str" cm="1">
        <f t="array" ref="O13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31" t="s">
        <v>519</v>
      </c>
      <c r="Q131" t="s">
        <v>2929</v>
      </c>
      <c r="R131" s="5">
        <v>9.8000000000000007</v>
      </c>
      <c r="S131" s="5">
        <v>4.07</v>
      </c>
    </row>
    <row r="132" spans="1:19" x14ac:dyDescent="0.25">
      <c r="A132" t="s">
        <v>520</v>
      </c>
      <c r="B132" t="s">
        <v>521</v>
      </c>
      <c r="C132" t="s">
        <v>522</v>
      </c>
      <c r="D132" t="s">
        <v>24</v>
      </c>
      <c r="F132">
        <v>60</v>
      </c>
      <c r="G132" t="s">
        <v>523</v>
      </c>
      <c r="H132">
        <v>1</v>
      </c>
      <c r="I132">
        <v>17.059999999999999</v>
      </c>
      <c r="J132" t="s">
        <v>524</v>
      </c>
      <c r="K132" t="s">
        <v>41</v>
      </c>
      <c r="L132" s="3">
        <v>45212</v>
      </c>
      <c r="M132" t="s">
        <v>20</v>
      </c>
      <c r="N132" s="4">
        <v>60</v>
      </c>
      <c r="O132" t="str" cm="1">
        <f t="array" ref="O13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32" t="s">
        <v>523</v>
      </c>
      <c r="Q132" t="s">
        <v>2927</v>
      </c>
      <c r="R132" s="5">
        <v>17.059999999999999</v>
      </c>
      <c r="S132" s="5">
        <v>6.15</v>
      </c>
    </row>
    <row r="133" spans="1:19" x14ac:dyDescent="0.25">
      <c r="A133" t="s">
        <v>525</v>
      </c>
      <c r="B133" t="s">
        <v>526</v>
      </c>
      <c r="C133" t="s">
        <v>527</v>
      </c>
      <c r="D133" t="s">
        <v>16</v>
      </c>
      <c r="E133" t="s">
        <v>34</v>
      </c>
      <c r="F133">
        <v>75</v>
      </c>
      <c r="G133" t="s">
        <v>528</v>
      </c>
      <c r="H133">
        <v>4</v>
      </c>
      <c r="I133">
        <v>99.43</v>
      </c>
      <c r="J133" t="s">
        <v>529</v>
      </c>
      <c r="K133" t="s">
        <v>19</v>
      </c>
      <c r="L133" s="3">
        <v>45481</v>
      </c>
      <c r="M133" t="s">
        <v>34</v>
      </c>
      <c r="N133" s="4">
        <v>75</v>
      </c>
      <c r="O133" t="str" cm="1">
        <f t="array" ref="O13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33" t="s">
        <v>528</v>
      </c>
      <c r="Q133" t="s">
        <v>2926</v>
      </c>
      <c r="R133" s="5">
        <v>99.43</v>
      </c>
      <c r="S133" s="5">
        <v>28.53</v>
      </c>
    </row>
    <row r="134" spans="1:19" x14ac:dyDescent="0.25">
      <c r="A134" t="s">
        <v>530</v>
      </c>
      <c r="B134" t="s">
        <v>510</v>
      </c>
      <c r="C134" s="1">
        <v>45644</v>
      </c>
      <c r="D134" t="s">
        <v>51</v>
      </c>
      <c r="E134" t="s">
        <v>65</v>
      </c>
      <c r="F134" t="s">
        <v>435</v>
      </c>
      <c r="G134" t="s">
        <v>531</v>
      </c>
      <c r="H134">
        <v>1</v>
      </c>
      <c r="I134">
        <v>33.659999999999997</v>
      </c>
      <c r="J134">
        <v>15.89</v>
      </c>
      <c r="K134" t="s">
        <v>19</v>
      </c>
      <c r="L134" s="3">
        <v>45644</v>
      </c>
      <c r="M134" t="s">
        <v>48</v>
      </c>
      <c r="N134" s="4"/>
      <c r="O134" t="str" cm="1">
        <f t="array" ref="O13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134" t="s">
        <v>531</v>
      </c>
      <c r="Q134" t="s">
        <v>2926</v>
      </c>
      <c r="R134" s="5">
        <v>33.659999999999997</v>
      </c>
      <c r="S134" s="5">
        <v>15.89</v>
      </c>
    </row>
    <row r="135" spans="1:19" x14ac:dyDescent="0.25">
      <c r="A135" t="s">
        <v>532</v>
      </c>
      <c r="B135" t="s">
        <v>533</v>
      </c>
      <c r="C135" s="3">
        <v>45186</v>
      </c>
      <c r="D135" t="s">
        <v>16</v>
      </c>
      <c r="E135" t="s">
        <v>534</v>
      </c>
      <c r="F135">
        <v>19</v>
      </c>
      <c r="G135" t="s">
        <v>535</v>
      </c>
      <c r="H135">
        <v>1</v>
      </c>
      <c r="I135" t="s">
        <v>536</v>
      </c>
      <c r="J135" t="s">
        <v>537</v>
      </c>
      <c r="K135" t="s">
        <v>19</v>
      </c>
      <c r="L135" s="3">
        <v>45186</v>
      </c>
      <c r="M135" t="s">
        <v>48</v>
      </c>
      <c r="N135" s="4">
        <v>19</v>
      </c>
      <c r="O135" t="str" cm="1">
        <f t="array" ref="O13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135" t="s">
        <v>2426</v>
      </c>
      <c r="Q135" t="s">
        <v>2931</v>
      </c>
      <c r="R135" s="5">
        <v>14.16</v>
      </c>
      <c r="S135" s="5">
        <v>6.68</v>
      </c>
    </row>
    <row r="136" spans="1:19" x14ac:dyDescent="0.25">
      <c r="A136" t="s">
        <v>538</v>
      </c>
      <c r="B136" t="s">
        <v>539</v>
      </c>
      <c r="C136" t="s">
        <v>540</v>
      </c>
      <c r="D136" t="s">
        <v>129</v>
      </c>
      <c r="E136" t="s">
        <v>38</v>
      </c>
      <c r="F136">
        <v>44</v>
      </c>
      <c r="G136" t="s">
        <v>541</v>
      </c>
      <c r="H136">
        <v>2</v>
      </c>
      <c r="I136" t="s">
        <v>542</v>
      </c>
      <c r="J136">
        <v>4.21</v>
      </c>
      <c r="K136" t="s">
        <v>41</v>
      </c>
      <c r="L136" s="3">
        <v>45111</v>
      </c>
      <c r="M136" t="s">
        <v>34</v>
      </c>
      <c r="N136" s="4">
        <v>44</v>
      </c>
      <c r="O136" t="str" cm="1">
        <f t="array" ref="O13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36" t="s">
        <v>541</v>
      </c>
      <c r="Q136" t="s">
        <v>2926</v>
      </c>
      <c r="R136" s="5">
        <v>8.4700000000000006</v>
      </c>
      <c r="S136" s="5">
        <v>4.21</v>
      </c>
    </row>
    <row r="137" spans="1:19" x14ac:dyDescent="0.25">
      <c r="A137" t="s">
        <v>543</v>
      </c>
      <c r="B137" t="s">
        <v>473</v>
      </c>
      <c r="C137" s="1">
        <v>45024</v>
      </c>
      <c r="D137" t="s">
        <v>30</v>
      </c>
      <c r="E137" t="s">
        <v>34</v>
      </c>
      <c r="F137">
        <v>14</v>
      </c>
      <c r="G137" t="s">
        <v>544</v>
      </c>
      <c r="H137">
        <v>5</v>
      </c>
      <c r="I137" s="2">
        <v>64.98</v>
      </c>
      <c r="J137">
        <v>26.48</v>
      </c>
      <c r="K137" t="s">
        <v>41</v>
      </c>
      <c r="L137" s="3">
        <v>45024</v>
      </c>
      <c r="M137" t="s">
        <v>34</v>
      </c>
      <c r="N137" s="4">
        <v>14</v>
      </c>
      <c r="O137" t="str" cm="1">
        <f t="array" ref="O13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137" t="s">
        <v>57</v>
      </c>
      <c r="Q137" t="s">
        <v>2927</v>
      </c>
      <c r="R137" s="5">
        <v>64.98</v>
      </c>
      <c r="S137" s="5">
        <v>26.48</v>
      </c>
    </row>
    <row r="138" spans="1:19" x14ac:dyDescent="0.25">
      <c r="A138" t="s">
        <v>545</v>
      </c>
      <c r="B138" t="s">
        <v>546</v>
      </c>
      <c r="C138" s="1">
        <v>45545</v>
      </c>
      <c r="D138" t="s">
        <v>16</v>
      </c>
      <c r="E138" t="s">
        <v>25</v>
      </c>
      <c r="F138" t="s">
        <v>435</v>
      </c>
      <c r="G138" t="s">
        <v>361</v>
      </c>
      <c r="H138">
        <v>2</v>
      </c>
      <c r="I138" s="2">
        <v>62.83</v>
      </c>
      <c r="J138">
        <v>33.57</v>
      </c>
      <c r="K138" t="s">
        <v>41</v>
      </c>
      <c r="L138" s="3">
        <v>45545</v>
      </c>
      <c r="M138" t="s">
        <v>20</v>
      </c>
      <c r="N138" s="4"/>
      <c r="O138" t="str" cm="1">
        <f t="array" ref="O13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138" t="s">
        <v>361</v>
      </c>
      <c r="Q138" t="s">
        <v>2926</v>
      </c>
      <c r="R138" s="5">
        <v>62.83</v>
      </c>
      <c r="S138" s="5">
        <v>33.57</v>
      </c>
    </row>
    <row r="139" spans="1:19" x14ac:dyDescent="0.25">
      <c r="A139" t="s">
        <v>547</v>
      </c>
      <c r="B139" t="s">
        <v>548</v>
      </c>
      <c r="C139" s="1">
        <v>45626</v>
      </c>
      <c r="D139" t="s">
        <v>16</v>
      </c>
      <c r="E139" t="s">
        <v>31</v>
      </c>
      <c r="F139">
        <v>68</v>
      </c>
      <c r="G139" t="s">
        <v>549</v>
      </c>
      <c r="H139">
        <v>3</v>
      </c>
      <c r="I139">
        <v>37.159999999999997</v>
      </c>
      <c r="J139" s="2">
        <v>17.010000000000002</v>
      </c>
      <c r="K139" t="s">
        <v>19</v>
      </c>
      <c r="L139" s="3">
        <v>45626</v>
      </c>
      <c r="M139" t="s">
        <v>34</v>
      </c>
      <c r="N139" s="4">
        <v>68</v>
      </c>
      <c r="O139" t="str" cm="1">
        <f t="array" ref="O13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39" t="s">
        <v>2936</v>
      </c>
      <c r="Q139" t="s">
        <v>2929</v>
      </c>
      <c r="R139" s="5">
        <v>37.159999999999997</v>
      </c>
      <c r="S139" s="5">
        <v>17.010000000000002</v>
      </c>
    </row>
    <row r="140" spans="1:19" x14ac:dyDescent="0.25">
      <c r="A140" t="s">
        <v>550</v>
      </c>
      <c r="B140" t="s">
        <v>551</v>
      </c>
      <c r="C140" t="s">
        <v>552</v>
      </c>
      <c r="D140" t="s">
        <v>51</v>
      </c>
      <c r="E140" t="s">
        <v>31</v>
      </c>
      <c r="F140">
        <v>22</v>
      </c>
      <c r="G140" t="s">
        <v>553</v>
      </c>
      <c r="H140">
        <v>2</v>
      </c>
      <c r="I140">
        <v>105.45</v>
      </c>
      <c r="J140">
        <v>49.12</v>
      </c>
      <c r="K140" t="s">
        <v>41</v>
      </c>
      <c r="L140" s="3">
        <v>45091</v>
      </c>
      <c r="M140" t="s">
        <v>34</v>
      </c>
      <c r="N140" s="4">
        <v>22</v>
      </c>
      <c r="O140" t="str" cm="1">
        <f t="array" ref="O14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140" t="s">
        <v>553</v>
      </c>
      <c r="Q140" t="s">
        <v>2926</v>
      </c>
      <c r="R140" s="5">
        <v>105.45</v>
      </c>
      <c r="S140" s="5">
        <v>49.12</v>
      </c>
    </row>
    <row r="141" spans="1:19" x14ac:dyDescent="0.25">
      <c r="A141" t="s">
        <v>554</v>
      </c>
      <c r="B141" t="s">
        <v>555</v>
      </c>
      <c r="C141" s="1">
        <v>45351</v>
      </c>
      <c r="D141" t="s">
        <v>24</v>
      </c>
      <c r="E141" t="s">
        <v>60</v>
      </c>
      <c r="F141">
        <v>25</v>
      </c>
      <c r="G141" t="s">
        <v>556</v>
      </c>
      <c r="H141">
        <v>1</v>
      </c>
      <c r="I141">
        <v>6.35</v>
      </c>
      <c r="J141">
        <v>1.93</v>
      </c>
      <c r="K141" t="s">
        <v>19</v>
      </c>
      <c r="L141" s="3">
        <v>45351</v>
      </c>
      <c r="M141" t="s">
        <v>48</v>
      </c>
      <c r="N141" s="4">
        <v>25</v>
      </c>
      <c r="O141" t="str" cm="1">
        <f t="array" ref="O14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41" t="s">
        <v>556</v>
      </c>
      <c r="Q141" t="s">
        <v>2926</v>
      </c>
      <c r="R141" s="5">
        <v>6.35</v>
      </c>
      <c r="S141" s="5">
        <v>1.93</v>
      </c>
    </row>
    <row r="142" spans="1:19" x14ac:dyDescent="0.25">
      <c r="A142" t="s">
        <v>557</v>
      </c>
      <c r="B142" t="s">
        <v>558</v>
      </c>
      <c r="C142" s="3">
        <v>45574</v>
      </c>
      <c r="D142" t="s">
        <v>16</v>
      </c>
      <c r="E142" t="s">
        <v>132</v>
      </c>
      <c r="F142">
        <v>20</v>
      </c>
      <c r="G142" t="s">
        <v>559</v>
      </c>
      <c r="H142">
        <v>1</v>
      </c>
      <c r="I142" s="2">
        <v>19.079999999999998</v>
      </c>
      <c r="J142" t="s">
        <v>560</v>
      </c>
      <c r="K142" t="s">
        <v>41</v>
      </c>
      <c r="L142" s="3">
        <v>45574</v>
      </c>
      <c r="M142" t="s">
        <v>132</v>
      </c>
      <c r="N142" s="4">
        <v>20</v>
      </c>
      <c r="O142" t="str" cm="1">
        <f t="array" ref="O14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142" t="s">
        <v>559</v>
      </c>
      <c r="Q142" t="s">
        <v>2926</v>
      </c>
      <c r="R142" s="5">
        <v>19.079999999999998</v>
      </c>
      <c r="S142" s="5">
        <v>10.6</v>
      </c>
    </row>
    <row r="143" spans="1:19" x14ac:dyDescent="0.25">
      <c r="A143" t="s">
        <v>561</v>
      </c>
      <c r="B143" t="s">
        <v>562</v>
      </c>
      <c r="C143" t="s">
        <v>563</v>
      </c>
      <c r="D143" t="s">
        <v>51</v>
      </c>
      <c r="E143" t="s">
        <v>65</v>
      </c>
      <c r="F143">
        <v>47</v>
      </c>
      <c r="G143" t="s">
        <v>564</v>
      </c>
      <c r="H143">
        <v>3</v>
      </c>
      <c r="I143">
        <v>102.93</v>
      </c>
      <c r="J143">
        <v>38</v>
      </c>
      <c r="K143" t="s">
        <v>41</v>
      </c>
      <c r="L143" s="3">
        <v>45385</v>
      </c>
      <c r="M143" t="s">
        <v>48</v>
      </c>
      <c r="N143" s="4">
        <v>47</v>
      </c>
      <c r="O143" t="str" cm="1">
        <f t="array" ref="O14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43" t="s">
        <v>564</v>
      </c>
      <c r="Q143" t="s">
        <v>2925</v>
      </c>
      <c r="R143" s="5">
        <v>102.93</v>
      </c>
      <c r="S143" s="5">
        <v>38</v>
      </c>
    </row>
    <row r="144" spans="1:19" x14ac:dyDescent="0.25">
      <c r="A144" t="s">
        <v>565</v>
      </c>
      <c r="B144" t="s">
        <v>566</v>
      </c>
      <c r="C144" t="s">
        <v>567</v>
      </c>
      <c r="D144" t="s">
        <v>30</v>
      </c>
      <c r="E144" t="s">
        <v>48</v>
      </c>
      <c r="F144">
        <v>26</v>
      </c>
      <c r="G144" t="s">
        <v>568</v>
      </c>
      <c r="H144">
        <v>1</v>
      </c>
      <c r="I144">
        <v>35.18</v>
      </c>
      <c r="J144" t="s">
        <v>25</v>
      </c>
      <c r="K144" t="s">
        <v>41</v>
      </c>
      <c r="L144" s="3">
        <v>45403</v>
      </c>
      <c r="M144" t="s">
        <v>48</v>
      </c>
      <c r="N144" s="4">
        <v>26</v>
      </c>
      <c r="O144" t="str" cm="1">
        <f t="array" ref="O14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44" t="s">
        <v>568</v>
      </c>
      <c r="Q144" t="s">
        <v>2927</v>
      </c>
      <c r="R144" s="5">
        <v>35.18</v>
      </c>
      <c r="S144" s="5"/>
    </row>
    <row r="145" spans="1:19" x14ac:dyDescent="0.25">
      <c r="A145" t="s">
        <v>569</v>
      </c>
      <c r="B145" t="s">
        <v>469</v>
      </c>
      <c r="C145" s="1">
        <v>45055</v>
      </c>
      <c r="D145" t="s">
        <v>129</v>
      </c>
      <c r="E145" t="s">
        <v>31</v>
      </c>
      <c r="F145">
        <v>38</v>
      </c>
      <c r="G145" t="s">
        <v>570</v>
      </c>
      <c r="H145">
        <v>1</v>
      </c>
      <c r="I145">
        <v>11.16</v>
      </c>
      <c r="J145">
        <v>4.33</v>
      </c>
      <c r="K145" t="s">
        <v>19</v>
      </c>
      <c r="L145" s="3">
        <v>45055</v>
      </c>
      <c r="M145" t="s">
        <v>34</v>
      </c>
      <c r="N145" s="4">
        <v>38</v>
      </c>
      <c r="O145" t="str" cm="1">
        <f t="array" ref="O14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45" t="s">
        <v>570</v>
      </c>
      <c r="Q145" t="s">
        <v>2926</v>
      </c>
      <c r="R145" s="5">
        <v>11.16</v>
      </c>
      <c r="S145" s="5">
        <v>4.33</v>
      </c>
    </row>
    <row r="146" spans="1:19" x14ac:dyDescent="0.25">
      <c r="A146" t="s">
        <v>571</v>
      </c>
      <c r="B146" t="s">
        <v>480</v>
      </c>
      <c r="C146" s="1">
        <v>45505</v>
      </c>
      <c r="D146" t="s">
        <v>16</v>
      </c>
      <c r="E146" t="s">
        <v>48</v>
      </c>
      <c r="F146">
        <v>70</v>
      </c>
      <c r="G146" t="s">
        <v>572</v>
      </c>
      <c r="H146">
        <v>4</v>
      </c>
      <c r="I146">
        <v>58.47</v>
      </c>
      <c r="J146">
        <v>25.28</v>
      </c>
      <c r="K146" t="s">
        <v>19</v>
      </c>
      <c r="L146" s="3">
        <v>45505</v>
      </c>
      <c r="M146" t="s">
        <v>48</v>
      </c>
      <c r="N146" s="4">
        <v>70</v>
      </c>
      <c r="O146" t="str" cm="1">
        <f t="array" ref="O14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46" t="s">
        <v>572</v>
      </c>
      <c r="Q146" t="s">
        <v>2927</v>
      </c>
      <c r="R146" s="5">
        <v>58.47</v>
      </c>
      <c r="S146" s="5">
        <v>25.28</v>
      </c>
    </row>
    <row r="147" spans="1:19" x14ac:dyDescent="0.25">
      <c r="A147" t="s">
        <v>573</v>
      </c>
      <c r="B147" t="s">
        <v>402</v>
      </c>
      <c r="C147" t="s">
        <v>511</v>
      </c>
      <c r="D147" t="s">
        <v>129</v>
      </c>
      <c r="E147" t="s">
        <v>34</v>
      </c>
      <c r="F147">
        <v>20</v>
      </c>
      <c r="G147" t="s">
        <v>574</v>
      </c>
      <c r="H147">
        <v>1</v>
      </c>
      <c r="I147">
        <v>13.58</v>
      </c>
      <c r="J147" s="2">
        <v>4.12</v>
      </c>
      <c r="K147" t="s">
        <v>19</v>
      </c>
      <c r="L147" s="3">
        <v>45317</v>
      </c>
      <c r="M147" t="s">
        <v>34</v>
      </c>
      <c r="N147" s="4">
        <v>20</v>
      </c>
      <c r="O147" t="str" cm="1">
        <f t="array" ref="O14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147" t="s">
        <v>574</v>
      </c>
      <c r="Q147" t="s">
        <v>2926</v>
      </c>
      <c r="R147" s="5">
        <v>13.58</v>
      </c>
      <c r="S147" s="5">
        <v>4.12</v>
      </c>
    </row>
    <row r="148" spans="1:19" x14ac:dyDescent="0.25">
      <c r="A148" t="s">
        <v>575</v>
      </c>
      <c r="B148" t="s">
        <v>257</v>
      </c>
      <c r="C148" t="s">
        <v>576</v>
      </c>
      <c r="D148" t="s">
        <v>129</v>
      </c>
      <c r="E148" t="s">
        <v>34</v>
      </c>
      <c r="F148">
        <v>52</v>
      </c>
      <c r="G148" t="s">
        <v>577</v>
      </c>
      <c r="H148">
        <v>4</v>
      </c>
      <c r="I148" t="s">
        <v>578</v>
      </c>
      <c r="J148" t="s">
        <v>579</v>
      </c>
      <c r="K148" t="s">
        <v>19</v>
      </c>
      <c r="L148" s="3">
        <v>45429</v>
      </c>
      <c r="M148" t="s">
        <v>34</v>
      </c>
      <c r="N148" s="4">
        <v>52</v>
      </c>
      <c r="O148" t="str" cm="1">
        <f t="array" ref="O14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48" t="s">
        <v>577</v>
      </c>
      <c r="Q148" t="s">
        <v>2931</v>
      </c>
      <c r="R148" s="5">
        <v>10.09</v>
      </c>
      <c r="S148" s="5">
        <v>3.81</v>
      </c>
    </row>
    <row r="149" spans="1:19" x14ac:dyDescent="0.25">
      <c r="A149" t="s">
        <v>580</v>
      </c>
      <c r="B149" t="s">
        <v>581</v>
      </c>
      <c r="C149" s="3">
        <v>44965</v>
      </c>
      <c r="D149" t="s">
        <v>16</v>
      </c>
      <c r="E149" t="s">
        <v>31</v>
      </c>
      <c r="F149">
        <v>36</v>
      </c>
      <c r="G149" t="s">
        <v>582</v>
      </c>
      <c r="H149">
        <v>1</v>
      </c>
      <c r="I149">
        <v>13.55</v>
      </c>
      <c r="J149" t="s">
        <v>583</v>
      </c>
      <c r="K149" t="s">
        <v>19</v>
      </c>
      <c r="L149" s="3">
        <v>44965</v>
      </c>
      <c r="M149" t="s">
        <v>34</v>
      </c>
      <c r="N149" s="4">
        <v>36</v>
      </c>
      <c r="O149" t="str" cm="1">
        <f t="array" ref="O14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49" t="s">
        <v>582</v>
      </c>
      <c r="Q149" t="s">
        <v>2927</v>
      </c>
      <c r="R149" s="5">
        <v>13.55</v>
      </c>
      <c r="S149" s="5">
        <v>4.32</v>
      </c>
    </row>
    <row r="150" spans="1:19" x14ac:dyDescent="0.25">
      <c r="A150" t="s">
        <v>584</v>
      </c>
      <c r="B150" t="s">
        <v>585</v>
      </c>
      <c r="C150" s="3">
        <v>45053</v>
      </c>
      <c r="D150" t="s">
        <v>129</v>
      </c>
      <c r="E150" t="s">
        <v>70</v>
      </c>
      <c r="F150">
        <v>41</v>
      </c>
      <c r="G150" t="s">
        <v>586</v>
      </c>
      <c r="H150">
        <v>2</v>
      </c>
      <c r="I150">
        <v>10.14</v>
      </c>
      <c r="J150" t="s">
        <v>587</v>
      </c>
      <c r="K150" t="s">
        <v>19</v>
      </c>
      <c r="L150" s="3">
        <v>45053</v>
      </c>
      <c r="M150" t="s">
        <v>20</v>
      </c>
      <c r="N150" s="4">
        <v>41</v>
      </c>
      <c r="O150" t="str" cm="1">
        <f t="array" ref="O15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50" t="s">
        <v>586</v>
      </c>
      <c r="Q150" t="s">
        <v>2932</v>
      </c>
      <c r="R150" s="5">
        <v>10.14</v>
      </c>
      <c r="S150" s="5">
        <v>2.72</v>
      </c>
    </row>
    <row r="151" spans="1:19" x14ac:dyDescent="0.25">
      <c r="A151" t="s">
        <v>588</v>
      </c>
      <c r="B151" t="s">
        <v>589</v>
      </c>
      <c r="C151" t="s">
        <v>590</v>
      </c>
      <c r="D151" t="s">
        <v>51</v>
      </c>
      <c r="E151" t="s">
        <v>85</v>
      </c>
      <c r="F151">
        <v>14</v>
      </c>
      <c r="G151" t="s">
        <v>591</v>
      </c>
      <c r="H151">
        <v>6</v>
      </c>
      <c r="I151" t="s">
        <v>592</v>
      </c>
      <c r="J151" s="2">
        <v>126.37</v>
      </c>
      <c r="K151" t="s">
        <v>19</v>
      </c>
      <c r="L151" s="3">
        <v>44999</v>
      </c>
      <c r="M151" t="s">
        <v>34</v>
      </c>
      <c r="N151" s="4">
        <v>14</v>
      </c>
      <c r="O151" t="str" cm="1">
        <f t="array" ref="O15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151" t="s">
        <v>591</v>
      </c>
      <c r="Q151" t="s">
        <v>2926</v>
      </c>
      <c r="R151" s="5">
        <v>332.85</v>
      </c>
      <c r="S151" s="5">
        <v>126.37</v>
      </c>
    </row>
    <row r="152" spans="1:19" x14ac:dyDescent="0.25">
      <c r="A152" t="s">
        <v>593</v>
      </c>
      <c r="B152" t="s">
        <v>594</v>
      </c>
      <c r="C152" s="3">
        <v>44975</v>
      </c>
      <c r="D152" t="s">
        <v>129</v>
      </c>
      <c r="E152" t="s">
        <v>38</v>
      </c>
      <c r="F152">
        <v>74</v>
      </c>
      <c r="G152" t="s">
        <v>595</v>
      </c>
      <c r="H152">
        <v>3</v>
      </c>
      <c r="I152">
        <v>45.36</v>
      </c>
      <c r="J152">
        <v>23.44</v>
      </c>
      <c r="K152" t="s">
        <v>41</v>
      </c>
      <c r="L152" s="3">
        <v>44975</v>
      </c>
      <c r="M152" t="s">
        <v>34</v>
      </c>
      <c r="N152" s="4">
        <v>74</v>
      </c>
      <c r="O152" t="str" cm="1">
        <f t="array" ref="O15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52" t="s">
        <v>595</v>
      </c>
      <c r="Q152" t="s">
        <v>2926</v>
      </c>
      <c r="R152" s="5">
        <v>45.36</v>
      </c>
      <c r="S152" s="5">
        <v>23.44</v>
      </c>
    </row>
    <row r="153" spans="1:19" x14ac:dyDescent="0.25">
      <c r="A153" t="s">
        <v>596</v>
      </c>
      <c r="B153" t="s">
        <v>176</v>
      </c>
      <c r="C153" s="1">
        <v>45198</v>
      </c>
      <c r="D153" t="s">
        <v>30</v>
      </c>
      <c r="E153" t="s">
        <v>31</v>
      </c>
      <c r="F153">
        <v>56</v>
      </c>
      <c r="G153" t="s">
        <v>597</v>
      </c>
      <c r="H153">
        <v>1</v>
      </c>
      <c r="I153" t="s">
        <v>598</v>
      </c>
      <c r="J153" t="s">
        <v>599</v>
      </c>
      <c r="K153" t="s">
        <v>19</v>
      </c>
      <c r="L153" s="3">
        <v>45198</v>
      </c>
      <c r="M153" t="s">
        <v>34</v>
      </c>
      <c r="N153" s="4">
        <v>56</v>
      </c>
      <c r="O153" t="str" cm="1">
        <f t="array" ref="O15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53" t="s">
        <v>597</v>
      </c>
      <c r="Q153" t="s">
        <v>2929</v>
      </c>
      <c r="R153" s="5">
        <v>18.809999999999999</v>
      </c>
      <c r="S153" s="5">
        <v>9.07</v>
      </c>
    </row>
    <row r="154" spans="1:19" x14ac:dyDescent="0.25">
      <c r="A154" t="s">
        <v>600</v>
      </c>
      <c r="B154" t="s">
        <v>215</v>
      </c>
      <c r="C154" s="3">
        <v>45299</v>
      </c>
      <c r="D154" t="s">
        <v>16</v>
      </c>
      <c r="E154" t="s">
        <v>38</v>
      </c>
      <c r="F154">
        <v>40</v>
      </c>
      <c r="G154" t="s">
        <v>320</v>
      </c>
      <c r="H154">
        <v>1</v>
      </c>
      <c r="I154">
        <v>15.14</v>
      </c>
      <c r="J154" t="s">
        <v>601</v>
      </c>
      <c r="K154" t="s">
        <v>41</v>
      </c>
      <c r="L154" s="3">
        <v>45299</v>
      </c>
      <c r="M154" t="s">
        <v>34</v>
      </c>
      <c r="N154" s="4">
        <v>40</v>
      </c>
      <c r="O154" t="str" cm="1">
        <f t="array" ref="O15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54" t="s">
        <v>320</v>
      </c>
      <c r="Q154" t="s">
        <v>2926</v>
      </c>
      <c r="R154" s="5">
        <v>15.14</v>
      </c>
      <c r="S154" s="5">
        <v>3.62</v>
      </c>
    </row>
    <row r="155" spans="1:19" x14ac:dyDescent="0.25">
      <c r="A155" t="s">
        <v>602</v>
      </c>
      <c r="B155" t="s">
        <v>603</v>
      </c>
      <c r="C155" s="1">
        <v>44957</v>
      </c>
      <c r="D155" t="s">
        <v>30</v>
      </c>
      <c r="E155" t="s">
        <v>60</v>
      </c>
      <c r="F155">
        <v>28</v>
      </c>
      <c r="G155" t="s">
        <v>604</v>
      </c>
      <c r="H155">
        <v>3</v>
      </c>
      <c r="I155">
        <v>120.81</v>
      </c>
      <c r="J155" s="2">
        <v>46.17</v>
      </c>
      <c r="K155" t="s">
        <v>19</v>
      </c>
      <c r="L155" s="3">
        <v>44957</v>
      </c>
      <c r="M155" t="s">
        <v>48</v>
      </c>
      <c r="N155" s="4">
        <v>28</v>
      </c>
      <c r="O155" t="str" cm="1">
        <f t="array" ref="O15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55" t="s">
        <v>604</v>
      </c>
      <c r="Q155" t="s">
        <v>2927</v>
      </c>
      <c r="R155" s="5">
        <v>120.81</v>
      </c>
      <c r="S155" s="5">
        <v>46.17</v>
      </c>
    </row>
    <row r="156" spans="1:19" x14ac:dyDescent="0.25">
      <c r="A156" t="s">
        <v>605</v>
      </c>
      <c r="B156" t="s">
        <v>581</v>
      </c>
      <c r="C156" t="s">
        <v>606</v>
      </c>
      <c r="D156" t="s">
        <v>24</v>
      </c>
      <c r="E156" t="s">
        <v>31</v>
      </c>
      <c r="F156">
        <v>34</v>
      </c>
      <c r="G156" t="s">
        <v>607</v>
      </c>
      <c r="H156">
        <v>1</v>
      </c>
      <c r="I156" t="s">
        <v>608</v>
      </c>
      <c r="J156">
        <v>2.2799999999999998</v>
      </c>
      <c r="K156" t="s">
        <v>19</v>
      </c>
      <c r="L156" s="3">
        <v>45509</v>
      </c>
      <c r="M156" t="s">
        <v>34</v>
      </c>
      <c r="N156" s="4">
        <v>34</v>
      </c>
      <c r="O156" t="str" cm="1">
        <f t="array" ref="O15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56" t="s">
        <v>2506</v>
      </c>
      <c r="Q156" t="s">
        <v>2930</v>
      </c>
      <c r="R156" s="5">
        <v>9.14</v>
      </c>
      <c r="S156" s="5">
        <v>2.2799999999999998</v>
      </c>
    </row>
    <row r="157" spans="1:19" x14ac:dyDescent="0.25">
      <c r="A157" t="s">
        <v>609</v>
      </c>
      <c r="B157" t="s">
        <v>610</v>
      </c>
      <c r="C157" t="s">
        <v>611</v>
      </c>
      <c r="D157" t="s">
        <v>51</v>
      </c>
      <c r="E157" t="s">
        <v>31</v>
      </c>
      <c r="F157">
        <v>74</v>
      </c>
      <c r="G157" t="s">
        <v>612</v>
      </c>
      <c r="H157">
        <v>3</v>
      </c>
      <c r="I157" t="s">
        <v>613</v>
      </c>
      <c r="J157" t="s">
        <v>614</v>
      </c>
      <c r="K157" t="s">
        <v>41</v>
      </c>
      <c r="L157" s="3">
        <v>45618</v>
      </c>
      <c r="M157" t="s">
        <v>34</v>
      </c>
      <c r="N157" s="4">
        <v>74</v>
      </c>
      <c r="O157" t="str" cm="1">
        <f t="array" ref="O15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57" t="s">
        <v>612</v>
      </c>
      <c r="Q157" t="s">
        <v>2927</v>
      </c>
      <c r="R157" s="5">
        <v>53.52</v>
      </c>
      <c r="S157" s="5">
        <v>32.19</v>
      </c>
    </row>
    <row r="158" spans="1:19" x14ac:dyDescent="0.25">
      <c r="A158" t="s">
        <v>615</v>
      </c>
      <c r="B158" t="s">
        <v>616</v>
      </c>
      <c r="C158" s="1">
        <v>45424</v>
      </c>
      <c r="D158" t="s">
        <v>16</v>
      </c>
      <c r="E158" t="s">
        <v>34</v>
      </c>
      <c r="F158">
        <v>68</v>
      </c>
      <c r="G158" t="s">
        <v>617</v>
      </c>
      <c r="H158">
        <v>2</v>
      </c>
      <c r="I158" s="2">
        <v>18.96</v>
      </c>
      <c r="J158">
        <v>10.25</v>
      </c>
      <c r="K158" t="s">
        <v>41</v>
      </c>
      <c r="L158" s="3">
        <v>45424</v>
      </c>
      <c r="M158" t="s">
        <v>34</v>
      </c>
      <c r="N158" s="4">
        <v>68</v>
      </c>
      <c r="O158" t="str" cm="1">
        <f t="array" ref="O15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58" t="s">
        <v>399</v>
      </c>
      <c r="Q158" t="s">
        <v>2927</v>
      </c>
      <c r="R158" s="5">
        <v>18.96</v>
      </c>
      <c r="S158" s="5">
        <v>10.25</v>
      </c>
    </row>
    <row r="159" spans="1:19" x14ac:dyDescent="0.25">
      <c r="A159" t="s">
        <v>618</v>
      </c>
      <c r="B159" t="s">
        <v>619</v>
      </c>
      <c r="C159" s="1">
        <v>45087</v>
      </c>
      <c r="D159" t="s">
        <v>24</v>
      </c>
      <c r="E159" t="s">
        <v>48</v>
      </c>
      <c r="F159">
        <v>38</v>
      </c>
      <c r="G159" t="s">
        <v>620</v>
      </c>
      <c r="H159">
        <v>1</v>
      </c>
      <c r="I159" s="2">
        <v>23.59</v>
      </c>
      <c r="J159">
        <v>10.41</v>
      </c>
      <c r="K159" t="s">
        <v>19</v>
      </c>
      <c r="L159" s="3">
        <v>45087</v>
      </c>
      <c r="M159" t="s">
        <v>48</v>
      </c>
      <c r="N159" s="4">
        <v>38</v>
      </c>
      <c r="O159" t="str" cm="1">
        <f t="array" ref="O15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59" t="s">
        <v>620</v>
      </c>
      <c r="Q159" t="s">
        <v>2930</v>
      </c>
      <c r="R159" s="5">
        <v>23.59</v>
      </c>
      <c r="S159" s="5">
        <v>10.41</v>
      </c>
    </row>
    <row r="160" spans="1:19" x14ac:dyDescent="0.25">
      <c r="A160" t="s">
        <v>621</v>
      </c>
      <c r="B160" t="s">
        <v>622</v>
      </c>
      <c r="C160" s="3">
        <v>44985</v>
      </c>
      <c r="D160" t="s">
        <v>129</v>
      </c>
      <c r="E160" t="s">
        <v>45</v>
      </c>
      <c r="F160">
        <v>62</v>
      </c>
      <c r="G160" t="s">
        <v>623</v>
      </c>
      <c r="H160">
        <v>1</v>
      </c>
      <c r="I160">
        <v>14.22</v>
      </c>
      <c r="J160">
        <v>3.81</v>
      </c>
      <c r="K160" t="s">
        <v>19</v>
      </c>
      <c r="L160" s="3">
        <v>44985</v>
      </c>
      <c r="M160" t="s">
        <v>48</v>
      </c>
      <c r="N160" s="4">
        <v>62</v>
      </c>
      <c r="O160" t="str" cm="1">
        <f t="array" ref="O16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60" t="s">
        <v>623</v>
      </c>
      <c r="Q160" t="s">
        <v>2926</v>
      </c>
      <c r="R160" s="5">
        <v>14.22</v>
      </c>
      <c r="S160" s="5">
        <v>3.81</v>
      </c>
    </row>
    <row r="161" spans="1:19" x14ac:dyDescent="0.25">
      <c r="A161" t="s">
        <v>624</v>
      </c>
      <c r="B161" t="s">
        <v>625</v>
      </c>
      <c r="C161" t="s">
        <v>626</v>
      </c>
      <c r="D161" t="s">
        <v>16</v>
      </c>
      <c r="E161" t="s">
        <v>60</v>
      </c>
      <c r="F161">
        <v>18</v>
      </c>
      <c r="G161" t="s">
        <v>627</v>
      </c>
      <c r="H161">
        <v>3</v>
      </c>
      <c r="I161" s="2">
        <v>11.59</v>
      </c>
      <c r="J161">
        <v>5.64</v>
      </c>
      <c r="K161" t="s">
        <v>19</v>
      </c>
      <c r="L161" s="3">
        <v>45192</v>
      </c>
      <c r="M161" t="s">
        <v>48</v>
      </c>
      <c r="N161" s="4">
        <v>18</v>
      </c>
      <c r="O161" t="str" cm="1">
        <f t="array" ref="O16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161" t="s">
        <v>627</v>
      </c>
      <c r="Q161" t="s">
        <v>2926</v>
      </c>
      <c r="R161" s="5">
        <v>11.59</v>
      </c>
      <c r="S161" s="5">
        <v>5.64</v>
      </c>
    </row>
    <row r="162" spans="1:19" x14ac:dyDescent="0.25">
      <c r="A162" t="s">
        <v>628</v>
      </c>
      <c r="B162" t="s">
        <v>273</v>
      </c>
      <c r="C162" t="s">
        <v>629</v>
      </c>
      <c r="D162" t="s">
        <v>30</v>
      </c>
      <c r="E162" t="s">
        <v>65</v>
      </c>
      <c r="F162">
        <v>27</v>
      </c>
      <c r="G162" t="s">
        <v>630</v>
      </c>
      <c r="H162">
        <v>2</v>
      </c>
      <c r="I162" t="s">
        <v>631</v>
      </c>
      <c r="J162">
        <v>24.97</v>
      </c>
      <c r="K162" t="s">
        <v>41</v>
      </c>
      <c r="L162" s="3">
        <v>44954</v>
      </c>
      <c r="M162" t="s">
        <v>48</v>
      </c>
      <c r="N162" s="4">
        <v>27</v>
      </c>
      <c r="O162" t="str" cm="1">
        <f t="array" ref="O16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62" t="s">
        <v>630</v>
      </c>
      <c r="Q162" t="s">
        <v>2927</v>
      </c>
      <c r="R162" s="5">
        <v>92.74</v>
      </c>
      <c r="S162" s="5">
        <v>24.97</v>
      </c>
    </row>
    <row r="163" spans="1:19" x14ac:dyDescent="0.25">
      <c r="A163" t="s">
        <v>632</v>
      </c>
      <c r="B163" t="s">
        <v>633</v>
      </c>
      <c r="C163" t="s">
        <v>634</v>
      </c>
      <c r="D163" t="s">
        <v>51</v>
      </c>
      <c r="E163" t="s">
        <v>31</v>
      </c>
      <c r="F163">
        <v>28</v>
      </c>
      <c r="G163" t="s">
        <v>635</v>
      </c>
      <c r="H163">
        <v>1</v>
      </c>
      <c r="I163" t="s">
        <v>205</v>
      </c>
      <c r="J163" t="s">
        <v>25</v>
      </c>
      <c r="K163" t="s">
        <v>41</v>
      </c>
      <c r="L163" s="3">
        <v>45119</v>
      </c>
      <c r="M163" t="s">
        <v>34</v>
      </c>
      <c r="N163" s="4">
        <v>28</v>
      </c>
      <c r="O163" t="str" cm="1">
        <f t="array" ref="O16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63" t="s">
        <v>635</v>
      </c>
      <c r="Q163" t="s">
        <v>2927</v>
      </c>
      <c r="R163" s="5"/>
      <c r="S163" s="5"/>
    </row>
    <row r="164" spans="1:19" x14ac:dyDescent="0.25">
      <c r="A164" t="s">
        <v>636</v>
      </c>
      <c r="B164" t="s">
        <v>637</v>
      </c>
      <c r="C164" s="1">
        <v>45509</v>
      </c>
      <c r="D164" t="s">
        <v>129</v>
      </c>
      <c r="E164" t="s">
        <v>65</v>
      </c>
      <c r="F164" t="s">
        <v>25</v>
      </c>
      <c r="G164" t="s">
        <v>638</v>
      </c>
      <c r="H164">
        <v>2</v>
      </c>
      <c r="I164" t="s">
        <v>639</v>
      </c>
      <c r="J164" t="s">
        <v>640</v>
      </c>
      <c r="K164" t="s">
        <v>41</v>
      </c>
      <c r="L164" s="3">
        <v>45509</v>
      </c>
      <c r="M164" t="s">
        <v>48</v>
      </c>
      <c r="N164" s="4"/>
      <c r="O164" t="str" cm="1">
        <f t="array" ref="O16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164" t="s">
        <v>638</v>
      </c>
      <c r="Q164" t="s">
        <v>2925</v>
      </c>
      <c r="R164" s="5">
        <v>11.07</v>
      </c>
      <c r="S164" s="5">
        <v>4.05</v>
      </c>
    </row>
    <row r="165" spans="1:19" x14ac:dyDescent="0.25">
      <c r="A165" t="s">
        <v>641</v>
      </c>
      <c r="B165" t="s">
        <v>642</v>
      </c>
      <c r="C165" s="3">
        <v>45609</v>
      </c>
      <c r="D165" t="s">
        <v>129</v>
      </c>
      <c r="E165" t="s">
        <v>45</v>
      </c>
      <c r="F165">
        <v>58</v>
      </c>
      <c r="G165" t="s">
        <v>643</v>
      </c>
      <c r="H165">
        <v>2</v>
      </c>
      <c r="I165">
        <v>11.27</v>
      </c>
      <c r="J165" s="2">
        <v>3.98</v>
      </c>
      <c r="K165" t="s">
        <v>41</v>
      </c>
      <c r="L165" s="3">
        <v>45609</v>
      </c>
      <c r="M165" t="s">
        <v>48</v>
      </c>
      <c r="N165" s="4">
        <v>58</v>
      </c>
      <c r="O165" t="str" cm="1">
        <f t="array" ref="O16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65" t="s">
        <v>643</v>
      </c>
      <c r="Q165" t="s">
        <v>2927</v>
      </c>
      <c r="R165" s="5">
        <v>11.27</v>
      </c>
      <c r="S165" s="5">
        <v>3.98</v>
      </c>
    </row>
    <row r="166" spans="1:19" x14ac:dyDescent="0.25">
      <c r="A166" t="s">
        <v>644</v>
      </c>
      <c r="B166" t="s">
        <v>397</v>
      </c>
      <c r="C166" t="s">
        <v>84</v>
      </c>
      <c r="D166" t="s">
        <v>51</v>
      </c>
      <c r="E166" t="s">
        <v>65</v>
      </c>
      <c r="F166">
        <v>13</v>
      </c>
      <c r="G166" t="s">
        <v>645</v>
      </c>
      <c r="H166">
        <v>1</v>
      </c>
      <c r="I166" t="s">
        <v>646</v>
      </c>
      <c r="J166">
        <v>15.79</v>
      </c>
      <c r="K166" t="s">
        <v>19</v>
      </c>
      <c r="L166" s="3">
        <v>45109</v>
      </c>
      <c r="M166" t="s">
        <v>48</v>
      </c>
      <c r="N166" s="4">
        <v>13</v>
      </c>
      <c r="O166" t="str" cm="1">
        <f t="array" ref="O16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166" t="s">
        <v>2937</v>
      </c>
      <c r="Q166" t="s">
        <v>2929</v>
      </c>
      <c r="R166" s="5">
        <v>34.31</v>
      </c>
      <c r="S166" s="5">
        <v>15.79</v>
      </c>
    </row>
    <row r="167" spans="1:19" x14ac:dyDescent="0.25">
      <c r="A167" t="s">
        <v>647</v>
      </c>
      <c r="B167" t="s">
        <v>102</v>
      </c>
      <c r="C167" s="1">
        <v>45523</v>
      </c>
      <c r="D167" t="s">
        <v>16</v>
      </c>
      <c r="E167" t="s">
        <v>65</v>
      </c>
      <c r="F167">
        <v>17</v>
      </c>
      <c r="G167" t="s">
        <v>648</v>
      </c>
      <c r="H167">
        <v>1</v>
      </c>
      <c r="I167">
        <v>9.32</v>
      </c>
      <c r="J167">
        <v>3.6</v>
      </c>
      <c r="K167" t="s">
        <v>41</v>
      </c>
      <c r="L167" s="3">
        <v>45523</v>
      </c>
      <c r="M167" t="s">
        <v>48</v>
      </c>
      <c r="N167" s="4">
        <v>17</v>
      </c>
      <c r="O167" t="str" cm="1">
        <f t="array" ref="O16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167" t="s">
        <v>1260</v>
      </c>
      <c r="Q167" t="s">
        <v>2925</v>
      </c>
      <c r="R167" s="5">
        <v>9.32</v>
      </c>
      <c r="S167" s="5">
        <v>3.6</v>
      </c>
    </row>
    <row r="168" spans="1:19" x14ac:dyDescent="0.25">
      <c r="A168" t="s">
        <v>649</v>
      </c>
      <c r="B168" t="s">
        <v>434</v>
      </c>
      <c r="C168" t="s">
        <v>650</v>
      </c>
      <c r="D168" t="s">
        <v>16</v>
      </c>
      <c r="E168" t="s">
        <v>48</v>
      </c>
      <c r="F168">
        <v>33</v>
      </c>
      <c r="G168" t="s">
        <v>651</v>
      </c>
      <c r="H168">
        <v>2</v>
      </c>
      <c r="I168">
        <v>29.15</v>
      </c>
      <c r="J168" t="s">
        <v>652</v>
      </c>
      <c r="K168" t="s">
        <v>41</v>
      </c>
      <c r="L168" s="3">
        <v>45006</v>
      </c>
      <c r="M168" t="s">
        <v>48</v>
      </c>
      <c r="N168" s="4">
        <v>33</v>
      </c>
      <c r="O168" t="str" cm="1">
        <f t="array" ref="O16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68" t="s">
        <v>651</v>
      </c>
      <c r="Q168" t="s">
        <v>2927</v>
      </c>
      <c r="R168" s="5">
        <v>29.15</v>
      </c>
      <c r="S168" s="5">
        <v>13.18</v>
      </c>
    </row>
    <row r="169" spans="1:19" x14ac:dyDescent="0.25">
      <c r="A169" t="s">
        <v>653</v>
      </c>
      <c r="B169" t="s">
        <v>157</v>
      </c>
      <c r="C169" t="s">
        <v>654</v>
      </c>
      <c r="D169" t="s">
        <v>51</v>
      </c>
      <c r="E169" t="s">
        <v>48</v>
      </c>
      <c r="F169">
        <v>70</v>
      </c>
      <c r="G169" t="s">
        <v>655</v>
      </c>
      <c r="H169">
        <v>1</v>
      </c>
      <c r="I169">
        <v>34.590000000000003</v>
      </c>
      <c r="J169">
        <v>15.64</v>
      </c>
      <c r="K169" t="s">
        <v>19</v>
      </c>
      <c r="L169" s="3">
        <v>45545</v>
      </c>
      <c r="M169" t="s">
        <v>48</v>
      </c>
      <c r="N169" s="4">
        <v>70</v>
      </c>
      <c r="O169" t="str" cm="1">
        <f t="array" ref="O16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69" t="s">
        <v>655</v>
      </c>
      <c r="Q169" t="s">
        <v>2927</v>
      </c>
      <c r="R169" s="5">
        <v>34.590000000000003</v>
      </c>
      <c r="S169" s="5">
        <v>15.64</v>
      </c>
    </row>
    <row r="170" spans="1:19" x14ac:dyDescent="0.25">
      <c r="A170" t="s">
        <v>656</v>
      </c>
      <c r="B170" t="s">
        <v>657</v>
      </c>
      <c r="C170" s="1">
        <v>45215</v>
      </c>
      <c r="D170" t="s">
        <v>16</v>
      </c>
      <c r="E170" t="s">
        <v>45</v>
      </c>
      <c r="F170">
        <v>66</v>
      </c>
      <c r="G170" t="s">
        <v>658</v>
      </c>
      <c r="H170">
        <v>2</v>
      </c>
      <c r="I170">
        <v>10.86</v>
      </c>
      <c r="J170" s="2">
        <v>4.8099999999999996</v>
      </c>
      <c r="K170" t="s">
        <v>41</v>
      </c>
      <c r="L170" s="3">
        <v>45215</v>
      </c>
      <c r="M170" t="s">
        <v>48</v>
      </c>
      <c r="N170" s="4">
        <v>66</v>
      </c>
      <c r="O170" t="str" cm="1">
        <f t="array" ref="O17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70" t="s">
        <v>658</v>
      </c>
      <c r="Q170" t="s">
        <v>2927</v>
      </c>
      <c r="R170" s="5">
        <v>10.86</v>
      </c>
      <c r="S170" s="5">
        <v>4.8099999999999996</v>
      </c>
    </row>
    <row r="171" spans="1:19" x14ac:dyDescent="0.25">
      <c r="A171" t="s">
        <v>659</v>
      </c>
      <c r="B171" t="s">
        <v>660</v>
      </c>
      <c r="C171" t="s">
        <v>661</v>
      </c>
      <c r="D171" t="s">
        <v>16</v>
      </c>
      <c r="E171" t="s">
        <v>85</v>
      </c>
      <c r="F171">
        <v>56</v>
      </c>
      <c r="G171" t="s">
        <v>662</v>
      </c>
      <c r="H171">
        <v>2</v>
      </c>
      <c r="I171" s="2">
        <v>30.39</v>
      </c>
      <c r="J171">
        <v>7.91</v>
      </c>
      <c r="K171" t="s">
        <v>19</v>
      </c>
      <c r="L171" s="3">
        <v>45649</v>
      </c>
      <c r="M171" t="s">
        <v>34</v>
      </c>
      <c r="N171" s="4">
        <v>56</v>
      </c>
      <c r="O171" t="str" cm="1">
        <f t="array" ref="O17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71" t="s">
        <v>635</v>
      </c>
      <c r="Q171" t="s">
        <v>2927</v>
      </c>
      <c r="R171" s="5">
        <v>30.39</v>
      </c>
      <c r="S171" s="5">
        <v>7.91</v>
      </c>
    </row>
    <row r="172" spans="1:19" x14ac:dyDescent="0.25">
      <c r="A172" t="s">
        <v>663</v>
      </c>
      <c r="B172" t="s">
        <v>664</v>
      </c>
      <c r="C172" t="s">
        <v>665</v>
      </c>
      <c r="D172" t="s">
        <v>16</v>
      </c>
      <c r="E172" t="s">
        <v>60</v>
      </c>
      <c r="F172">
        <v>21</v>
      </c>
      <c r="G172" t="s">
        <v>666</v>
      </c>
      <c r="H172">
        <v>1</v>
      </c>
      <c r="I172" s="2">
        <v>21.57</v>
      </c>
      <c r="J172">
        <v>5.61</v>
      </c>
      <c r="K172" t="s">
        <v>19</v>
      </c>
      <c r="L172" s="3">
        <v>45259</v>
      </c>
      <c r="M172" t="s">
        <v>48</v>
      </c>
      <c r="N172" s="4">
        <v>21</v>
      </c>
      <c r="O172" t="str" cm="1">
        <f t="array" ref="O17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172" t="s">
        <v>666</v>
      </c>
      <c r="Q172" t="s">
        <v>2929</v>
      </c>
      <c r="R172" s="5">
        <v>21.57</v>
      </c>
      <c r="S172" s="5">
        <v>5.61</v>
      </c>
    </row>
    <row r="173" spans="1:19" x14ac:dyDescent="0.25">
      <c r="A173" t="s">
        <v>667</v>
      </c>
      <c r="B173" t="s">
        <v>668</v>
      </c>
      <c r="C173" t="s">
        <v>669</v>
      </c>
      <c r="D173" t="s">
        <v>129</v>
      </c>
      <c r="E173" t="s">
        <v>38</v>
      </c>
      <c r="F173">
        <v>59</v>
      </c>
      <c r="G173" t="s">
        <v>670</v>
      </c>
      <c r="H173">
        <v>1</v>
      </c>
      <c r="I173">
        <v>15.18</v>
      </c>
      <c r="J173">
        <v>5.16</v>
      </c>
      <c r="K173" t="s">
        <v>19</v>
      </c>
      <c r="L173" s="3">
        <v>44982</v>
      </c>
      <c r="M173" t="s">
        <v>34</v>
      </c>
      <c r="N173" s="4">
        <v>59</v>
      </c>
      <c r="O173" t="str" cm="1">
        <f t="array" ref="O17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73" t="s">
        <v>1154</v>
      </c>
      <c r="Q173" t="s">
        <v>2929</v>
      </c>
      <c r="R173" s="5">
        <v>15.18</v>
      </c>
      <c r="S173" s="5">
        <v>5.16</v>
      </c>
    </row>
    <row r="174" spans="1:19" x14ac:dyDescent="0.25">
      <c r="A174" t="s">
        <v>671</v>
      </c>
      <c r="B174" t="s">
        <v>374</v>
      </c>
      <c r="C174" s="1">
        <v>45085</v>
      </c>
      <c r="D174" t="s">
        <v>30</v>
      </c>
      <c r="E174" t="s">
        <v>85</v>
      </c>
      <c r="F174">
        <v>61</v>
      </c>
      <c r="G174" t="s">
        <v>672</v>
      </c>
      <c r="H174">
        <v>1</v>
      </c>
      <c r="I174">
        <v>27.77</v>
      </c>
      <c r="J174">
        <v>9.39</v>
      </c>
      <c r="K174" t="s">
        <v>41</v>
      </c>
      <c r="L174" s="3">
        <v>45085</v>
      </c>
      <c r="M174" t="s">
        <v>34</v>
      </c>
      <c r="N174" s="4">
        <v>61</v>
      </c>
      <c r="O174" t="str" cm="1">
        <f t="array" ref="O17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74" t="s">
        <v>2938</v>
      </c>
      <c r="Q174" t="s">
        <v>2926</v>
      </c>
      <c r="R174" s="5">
        <v>27.77</v>
      </c>
      <c r="S174" s="5">
        <v>9.39</v>
      </c>
    </row>
    <row r="175" spans="1:19" x14ac:dyDescent="0.25">
      <c r="A175" t="s">
        <v>105</v>
      </c>
      <c r="B175" t="s">
        <v>106</v>
      </c>
      <c r="C175" t="s">
        <v>107</v>
      </c>
      <c r="D175" t="s">
        <v>51</v>
      </c>
      <c r="E175" t="s">
        <v>38</v>
      </c>
      <c r="F175">
        <v>21</v>
      </c>
      <c r="G175" t="s">
        <v>108</v>
      </c>
      <c r="H175">
        <v>2</v>
      </c>
      <c r="I175">
        <v>54.5</v>
      </c>
      <c r="J175">
        <v>28.76</v>
      </c>
      <c r="K175" t="s">
        <v>41</v>
      </c>
      <c r="L175" s="3">
        <v>45441</v>
      </c>
      <c r="M175" t="s">
        <v>34</v>
      </c>
      <c r="N175" s="4">
        <v>21</v>
      </c>
      <c r="O175" t="str" cm="1">
        <f t="array" ref="O17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175" t="s">
        <v>108</v>
      </c>
      <c r="Q175" t="s">
        <v>2927</v>
      </c>
      <c r="R175" s="5">
        <v>54.5</v>
      </c>
      <c r="S175" s="5">
        <v>28.76</v>
      </c>
    </row>
    <row r="176" spans="1:19" x14ac:dyDescent="0.25">
      <c r="A176" t="s">
        <v>673</v>
      </c>
      <c r="B176" t="s">
        <v>461</v>
      </c>
      <c r="C176" s="3">
        <v>44985</v>
      </c>
      <c r="D176" t="s">
        <v>129</v>
      </c>
      <c r="E176" t="s">
        <v>31</v>
      </c>
      <c r="F176">
        <v>71</v>
      </c>
      <c r="G176" t="s">
        <v>674</v>
      </c>
      <c r="H176">
        <v>1</v>
      </c>
      <c r="I176">
        <v>9.1300000000000008</v>
      </c>
      <c r="J176">
        <v>3.76</v>
      </c>
      <c r="K176" t="s">
        <v>19</v>
      </c>
      <c r="L176" s="3">
        <v>44985</v>
      </c>
      <c r="M176" t="s">
        <v>34</v>
      </c>
      <c r="N176" s="4">
        <v>71</v>
      </c>
      <c r="O176" t="str" cm="1">
        <f t="array" ref="O17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76" t="s">
        <v>674</v>
      </c>
      <c r="Q176" t="s">
        <v>2930</v>
      </c>
      <c r="R176" s="5">
        <v>9.1300000000000008</v>
      </c>
      <c r="S176" s="5">
        <v>3.76</v>
      </c>
    </row>
    <row r="177" spans="1:19" x14ac:dyDescent="0.25">
      <c r="A177" t="s">
        <v>675</v>
      </c>
      <c r="B177" t="s">
        <v>676</v>
      </c>
      <c r="C177" t="s">
        <v>677</v>
      </c>
      <c r="D177" t="s">
        <v>51</v>
      </c>
      <c r="E177" t="s">
        <v>85</v>
      </c>
      <c r="F177">
        <v>65</v>
      </c>
      <c r="G177" t="s">
        <v>337</v>
      </c>
      <c r="H177">
        <v>1</v>
      </c>
      <c r="I177">
        <v>25.47</v>
      </c>
      <c r="J177">
        <v>12.82</v>
      </c>
      <c r="K177" t="s">
        <v>41</v>
      </c>
      <c r="L177" s="3">
        <v>45164</v>
      </c>
      <c r="M177" t="s">
        <v>34</v>
      </c>
      <c r="N177" s="4">
        <v>65</v>
      </c>
      <c r="O177" t="str" cm="1">
        <f t="array" ref="O17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77" t="s">
        <v>337</v>
      </c>
      <c r="Q177" t="s">
        <v>2927</v>
      </c>
      <c r="R177" s="5">
        <v>25.47</v>
      </c>
      <c r="S177" s="5">
        <v>12.82</v>
      </c>
    </row>
    <row r="178" spans="1:19" x14ac:dyDescent="0.25">
      <c r="A178" t="s">
        <v>678</v>
      </c>
      <c r="B178" t="s">
        <v>679</v>
      </c>
      <c r="C178" s="1">
        <v>45392</v>
      </c>
      <c r="D178" t="s">
        <v>30</v>
      </c>
      <c r="E178" t="s">
        <v>65</v>
      </c>
      <c r="F178">
        <v>61</v>
      </c>
      <c r="G178" t="s">
        <v>680</v>
      </c>
      <c r="H178">
        <v>3</v>
      </c>
      <c r="I178">
        <v>46.58</v>
      </c>
      <c r="J178">
        <v>19.399999999999999</v>
      </c>
      <c r="K178" t="s">
        <v>41</v>
      </c>
      <c r="L178" s="3">
        <v>45392</v>
      </c>
      <c r="M178" t="s">
        <v>48</v>
      </c>
      <c r="N178" s="4">
        <v>61</v>
      </c>
      <c r="O178" t="str" cm="1">
        <f t="array" ref="O17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78" t="s">
        <v>680</v>
      </c>
      <c r="Q178" t="s">
        <v>2926</v>
      </c>
      <c r="R178" s="5">
        <v>46.58</v>
      </c>
      <c r="S178" s="5">
        <v>19.399999999999999</v>
      </c>
    </row>
    <row r="179" spans="1:19" x14ac:dyDescent="0.25">
      <c r="A179" t="s">
        <v>681</v>
      </c>
      <c r="B179" t="s">
        <v>682</v>
      </c>
      <c r="C179" s="1">
        <v>45579</v>
      </c>
      <c r="D179" t="s">
        <v>30</v>
      </c>
      <c r="E179" t="s">
        <v>85</v>
      </c>
      <c r="F179">
        <v>67</v>
      </c>
      <c r="G179" t="s">
        <v>683</v>
      </c>
      <c r="H179">
        <v>1</v>
      </c>
      <c r="I179">
        <v>32.93</v>
      </c>
      <c r="J179">
        <v>17.39</v>
      </c>
      <c r="K179" t="s">
        <v>19</v>
      </c>
      <c r="L179" s="3">
        <v>45579</v>
      </c>
      <c r="M179" t="s">
        <v>34</v>
      </c>
      <c r="N179" s="4">
        <v>67</v>
      </c>
      <c r="O179" t="str" cm="1">
        <f t="array" ref="O17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79" t="s">
        <v>683</v>
      </c>
      <c r="Q179" t="s">
        <v>2929</v>
      </c>
      <c r="R179" s="5">
        <v>32.93</v>
      </c>
      <c r="S179" s="5">
        <v>17.39</v>
      </c>
    </row>
    <row r="180" spans="1:19" x14ac:dyDescent="0.25">
      <c r="A180" t="s">
        <v>684</v>
      </c>
      <c r="B180" t="s">
        <v>685</v>
      </c>
      <c r="C180" s="1">
        <v>45633</v>
      </c>
      <c r="D180" t="s">
        <v>51</v>
      </c>
      <c r="E180" t="s">
        <v>34</v>
      </c>
      <c r="F180">
        <v>66</v>
      </c>
      <c r="G180" t="s">
        <v>686</v>
      </c>
      <c r="H180">
        <v>2</v>
      </c>
      <c r="I180" t="s">
        <v>687</v>
      </c>
      <c r="J180" t="s">
        <v>688</v>
      </c>
      <c r="K180" t="s">
        <v>19</v>
      </c>
      <c r="L180" s="3">
        <v>45633</v>
      </c>
      <c r="M180" t="s">
        <v>34</v>
      </c>
      <c r="N180" s="4">
        <v>66</v>
      </c>
      <c r="O180" t="str" cm="1">
        <f t="array" ref="O18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80" t="s">
        <v>686</v>
      </c>
      <c r="Q180" t="s">
        <v>2929</v>
      </c>
      <c r="R180" s="5">
        <v>90.23</v>
      </c>
      <c r="S180" s="5">
        <v>21.74</v>
      </c>
    </row>
    <row r="181" spans="1:19" x14ac:dyDescent="0.25">
      <c r="A181" t="s">
        <v>689</v>
      </c>
      <c r="B181" t="s">
        <v>690</v>
      </c>
      <c r="C181" t="s">
        <v>691</v>
      </c>
      <c r="D181" t="s">
        <v>16</v>
      </c>
      <c r="E181" t="s">
        <v>132</v>
      </c>
      <c r="F181">
        <v>68</v>
      </c>
      <c r="G181" t="s">
        <v>692</v>
      </c>
      <c r="H181">
        <v>2</v>
      </c>
      <c r="I181">
        <v>20.11</v>
      </c>
      <c r="J181">
        <v>7.21</v>
      </c>
      <c r="K181" t="s">
        <v>19</v>
      </c>
      <c r="L181" s="3">
        <v>45172</v>
      </c>
      <c r="M181" t="s">
        <v>132</v>
      </c>
      <c r="N181" s="4">
        <v>68</v>
      </c>
      <c r="O181" t="str" cm="1">
        <f t="array" ref="O18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81" t="s">
        <v>692</v>
      </c>
      <c r="Q181" t="s">
        <v>2927</v>
      </c>
      <c r="R181" s="5">
        <v>20.11</v>
      </c>
      <c r="S181" s="5">
        <v>7.21</v>
      </c>
    </row>
    <row r="182" spans="1:19" x14ac:dyDescent="0.25">
      <c r="A182" t="s">
        <v>693</v>
      </c>
      <c r="B182" t="s">
        <v>487</v>
      </c>
      <c r="C182" s="1">
        <v>45218</v>
      </c>
      <c r="D182" t="s">
        <v>129</v>
      </c>
      <c r="E182" t="s">
        <v>31</v>
      </c>
      <c r="F182">
        <v>20</v>
      </c>
      <c r="G182" t="s">
        <v>694</v>
      </c>
      <c r="H182">
        <v>2</v>
      </c>
      <c r="I182" t="s">
        <v>25</v>
      </c>
      <c r="J182">
        <v>4.29</v>
      </c>
      <c r="K182" t="s">
        <v>41</v>
      </c>
      <c r="L182" s="3">
        <v>45218</v>
      </c>
      <c r="M182" t="s">
        <v>34</v>
      </c>
      <c r="N182" s="4">
        <v>20</v>
      </c>
      <c r="O182" t="str" cm="1">
        <f t="array" ref="O18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182" t="s">
        <v>694</v>
      </c>
      <c r="Q182" t="s">
        <v>2926</v>
      </c>
      <c r="R182" s="5"/>
      <c r="S182" s="5">
        <v>4.29</v>
      </c>
    </row>
    <row r="183" spans="1:19" x14ac:dyDescent="0.25">
      <c r="A183" t="s">
        <v>695</v>
      </c>
      <c r="B183" t="s">
        <v>696</v>
      </c>
      <c r="C183" t="s">
        <v>697</v>
      </c>
      <c r="D183" t="s">
        <v>30</v>
      </c>
      <c r="E183" t="s">
        <v>65</v>
      </c>
      <c r="F183">
        <v>28</v>
      </c>
      <c r="G183" t="s">
        <v>698</v>
      </c>
      <c r="H183">
        <v>2</v>
      </c>
      <c r="I183" s="2">
        <v>61.81</v>
      </c>
      <c r="J183" t="s">
        <v>699</v>
      </c>
      <c r="K183" t="s">
        <v>19</v>
      </c>
      <c r="L183" s="3">
        <v>45233</v>
      </c>
      <c r="M183" t="s">
        <v>48</v>
      </c>
      <c r="N183" s="4">
        <v>28</v>
      </c>
      <c r="O183" t="str" cm="1">
        <f t="array" ref="O18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83" t="s">
        <v>698</v>
      </c>
      <c r="Q183" t="s">
        <v>2926</v>
      </c>
      <c r="R183" s="5">
        <v>61.81</v>
      </c>
      <c r="S183" s="5">
        <v>37.47</v>
      </c>
    </row>
    <row r="184" spans="1:19" x14ac:dyDescent="0.25">
      <c r="A184" t="s">
        <v>700</v>
      </c>
      <c r="B184" t="s">
        <v>668</v>
      </c>
      <c r="C184" t="s">
        <v>701</v>
      </c>
      <c r="D184" t="s">
        <v>16</v>
      </c>
      <c r="E184" t="s">
        <v>85</v>
      </c>
      <c r="F184">
        <v>32</v>
      </c>
      <c r="G184" t="s">
        <v>420</v>
      </c>
      <c r="H184">
        <v>1</v>
      </c>
      <c r="I184">
        <v>13.48</v>
      </c>
      <c r="J184">
        <v>4.38</v>
      </c>
      <c r="K184" t="s">
        <v>41</v>
      </c>
      <c r="L184" s="3">
        <v>45341</v>
      </c>
      <c r="M184" t="s">
        <v>34</v>
      </c>
      <c r="N184" s="4">
        <v>32</v>
      </c>
      <c r="O184" t="str" cm="1">
        <f t="array" ref="O18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84" t="s">
        <v>420</v>
      </c>
      <c r="Q184" t="s">
        <v>2929</v>
      </c>
      <c r="R184" s="5">
        <v>13.48</v>
      </c>
      <c r="S184" s="5">
        <v>4.38</v>
      </c>
    </row>
    <row r="185" spans="1:19" x14ac:dyDescent="0.25">
      <c r="A185" t="s">
        <v>702</v>
      </c>
      <c r="B185" t="s">
        <v>330</v>
      </c>
      <c r="C185" s="1">
        <v>45275</v>
      </c>
      <c r="D185" t="s">
        <v>51</v>
      </c>
      <c r="E185" t="s">
        <v>65</v>
      </c>
      <c r="F185">
        <v>66</v>
      </c>
      <c r="G185" t="s">
        <v>703</v>
      </c>
      <c r="H185">
        <v>3</v>
      </c>
      <c r="I185" t="s">
        <v>704</v>
      </c>
      <c r="J185" t="s">
        <v>705</v>
      </c>
      <c r="K185" t="s">
        <v>19</v>
      </c>
      <c r="L185" s="3">
        <v>45275</v>
      </c>
      <c r="M185" t="s">
        <v>48</v>
      </c>
      <c r="N185" s="4">
        <v>66</v>
      </c>
      <c r="O185" t="str" cm="1">
        <f t="array" ref="O18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85" t="s">
        <v>703</v>
      </c>
      <c r="Q185" t="s">
        <v>2927</v>
      </c>
      <c r="R185" s="5">
        <v>139.51</v>
      </c>
      <c r="S185" s="5">
        <v>81.010000000000005</v>
      </c>
    </row>
    <row r="186" spans="1:19" x14ac:dyDescent="0.25">
      <c r="A186" t="s">
        <v>706</v>
      </c>
      <c r="B186" t="s">
        <v>707</v>
      </c>
      <c r="C186" t="s">
        <v>708</v>
      </c>
      <c r="D186" t="s">
        <v>30</v>
      </c>
      <c r="E186" t="s">
        <v>45</v>
      </c>
      <c r="F186">
        <v>45</v>
      </c>
      <c r="G186" t="s">
        <v>709</v>
      </c>
      <c r="H186">
        <v>1</v>
      </c>
      <c r="I186">
        <v>20.43</v>
      </c>
      <c r="J186">
        <v>11.84</v>
      </c>
      <c r="K186" t="s">
        <v>19</v>
      </c>
      <c r="L186" s="3">
        <v>45128</v>
      </c>
      <c r="M186" t="s">
        <v>48</v>
      </c>
      <c r="N186" s="4">
        <v>45</v>
      </c>
      <c r="O186" t="str" cm="1">
        <f t="array" ref="O18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86" t="s">
        <v>709</v>
      </c>
      <c r="Q186" t="s">
        <v>2929</v>
      </c>
      <c r="R186" s="5">
        <v>20.43</v>
      </c>
      <c r="S186" s="5">
        <v>11.84</v>
      </c>
    </row>
    <row r="187" spans="1:19" x14ac:dyDescent="0.25">
      <c r="A187" t="s">
        <v>710</v>
      </c>
      <c r="B187" t="s">
        <v>194</v>
      </c>
      <c r="C187" s="1">
        <v>45302</v>
      </c>
      <c r="D187" t="s">
        <v>129</v>
      </c>
      <c r="E187" t="s">
        <v>65</v>
      </c>
      <c r="F187">
        <v>70</v>
      </c>
      <c r="G187" t="s">
        <v>711</v>
      </c>
      <c r="H187">
        <v>2</v>
      </c>
      <c r="I187">
        <v>11.48</v>
      </c>
      <c r="J187" t="s">
        <v>712</v>
      </c>
      <c r="K187" t="s">
        <v>41</v>
      </c>
      <c r="L187" s="3">
        <v>45302</v>
      </c>
      <c r="M187" t="s">
        <v>48</v>
      </c>
      <c r="N187" s="4">
        <v>70</v>
      </c>
      <c r="O187" t="str" cm="1">
        <f t="array" ref="O18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87" t="s">
        <v>711</v>
      </c>
      <c r="Q187" t="s">
        <v>2939</v>
      </c>
      <c r="R187" s="5">
        <v>11.48</v>
      </c>
      <c r="S187" s="5">
        <v>4.6399999999999997</v>
      </c>
    </row>
    <row r="188" spans="1:19" x14ac:dyDescent="0.25">
      <c r="A188" t="s">
        <v>713</v>
      </c>
      <c r="B188" t="s">
        <v>551</v>
      </c>
      <c r="C188" s="3">
        <v>44965</v>
      </c>
      <c r="D188" t="s">
        <v>129</v>
      </c>
      <c r="F188">
        <v>53</v>
      </c>
      <c r="G188" t="s">
        <v>714</v>
      </c>
      <c r="H188">
        <v>1</v>
      </c>
      <c r="I188">
        <v>2.2200000000000002</v>
      </c>
      <c r="J188" t="s">
        <v>715</v>
      </c>
      <c r="K188" t="s">
        <v>19</v>
      </c>
      <c r="L188" s="3">
        <v>44965</v>
      </c>
      <c r="M188" t="s">
        <v>20</v>
      </c>
      <c r="N188" s="4">
        <v>53</v>
      </c>
      <c r="O188" t="str" cm="1">
        <f t="array" ref="O18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88" t="s">
        <v>714</v>
      </c>
      <c r="Q188" t="s">
        <v>2926</v>
      </c>
      <c r="R188" s="5">
        <v>2.2200000000000002</v>
      </c>
      <c r="S188" s="5">
        <v>0.45</v>
      </c>
    </row>
    <row r="189" spans="1:19" x14ac:dyDescent="0.25">
      <c r="A189" t="s">
        <v>716</v>
      </c>
      <c r="B189" t="s">
        <v>717</v>
      </c>
      <c r="C189" s="1">
        <v>45012</v>
      </c>
      <c r="D189" t="s">
        <v>30</v>
      </c>
      <c r="E189" t="s">
        <v>45</v>
      </c>
      <c r="F189">
        <v>32</v>
      </c>
      <c r="G189" t="s">
        <v>718</v>
      </c>
      <c r="H189">
        <v>1</v>
      </c>
      <c r="I189">
        <v>19.809999999999999</v>
      </c>
      <c r="J189" t="s">
        <v>719</v>
      </c>
      <c r="K189" t="s">
        <v>41</v>
      </c>
      <c r="L189" s="3">
        <v>45012</v>
      </c>
      <c r="M189" t="s">
        <v>48</v>
      </c>
      <c r="N189" s="4">
        <v>32</v>
      </c>
      <c r="O189" t="str" cm="1">
        <f t="array" ref="O18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189" t="s">
        <v>718</v>
      </c>
      <c r="Q189" t="s">
        <v>2929</v>
      </c>
      <c r="R189" s="5">
        <v>19.809999999999999</v>
      </c>
      <c r="S189" s="5">
        <v>6.96</v>
      </c>
    </row>
    <row r="190" spans="1:19" x14ac:dyDescent="0.25">
      <c r="A190" t="s">
        <v>720</v>
      </c>
      <c r="B190" t="s">
        <v>121</v>
      </c>
      <c r="C190" t="s">
        <v>721</v>
      </c>
      <c r="D190" t="s">
        <v>129</v>
      </c>
      <c r="E190" t="s">
        <v>65</v>
      </c>
      <c r="F190">
        <v>46</v>
      </c>
      <c r="G190" t="s">
        <v>722</v>
      </c>
      <c r="H190">
        <v>1</v>
      </c>
      <c r="I190" t="s">
        <v>723</v>
      </c>
      <c r="J190">
        <v>3.17</v>
      </c>
      <c r="K190" t="s">
        <v>41</v>
      </c>
      <c r="L190" s="3">
        <v>45196</v>
      </c>
      <c r="M190" t="s">
        <v>48</v>
      </c>
      <c r="N190" s="4">
        <v>46</v>
      </c>
      <c r="O190" t="str" cm="1">
        <f t="array" ref="O19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90" t="s">
        <v>722</v>
      </c>
      <c r="Q190" t="s">
        <v>2926</v>
      </c>
      <c r="R190" s="5">
        <v>10.91</v>
      </c>
      <c r="S190" s="5">
        <v>3.17</v>
      </c>
    </row>
    <row r="191" spans="1:19" x14ac:dyDescent="0.25">
      <c r="A191" t="s">
        <v>724</v>
      </c>
      <c r="B191" t="s">
        <v>725</v>
      </c>
      <c r="C191" t="s">
        <v>726</v>
      </c>
      <c r="D191" t="s">
        <v>24</v>
      </c>
      <c r="E191" t="s">
        <v>48</v>
      </c>
      <c r="F191">
        <v>71</v>
      </c>
      <c r="G191" t="s">
        <v>727</v>
      </c>
      <c r="H191">
        <v>3</v>
      </c>
      <c r="I191">
        <v>28.19</v>
      </c>
      <c r="J191" t="s">
        <v>728</v>
      </c>
      <c r="K191" t="s">
        <v>19</v>
      </c>
      <c r="L191" s="3">
        <v>45192</v>
      </c>
      <c r="M191" t="s">
        <v>48</v>
      </c>
      <c r="N191" s="4">
        <v>71</v>
      </c>
      <c r="O191" t="str" cm="1">
        <f t="array" ref="O19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91" t="s">
        <v>727</v>
      </c>
      <c r="Q191" t="s">
        <v>2931</v>
      </c>
      <c r="R191" s="5">
        <v>28.19</v>
      </c>
      <c r="S191" s="5">
        <v>10.4</v>
      </c>
    </row>
    <row r="192" spans="1:19" x14ac:dyDescent="0.25">
      <c r="A192" t="s">
        <v>729</v>
      </c>
      <c r="B192" t="s">
        <v>276</v>
      </c>
      <c r="C192" t="s">
        <v>730</v>
      </c>
      <c r="D192" t="s">
        <v>129</v>
      </c>
      <c r="E192" t="s">
        <v>48</v>
      </c>
      <c r="F192">
        <v>66</v>
      </c>
      <c r="G192" t="s">
        <v>731</v>
      </c>
      <c r="H192">
        <v>1</v>
      </c>
      <c r="I192" s="2">
        <v>13.44</v>
      </c>
      <c r="J192" t="s">
        <v>732</v>
      </c>
      <c r="K192" t="s">
        <v>19</v>
      </c>
      <c r="L192" s="3">
        <v>45185</v>
      </c>
      <c r="M192" t="s">
        <v>48</v>
      </c>
      <c r="N192" s="4">
        <v>66</v>
      </c>
      <c r="O192" t="str" cm="1">
        <f t="array" ref="O19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92" t="s">
        <v>731</v>
      </c>
      <c r="Q192" t="s">
        <v>2929</v>
      </c>
      <c r="R192" s="5">
        <v>13.44</v>
      </c>
      <c r="S192" s="5">
        <v>6.02</v>
      </c>
    </row>
    <row r="193" spans="1:19" x14ac:dyDescent="0.25">
      <c r="A193" t="s">
        <v>733</v>
      </c>
      <c r="B193" t="s">
        <v>322</v>
      </c>
      <c r="C193" t="s">
        <v>734</v>
      </c>
      <c r="D193" t="s">
        <v>30</v>
      </c>
      <c r="E193" t="s">
        <v>25</v>
      </c>
      <c r="F193">
        <v>17</v>
      </c>
      <c r="G193" t="s">
        <v>735</v>
      </c>
      <c r="H193">
        <v>1</v>
      </c>
      <c r="I193">
        <v>15.3</v>
      </c>
      <c r="J193">
        <v>7.34</v>
      </c>
      <c r="K193" t="s">
        <v>41</v>
      </c>
      <c r="L193" s="3">
        <v>45267</v>
      </c>
      <c r="M193" t="s">
        <v>20</v>
      </c>
      <c r="N193" s="4">
        <v>17</v>
      </c>
      <c r="O193" t="str" cm="1">
        <f t="array" ref="O19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193" t="s">
        <v>2770</v>
      </c>
      <c r="Q193" t="s">
        <v>2927</v>
      </c>
      <c r="R193" s="5">
        <v>15.3</v>
      </c>
      <c r="S193" s="5">
        <v>7.34</v>
      </c>
    </row>
    <row r="194" spans="1:19" x14ac:dyDescent="0.25">
      <c r="A194" t="s">
        <v>736</v>
      </c>
      <c r="B194" t="s">
        <v>43</v>
      </c>
      <c r="C194" s="3">
        <v>45069</v>
      </c>
      <c r="D194" t="s">
        <v>16</v>
      </c>
      <c r="E194" t="s">
        <v>34</v>
      </c>
      <c r="F194">
        <v>40</v>
      </c>
      <c r="G194" t="s">
        <v>737</v>
      </c>
      <c r="H194">
        <v>4</v>
      </c>
      <c r="I194" t="s">
        <v>738</v>
      </c>
      <c r="J194">
        <v>12.43</v>
      </c>
      <c r="K194" t="s">
        <v>41</v>
      </c>
      <c r="L194" s="3">
        <v>45069</v>
      </c>
      <c r="M194" t="s">
        <v>34</v>
      </c>
      <c r="N194" s="4">
        <v>40</v>
      </c>
      <c r="O194" t="str" cm="1">
        <f t="array" ref="O19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94" t="s">
        <v>737</v>
      </c>
      <c r="Q194" t="s">
        <v>2926</v>
      </c>
      <c r="R194" s="5">
        <v>30.68</v>
      </c>
      <c r="S194" s="5">
        <v>12.43</v>
      </c>
    </row>
    <row r="195" spans="1:19" x14ac:dyDescent="0.25">
      <c r="A195" t="s">
        <v>739</v>
      </c>
      <c r="B195" t="s">
        <v>234</v>
      </c>
      <c r="C195" s="1">
        <v>45190</v>
      </c>
      <c r="D195" t="s">
        <v>24</v>
      </c>
      <c r="E195" t="s">
        <v>45</v>
      </c>
      <c r="F195">
        <v>70</v>
      </c>
      <c r="G195" t="s">
        <v>740</v>
      </c>
      <c r="H195">
        <v>2</v>
      </c>
      <c r="I195">
        <v>16.23</v>
      </c>
      <c r="J195">
        <v>3.68</v>
      </c>
      <c r="K195" t="s">
        <v>41</v>
      </c>
      <c r="L195" s="3">
        <v>45190</v>
      </c>
      <c r="M195" t="s">
        <v>48</v>
      </c>
      <c r="N195" s="4">
        <v>70</v>
      </c>
      <c r="O195" t="str" cm="1">
        <f t="array" ref="O19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95" t="s">
        <v>740</v>
      </c>
      <c r="Q195" t="s">
        <v>2931</v>
      </c>
      <c r="R195" s="5">
        <v>16.23</v>
      </c>
      <c r="S195" s="5">
        <v>3.68</v>
      </c>
    </row>
    <row r="196" spans="1:19" x14ac:dyDescent="0.25">
      <c r="A196" t="s">
        <v>741</v>
      </c>
      <c r="B196" t="s">
        <v>742</v>
      </c>
      <c r="C196" t="s">
        <v>743</v>
      </c>
      <c r="D196" t="s">
        <v>16</v>
      </c>
      <c r="E196" t="s">
        <v>38</v>
      </c>
      <c r="F196">
        <v>56</v>
      </c>
      <c r="G196" t="s">
        <v>744</v>
      </c>
      <c r="H196">
        <v>1</v>
      </c>
      <c r="I196" t="s">
        <v>745</v>
      </c>
      <c r="J196" t="s">
        <v>746</v>
      </c>
      <c r="K196" t="s">
        <v>19</v>
      </c>
      <c r="L196" s="3">
        <v>45652</v>
      </c>
      <c r="M196" t="s">
        <v>34</v>
      </c>
      <c r="N196" s="4">
        <v>56</v>
      </c>
      <c r="O196" t="str" cm="1">
        <f t="array" ref="O19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196" t="s">
        <v>744</v>
      </c>
      <c r="Q196" t="s">
        <v>2926</v>
      </c>
      <c r="R196" s="5">
        <v>8.98</v>
      </c>
      <c r="S196" s="5">
        <v>3.89</v>
      </c>
    </row>
    <row r="197" spans="1:19" x14ac:dyDescent="0.25">
      <c r="A197" t="s">
        <v>747</v>
      </c>
      <c r="B197" t="s">
        <v>310</v>
      </c>
      <c r="C197" t="s">
        <v>748</v>
      </c>
      <c r="D197" t="s">
        <v>16</v>
      </c>
      <c r="E197" t="s">
        <v>65</v>
      </c>
      <c r="F197">
        <v>50</v>
      </c>
      <c r="G197" t="s">
        <v>627</v>
      </c>
      <c r="H197">
        <v>2</v>
      </c>
      <c r="I197">
        <v>44.47</v>
      </c>
      <c r="J197">
        <v>19.21</v>
      </c>
      <c r="K197" t="s">
        <v>19</v>
      </c>
      <c r="L197" s="3">
        <v>45025</v>
      </c>
      <c r="M197" t="s">
        <v>48</v>
      </c>
      <c r="N197" s="4">
        <v>50</v>
      </c>
      <c r="O197" t="str" cm="1">
        <f t="array" ref="O19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97" t="s">
        <v>627</v>
      </c>
      <c r="Q197" t="s">
        <v>2926</v>
      </c>
      <c r="R197" s="5">
        <v>44.47</v>
      </c>
      <c r="S197" s="5">
        <v>19.21</v>
      </c>
    </row>
    <row r="198" spans="1:19" x14ac:dyDescent="0.25">
      <c r="A198" t="s">
        <v>749</v>
      </c>
      <c r="B198" t="s">
        <v>594</v>
      </c>
      <c r="C198" t="s">
        <v>750</v>
      </c>
      <c r="D198" t="s">
        <v>24</v>
      </c>
      <c r="E198" t="s">
        <v>31</v>
      </c>
      <c r="F198">
        <v>20</v>
      </c>
      <c r="G198" t="s">
        <v>751</v>
      </c>
      <c r="H198">
        <v>1</v>
      </c>
      <c r="I198" s="2">
        <v>10.5</v>
      </c>
      <c r="J198">
        <v>5.61</v>
      </c>
      <c r="K198" t="s">
        <v>19</v>
      </c>
      <c r="L198" s="3">
        <v>45482</v>
      </c>
      <c r="M198" t="s">
        <v>34</v>
      </c>
      <c r="N198" s="4">
        <v>20</v>
      </c>
      <c r="O198" t="str" cm="1">
        <f t="array" ref="O19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198" t="s">
        <v>751</v>
      </c>
      <c r="Q198" t="s">
        <v>2930</v>
      </c>
      <c r="R198" s="5">
        <v>10.5</v>
      </c>
      <c r="S198" s="5">
        <v>5.61</v>
      </c>
    </row>
    <row r="199" spans="1:19" x14ac:dyDescent="0.25">
      <c r="A199" t="s">
        <v>752</v>
      </c>
      <c r="B199" t="s">
        <v>370</v>
      </c>
      <c r="C199" t="s">
        <v>753</v>
      </c>
      <c r="D199" t="s">
        <v>24</v>
      </c>
      <c r="E199" t="s">
        <v>31</v>
      </c>
      <c r="F199">
        <v>43</v>
      </c>
      <c r="G199" t="s">
        <v>754</v>
      </c>
      <c r="H199">
        <v>1</v>
      </c>
      <c r="I199" s="2">
        <v>15.26</v>
      </c>
      <c r="J199">
        <v>6.54</v>
      </c>
      <c r="K199" t="s">
        <v>41</v>
      </c>
      <c r="L199" s="3">
        <v>45024</v>
      </c>
      <c r="M199" t="s">
        <v>34</v>
      </c>
      <c r="N199" s="4">
        <v>43</v>
      </c>
      <c r="O199" t="str" cm="1">
        <f t="array" ref="O19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99" t="s">
        <v>754</v>
      </c>
      <c r="Q199" t="s">
        <v>2926</v>
      </c>
      <c r="R199" s="5">
        <v>15.26</v>
      </c>
      <c r="S199" s="5">
        <v>6.54</v>
      </c>
    </row>
    <row r="200" spans="1:19" x14ac:dyDescent="0.25">
      <c r="A200" t="s">
        <v>755</v>
      </c>
      <c r="B200" t="s">
        <v>756</v>
      </c>
      <c r="C200" s="1">
        <v>45518</v>
      </c>
      <c r="D200" t="s">
        <v>129</v>
      </c>
      <c r="E200" t="s">
        <v>65</v>
      </c>
      <c r="F200">
        <v>27</v>
      </c>
      <c r="G200" t="s">
        <v>424</v>
      </c>
      <c r="H200">
        <v>3</v>
      </c>
      <c r="I200">
        <v>58.12</v>
      </c>
      <c r="J200">
        <v>20.5</v>
      </c>
      <c r="K200" t="s">
        <v>41</v>
      </c>
      <c r="L200" s="3">
        <v>45518</v>
      </c>
      <c r="M200" t="s">
        <v>48</v>
      </c>
      <c r="N200" s="4">
        <v>27</v>
      </c>
      <c r="O200" t="str" cm="1">
        <f t="array" ref="O20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00" t="s">
        <v>424</v>
      </c>
      <c r="Q200" t="s">
        <v>2927</v>
      </c>
      <c r="R200" s="5">
        <v>58.12</v>
      </c>
      <c r="S200" s="5">
        <v>20.5</v>
      </c>
    </row>
    <row r="201" spans="1:19" x14ac:dyDescent="0.25">
      <c r="A201" t="s">
        <v>757</v>
      </c>
      <c r="B201" t="s">
        <v>637</v>
      </c>
      <c r="C201" s="1">
        <v>44940</v>
      </c>
      <c r="D201" t="s">
        <v>24</v>
      </c>
      <c r="E201" t="s">
        <v>31</v>
      </c>
      <c r="F201" t="s">
        <v>25</v>
      </c>
      <c r="G201" t="s">
        <v>758</v>
      </c>
      <c r="H201">
        <v>1</v>
      </c>
      <c r="I201">
        <v>22.63</v>
      </c>
      <c r="J201">
        <v>6.97</v>
      </c>
      <c r="K201" t="s">
        <v>41</v>
      </c>
      <c r="L201" s="3">
        <v>44940</v>
      </c>
      <c r="M201" t="s">
        <v>34</v>
      </c>
      <c r="N201" s="4"/>
      <c r="O201" t="str" cm="1">
        <f t="array" ref="O20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201" t="s">
        <v>758</v>
      </c>
      <c r="Q201" t="s">
        <v>2927</v>
      </c>
      <c r="R201" s="5">
        <v>22.63</v>
      </c>
      <c r="S201" s="5">
        <v>6.97</v>
      </c>
    </row>
    <row r="202" spans="1:19" x14ac:dyDescent="0.25">
      <c r="A202" t="s">
        <v>759</v>
      </c>
      <c r="B202" t="s">
        <v>102</v>
      </c>
      <c r="C202" t="s">
        <v>760</v>
      </c>
      <c r="D202" t="s">
        <v>51</v>
      </c>
      <c r="E202" t="s">
        <v>38</v>
      </c>
      <c r="F202">
        <v>37</v>
      </c>
      <c r="G202" t="s">
        <v>216</v>
      </c>
      <c r="H202">
        <v>4</v>
      </c>
      <c r="I202" t="s">
        <v>761</v>
      </c>
      <c r="J202">
        <v>26.87</v>
      </c>
      <c r="K202" t="s">
        <v>41</v>
      </c>
      <c r="L202" s="3">
        <v>45182</v>
      </c>
      <c r="M202" t="s">
        <v>34</v>
      </c>
      <c r="N202" s="4">
        <v>37</v>
      </c>
      <c r="O202" t="str" cm="1">
        <f t="array" ref="O20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02" t="s">
        <v>216</v>
      </c>
      <c r="Q202" t="s">
        <v>2927</v>
      </c>
      <c r="R202" s="5">
        <v>51.3</v>
      </c>
      <c r="S202" s="5">
        <v>26.87</v>
      </c>
    </row>
    <row r="203" spans="1:19" x14ac:dyDescent="0.25">
      <c r="A203" t="s">
        <v>762</v>
      </c>
      <c r="B203" t="s">
        <v>763</v>
      </c>
      <c r="C203" t="s">
        <v>764</v>
      </c>
      <c r="D203" t="s">
        <v>24</v>
      </c>
      <c r="E203" t="s">
        <v>38</v>
      </c>
      <c r="F203">
        <v>22</v>
      </c>
      <c r="G203" t="s">
        <v>765</v>
      </c>
      <c r="H203">
        <v>1</v>
      </c>
      <c r="I203" s="2">
        <v>21.87</v>
      </c>
      <c r="J203">
        <v>9.59</v>
      </c>
      <c r="K203" t="s">
        <v>19</v>
      </c>
      <c r="L203" s="3">
        <v>45205</v>
      </c>
      <c r="M203" t="s">
        <v>34</v>
      </c>
      <c r="N203" s="4">
        <v>22</v>
      </c>
      <c r="O203" t="str" cm="1">
        <f t="array" ref="O20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03" t="s">
        <v>765</v>
      </c>
      <c r="Q203" t="s">
        <v>2939</v>
      </c>
      <c r="R203" s="5">
        <v>21.87</v>
      </c>
      <c r="S203" s="5">
        <v>9.59</v>
      </c>
    </row>
    <row r="204" spans="1:19" x14ac:dyDescent="0.25">
      <c r="A204" t="s">
        <v>766</v>
      </c>
      <c r="B204" t="s">
        <v>73</v>
      </c>
      <c r="C204" t="s">
        <v>177</v>
      </c>
      <c r="D204" t="s">
        <v>16</v>
      </c>
      <c r="E204" t="s">
        <v>70</v>
      </c>
      <c r="F204" t="s">
        <v>25</v>
      </c>
      <c r="G204" t="s">
        <v>767</v>
      </c>
      <c r="H204">
        <v>3</v>
      </c>
      <c r="I204" s="2">
        <v>109.58</v>
      </c>
      <c r="J204">
        <v>56.94</v>
      </c>
      <c r="K204" t="s">
        <v>41</v>
      </c>
      <c r="L204" s="3">
        <v>45235</v>
      </c>
      <c r="M204" t="s">
        <v>20</v>
      </c>
      <c r="N204" s="4"/>
      <c r="O204" t="str" cm="1">
        <f t="array" ref="O20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204" t="s">
        <v>556</v>
      </c>
      <c r="Q204" t="s">
        <v>2926</v>
      </c>
      <c r="R204" s="5">
        <v>109.58</v>
      </c>
      <c r="S204" s="5">
        <v>56.94</v>
      </c>
    </row>
    <row r="205" spans="1:19" x14ac:dyDescent="0.25">
      <c r="A205" t="s">
        <v>768</v>
      </c>
      <c r="B205" t="s">
        <v>622</v>
      </c>
      <c r="C205" t="s">
        <v>769</v>
      </c>
      <c r="D205" t="s">
        <v>24</v>
      </c>
      <c r="E205" t="s">
        <v>65</v>
      </c>
      <c r="F205">
        <v>50</v>
      </c>
      <c r="G205" t="s">
        <v>770</v>
      </c>
      <c r="H205">
        <v>1</v>
      </c>
      <c r="I205">
        <v>14.9</v>
      </c>
      <c r="J205">
        <v>7.77</v>
      </c>
      <c r="K205" t="s">
        <v>41</v>
      </c>
      <c r="L205" s="3">
        <v>45544</v>
      </c>
      <c r="M205" t="s">
        <v>48</v>
      </c>
      <c r="N205" s="4">
        <v>50</v>
      </c>
      <c r="O205" t="str" cm="1">
        <f t="array" ref="O20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05" t="s">
        <v>770</v>
      </c>
      <c r="Q205" t="s">
        <v>2929</v>
      </c>
      <c r="R205" s="5">
        <v>14.9</v>
      </c>
      <c r="S205" s="5">
        <v>7.77</v>
      </c>
    </row>
    <row r="206" spans="1:19" x14ac:dyDescent="0.25">
      <c r="A206" t="s">
        <v>771</v>
      </c>
      <c r="B206" t="s">
        <v>772</v>
      </c>
      <c r="C206" s="1">
        <v>45376</v>
      </c>
      <c r="D206" t="s">
        <v>24</v>
      </c>
      <c r="E206" t="s">
        <v>85</v>
      </c>
      <c r="F206">
        <v>63</v>
      </c>
      <c r="G206" t="s">
        <v>773</v>
      </c>
      <c r="H206">
        <v>1</v>
      </c>
      <c r="I206" t="s">
        <v>774</v>
      </c>
      <c r="J206">
        <v>3.16</v>
      </c>
      <c r="K206" t="s">
        <v>41</v>
      </c>
      <c r="L206" s="3">
        <v>45376</v>
      </c>
      <c r="M206" t="s">
        <v>34</v>
      </c>
      <c r="N206" s="4">
        <v>63</v>
      </c>
      <c r="O206" t="str" cm="1">
        <f t="array" ref="O20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06" t="s">
        <v>773</v>
      </c>
      <c r="Q206" t="s">
        <v>2926</v>
      </c>
      <c r="R206" s="5">
        <v>11.52</v>
      </c>
      <c r="S206" s="5">
        <v>3.16</v>
      </c>
    </row>
    <row r="207" spans="1:19" x14ac:dyDescent="0.25">
      <c r="A207" t="s">
        <v>775</v>
      </c>
      <c r="B207" t="s">
        <v>776</v>
      </c>
      <c r="C207" t="s">
        <v>777</v>
      </c>
      <c r="D207" t="s">
        <v>16</v>
      </c>
      <c r="E207" t="s">
        <v>31</v>
      </c>
      <c r="F207">
        <v>31</v>
      </c>
      <c r="G207" t="s">
        <v>778</v>
      </c>
      <c r="H207">
        <v>2</v>
      </c>
      <c r="I207" s="2">
        <v>52.23</v>
      </c>
      <c r="J207">
        <v>17.18</v>
      </c>
      <c r="K207" t="s">
        <v>19</v>
      </c>
      <c r="L207" s="3">
        <v>45425</v>
      </c>
      <c r="M207" t="s">
        <v>34</v>
      </c>
      <c r="N207" s="4">
        <v>31</v>
      </c>
      <c r="O207" t="str" cm="1">
        <f t="array" ref="O20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07" t="s">
        <v>778</v>
      </c>
      <c r="Q207" t="s">
        <v>2931</v>
      </c>
      <c r="R207" s="5">
        <v>52.23</v>
      </c>
      <c r="S207" s="5">
        <v>17.18</v>
      </c>
    </row>
    <row r="208" spans="1:19" x14ac:dyDescent="0.25">
      <c r="A208" t="s">
        <v>779</v>
      </c>
      <c r="B208" t="s">
        <v>780</v>
      </c>
      <c r="C208" t="s">
        <v>781</v>
      </c>
      <c r="D208" t="s">
        <v>16</v>
      </c>
      <c r="E208" t="s">
        <v>60</v>
      </c>
      <c r="F208">
        <v>74</v>
      </c>
      <c r="G208" t="s">
        <v>100</v>
      </c>
      <c r="H208">
        <v>1</v>
      </c>
      <c r="I208">
        <v>18.12</v>
      </c>
      <c r="J208">
        <v>9.09</v>
      </c>
      <c r="K208" t="s">
        <v>19</v>
      </c>
      <c r="L208" s="3">
        <v>45138</v>
      </c>
      <c r="M208" t="s">
        <v>48</v>
      </c>
      <c r="N208" s="4">
        <v>74</v>
      </c>
      <c r="O208" t="str" cm="1">
        <f t="array" ref="O20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08" t="s">
        <v>100</v>
      </c>
      <c r="Q208" t="s">
        <v>2926</v>
      </c>
      <c r="R208" s="5">
        <v>18.12</v>
      </c>
      <c r="S208" s="5">
        <v>9.09</v>
      </c>
    </row>
    <row r="209" spans="1:19" x14ac:dyDescent="0.25">
      <c r="A209" t="s">
        <v>782</v>
      </c>
      <c r="B209" t="s">
        <v>783</v>
      </c>
      <c r="C209" t="s">
        <v>784</v>
      </c>
      <c r="D209" t="s">
        <v>24</v>
      </c>
      <c r="E209" t="s">
        <v>60</v>
      </c>
      <c r="F209">
        <v>70</v>
      </c>
      <c r="G209" t="s">
        <v>785</v>
      </c>
      <c r="H209">
        <v>1</v>
      </c>
      <c r="I209">
        <v>16.64</v>
      </c>
      <c r="J209">
        <v>8.65</v>
      </c>
      <c r="K209" t="s">
        <v>19</v>
      </c>
      <c r="L209" s="3">
        <v>45156</v>
      </c>
      <c r="M209" t="s">
        <v>48</v>
      </c>
      <c r="N209" s="4">
        <v>70</v>
      </c>
      <c r="O209" t="str" cm="1">
        <f t="array" ref="O20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09" t="s">
        <v>2940</v>
      </c>
      <c r="Q209" t="s">
        <v>2925</v>
      </c>
      <c r="R209" s="5">
        <v>16.64</v>
      </c>
      <c r="S209" s="5">
        <v>8.65</v>
      </c>
    </row>
    <row r="210" spans="1:19" x14ac:dyDescent="0.25">
      <c r="A210" t="s">
        <v>786</v>
      </c>
      <c r="B210" t="s">
        <v>787</v>
      </c>
      <c r="C210" t="s">
        <v>788</v>
      </c>
      <c r="D210" t="s">
        <v>30</v>
      </c>
      <c r="E210" t="s">
        <v>85</v>
      </c>
      <c r="F210">
        <v>14</v>
      </c>
      <c r="G210" t="s">
        <v>789</v>
      </c>
      <c r="H210">
        <v>2</v>
      </c>
      <c r="I210" s="2">
        <v>57.34</v>
      </c>
      <c r="J210" t="s">
        <v>790</v>
      </c>
      <c r="K210" t="s">
        <v>19</v>
      </c>
      <c r="L210" s="3">
        <v>44969</v>
      </c>
      <c r="M210" t="s">
        <v>34</v>
      </c>
      <c r="N210" s="4">
        <v>14</v>
      </c>
      <c r="O210" t="str" cm="1">
        <f t="array" ref="O21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210" t="s">
        <v>789</v>
      </c>
      <c r="Q210" t="s">
        <v>2926</v>
      </c>
      <c r="R210" s="5">
        <v>57.34</v>
      </c>
      <c r="S210" s="5">
        <v>13.14</v>
      </c>
    </row>
    <row r="211" spans="1:19" x14ac:dyDescent="0.25">
      <c r="A211" t="s">
        <v>791</v>
      </c>
      <c r="B211" t="s">
        <v>792</v>
      </c>
      <c r="C211" t="s">
        <v>793</v>
      </c>
      <c r="D211" t="s">
        <v>129</v>
      </c>
      <c r="E211" t="s">
        <v>65</v>
      </c>
      <c r="F211">
        <v>65</v>
      </c>
      <c r="G211" t="s">
        <v>595</v>
      </c>
      <c r="H211">
        <v>1</v>
      </c>
      <c r="I211" s="2">
        <v>17.739999999999998</v>
      </c>
      <c r="J211">
        <v>4.43</v>
      </c>
      <c r="K211" t="s">
        <v>41</v>
      </c>
      <c r="L211" s="3">
        <v>45426</v>
      </c>
      <c r="M211" t="s">
        <v>48</v>
      </c>
      <c r="N211" s="4">
        <v>65</v>
      </c>
      <c r="O211" t="str" cm="1">
        <f t="array" ref="O21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11" t="s">
        <v>595</v>
      </c>
      <c r="Q211" t="s">
        <v>2926</v>
      </c>
      <c r="R211" s="5">
        <v>17.739999999999998</v>
      </c>
      <c r="S211" s="5">
        <v>4.43</v>
      </c>
    </row>
    <row r="212" spans="1:19" x14ac:dyDescent="0.25">
      <c r="A212" t="s">
        <v>794</v>
      </c>
      <c r="B212" t="s">
        <v>795</v>
      </c>
      <c r="C212" s="1">
        <v>45018</v>
      </c>
      <c r="D212" t="s">
        <v>51</v>
      </c>
      <c r="E212" t="s">
        <v>25</v>
      </c>
      <c r="F212">
        <v>35</v>
      </c>
      <c r="G212" t="s">
        <v>796</v>
      </c>
      <c r="H212">
        <v>3</v>
      </c>
      <c r="I212">
        <v>104.84</v>
      </c>
      <c r="J212" t="s">
        <v>797</v>
      </c>
      <c r="K212" t="s">
        <v>41</v>
      </c>
      <c r="L212" s="3">
        <v>45018</v>
      </c>
      <c r="M212" t="s">
        <v>20</v>
      </c>
      <c r="N212" s="4">
        <v>35</v>
      </c>
      <c r="O212" t="str" cm="1">
        <f t="array" ref="O21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12" t="s">
        <v>796</v>
      </c>
      <c r="Q212" t="s">
        <v>2925</v>
      </c>
      <c r="R212" s="5">
        <v>104.84</v>
      </c>
      <c r="S212" s="5">
        <v>53.02</v>
      </c>
    </row>
    <row r="213" spans="1:19" x14ac:dyDescent="0.25">
      <c r="A213" t="s">
        <v>798</v>
      </c>
      <c r="B213" t="s">
        <v>411</v>
      </c>
      <c r="C213" t="s">
        <v>799</v>
      </c>
      <c r="D213" t="s">
        <v>51</v>
      </c>
      <c r="E213" t="s">
        <v>45</v>
      </c>
      <c r="F213">
        <v>69</v>
      </c>
      <c r="G213" t="s">
        <v>800</v>
      </c>
      <c r="H213">
        <v>4</v>
      </c>
      <c r="I213" t="s">
        <v>801</v>
      </c>
      <c r="J213">
        <v>51.53</v>
      </c>
      <c r="K213" t="s">
        <v>19</v>
      </c>
      <c r="L213" s="3">
        <v>45450</v>
      </c>
      <c r="M213" t="s">
        <v>48</v>
      </c>
      <c r="N213" s="4">
        <v>69</v>
      </c>
      <c r="O213" t="str" cm="1">
        <f t="array" ref="O21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13" t="s">
        <v>800</v>
      </c>
      <c r="Q213" t="s">
        <v>2939</v>
      </c>
      <c r="R213" s="5">
        <v>133.74</v>
      </c>
      <c r="S213" s="5">
        <v>51.53</v>
      </c>
    </row>
    <row r="214" spans="1:19" x14ac:dyDescent="0.25">
      <c r="A214" t="s">
        <v>802</v>
      </c>
      <c r="B214" t="s">
        <v>803</v>
      </c>
      <c r="C214" t="s">
        <v>804</v>
      </c>
      <c r="D214" t="s">
        <v>129</v>
      </c>
      <c r="E214" t="s">
        <v>31</v>
      </c>
      <c r="F214">
        <v>62</v>
      </c>
      <c r="G214" t="s">
        <v>805</v>
      </c>
      <c r="H214">
        <v>1</v>
      </c>
      <c r="I214">
        <v>7.62</v>
      </c>
      <c r="J214" t="s">
        <v>806</v>
      </c>
      <c r="K214" t="s">
        <v>19</v>
      </c>
      <c r="L214" s="3">
        <v>45524</v>
      </c>
      <c r="M214" t="s">
        <v>34</v>
      </c>
      <c r="N214" s="4">
        <v>62</v>
      </c>
      <c r="O214" t="str" cm="1">
        <f t="array" ref="O21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14" t="s">
        <v>805</v>
      </c>
      <c r="Q214" t="s">
        <v>2929</v>
      </c>
      <c r="R214" s="5">
        <v>7.62</v>
      </c>
      <c r="S214" s="5">
        <v>2.9</v>
      </c>
    </row>
    <row r="215" spans="1:19" x14ac:dyDescent="0.25">
      <c r="A215" t="s">
        <v>807</v>
      </c>
      <c r="B215" t="s">
        <v>808</v>
      </c>
      <c r="C215" t="s">
        <v>809</v>
      </c>
      <c r="D215" t="s">
        <v>24</v>
      </c>
      <c r="E215" t="s">
        <v>70</v>
      </c>
      <c r="F215">
        <v>70</v>
      </c>
      <c r="G215" t="s">
        <v>810</v>
      </c>
      <c r="H215">
        <v>1</v>
      </c>
      <c r="I215">
        <v>23.7</v>
      </c>
      <c r="J215" t="s">
        <v>811</v>
      </c>
      <c r="K215" t="s">
        <v>41</v>
      </c>
      <c r="L215" s="3">
        <v>45009</v>
      </c>
      <c r="M215" t="s">
        <v>20</v>
      </c>
      <c r="N215" s="4">
        <v>70</v>
      </c>
      <c r="O215" t="str" cm="1">
        <f t="array" ref="O21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15" t="s">
        <v>810</v>
      </c>
      <c r="Q215" t="s">
        <v>2927</v>
      </c>
      <c r="R215" s="5">
        <v>23.7</v>
      </c>
      <c r="S215" s="5">
        <v>9.3699999999999992</v>
      </c>
    </row>
    <row r="216" spans="1:19" x14ac:dyDescent="0.25">
      <c r="A216" t="s">
        <v>812</v>
      </c>
      <c r="B216" t="s">
        <v>813</v>
      </c>
      <c r="C216" t="s">
        <v>814</v>
      </c>
      <c r="D216" t="s">
        <v>51</v>
      </c>
      <c r="E216" t="s">
        <v>31</v>
      </c>
      <c r="F216">
        <v>17</v>
      </c>
      <c r="G216" t="s">
        <v>290</v>
      </c>
      <c r="H216">
        <v>1</v>
      </c>
      <c r="I216">
        <v>54.64</v>
      </c>
      <c r="J216">
        <v>23.3</v>
      </c>
      <c r="K216" t="s">
        <v>41</v>
      </c>
      <c r="L216" s="3">
        <v>45468</v>
      </c>
      <c r="M216" t="s">
        <v>34</v>
      </c>
      <c r="N216" s="4">
        <v>17</v>
      </c>
      <c r="O216" t="str" cm="1">
        <f t="array" ref="O21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216" t="s">
        <v>290</v>
      </c>
      <c r="Q216" t="s">
        <v>2926</v>
      </c>
      <c r="R216" s="5">
        <v>54.64</v>
      </c>
      <c r="S216" s="5">
        <v>23.3</v>
      </c>
    </row>
    <row r="217" spans="1:19" x14ac:dyDescent="0.25">
      <c r="A217" t="s">
        <v>815</v>
      </c>
      <c r="B217" t="s">
        <v>816</v>
      </c>
      <c r="C217" t="s">
        <v>522</v>
      </c>
      <c r="D217" t="s">
        <v>16</v>
      </c>
      <c r="E217" t="s">
        <v>38</v>
      </c>
      <c r="F217">
        <v>51</v>
      </c>
      <c r="G217" t="s">
        <v>817</v>
      </c>
      <c r="H217">
        <v>1</v>
      </c>
      <c r="I217" s="2">
        <v>17.28</v>
      </c>
      <c r="J217">
        <v>7.53</v>
      </c>
      <c r="K217" t="s">
        <v>19</v>
      </c>
      <c r="L217" s="3">
        <v>45212</v>
      </c>
      <c r="M217" t="s">
        <v>34</v>
      </c>
      <c r="N217" s="4">
        <v>51</v>
      </c>
      <c r="O217" t="str" cm="1">
        <f t="array" ref="O21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17" t="s">
        <v>817</v>
      </c>
      <c r="Q217" t="s">
        <v>2926</v>
      </c>
      <c r="R217" s="5">
        <v>17.28</v>
      </c>
      <c r="S217" s="5">
        <v>7.53</v>
      </c>
    </row>
    <row r="218" spans="1:19" x14ac:dyDescent="0.25">
      <c r="A218" t="s">
        <v>818</v>
      </c>
      <c r="B218" t="s">
        <v>819</v>
      </c>
      <c r="C218" t="s">
        <v>820</v>
      </c>
      <c r="D218" t="s">
        <v>24</v>
      </c>
      <c r="F218">
        <v>59</v>
      </c>
      <c r="G218" t="s">
        <v>572</v>
      </c>
      <c r="H218">
        <v>1</v>
      </c>
      <c r="I218" s="2">
        <v>36.65</v>
      </c>
      <c r="J218">
        <v>17.63</v>
      </c>
      <c r="K218" t="s">
        <v>19</v>
      </c>
      <c r="L218" s="3">
        <v>45649</v>
      </c>
      <c r="M218" t="s">
        <v>20</v>
      </c>
      <c r="N218" s="4">
        <v>59</v>
      </c>
      <c r="O218" t="str" cm="1">
        <f t="array" ref="O21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18" t="s">
        <v>572</v>
      </c>
      <c r="Q218" t="s">
        <v>2927</v>
      </c>
      <c r="R218" s="5">
        <v>36.65</v>
      </c>
      <c r="S218" s="5">
        <v>17.63</v>
      </c>
    </row>
    <row r="219" spans="1:19" x14ac:dyDescent="0.25">
      <c r="A219" t="s">
        <v>821</v>
      </c>
      <c r="B219" t="s">
        <v>198</v>
      </c>
      <c r="C219" t="s">
        <v>822</v>
      </c>
      <c r="D219" t="s">
        <v>30</v>
      </c>
      <c r="E219" t="s">
        <v>38</v>
      </c>
      <c r="F219">
        <v>30</v>
      </c>
      <c r="G219" t="s">
        <v>754</v>
      </c>
      <c r="H219">
        <v>1</v>
      </c>
      <c r="I219">
        <v>19.29</v>
      </c>
      <c r="J219">
        <v>8.33</v>
      </c>
      <c r="K219" t="s">
        <v>41</v>
      </c>
      <c r="L219" s="3">
        <v>45638</v>
      </c>
      <c r="M219" t="s">
        <v>34</v>
      </c>
      <c r="N219" s="4">
        <v>30</v>
      </c>
      <c r="O219" t="str" cm="1">
        <f t="array" ref="O21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19" t="s">
        <v>754</v>
      </c>
      <c r="Q219" t="s">
        <v>2926</v>
      </c>
      <c r="R219" s="5">
        <v>19.29</v>
      </c>
      <c r="S219" s="5">
        <v>8.33</v>
      </c>
    </row>
    <row r="220" spans="1:19" x14ac:dyDescent="0.25">
      <c r="A220" t="s">
        <v>823</v>
      </c>
      <c r="B220" t="s">
        <v>461</v>
      </c>
      <c r="C220" s="1">
        <v>45448</v>
      </c>
      <c r="D220" t="s">
        <v>51</v>
      </c>
      <c r="F220">
        <v>38</v>
      </c>
      <c r="G220" t="s">
        <v>824</v>
      </c>
      <c r="H220">
        <v>3</v>
      </c>
      <c r="I220">
        <v>186.48</v>
      </c>
      <c r="J220">
        <v>70.08</v>
      </c>
      <c r="K220" t="s">
        <v>41</v>
      </c>
      <c r="L220" s="3">
        <v>45448</v>
      </c>
      <c r="M220" t="s">
        <v>20</v>
      </c>
      <c r="N220" s="4">
        <v>38</v>
      </c>
      <c r="O220" t="str" cm="1">
        <f t="array" ref="O22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20" t="s">
        <v>824</v>
      </c>
      <c r="Q220" t="s">
        <v>2926</v>
      </c>
      <c r="R220" s="5">
        <v>186.48</v>
      </c>
      <c r="S220" s="5">
        <v>70.08</v>
      </c>
    </row>
    <row r="221" spans="1:19" x14ac:dyDescent="0.25">
      <c r="A221" t="s">
        <v>825</v>
      </c>
      <c r="B221" t="s">
        <v>426</v>
      </c>
      <c r="C221" s="3">
        <v>44946</v>
      </c>
      <c r="D221" t="s">
        <v>129</v>
      </c>
      <c r="E221" t="s">
        <v>85</v>
      </c>
      <c r="F221">
        <v>15</v>
      </c>
      <c r="G221" t="s">
        <v>826</v>
      </c>
      <c r="H221">
        <v>1</v>
      </c>
      <c r="I221" s="2">
        <v>11.78</v>
      </c>
      <c r="J221">
        <v>3.28</v>
      </c>
      <c r="K221" t="s">
        <v>41</v>
      </c>
      <c r="L221" s="3">
        <v>44946</v>
      </c>
      <c r="M221" t="s">
        <v>34</v>
      </c>
      <c r="N221" s="4">
        <v>15</v>
      </c>
      <c r="O221" t="str" cm="1">
        <f t="array" ref="O22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221" t="s">
        <v>826</v>
      </c>
      <c r="Q221" t="s">
        <v>2929</v>
      </c>
      <c r="R221" s="5">
        <v>11.78</v>
      </c>
      <c r="S221" s="5">
        <v>3.28</v>
      </c>
    </row>
    <row r="222" spans="1:19" x14ac:dyDescent="0.25">
      <c r="A222" t="s">
        <v>827</v>
      </c>
      <c r="B222" t="s">
        <v>510</v>
      </c>
      <c r="C222" s="1">
        <v>45649</v>
      </c>
      <c r="D222" t="s">
        <v>24</v>
      </c>
      <c r="E222" t="s">
        <v>48</v>
      </c>
      <c r="F222">
        <v>24</v>
      </c>
      <c r="G222" t="s">
        <v>828</v>
      </c>
      <c r="H222">
        <v>1</v>
      </c>
      <c r="I222" s="2">
        <v>32.99</v>
      </c>
      <c r="J222">
        <v>10.119999999999999</v>
      </c>
      <c r="K222" t="s">
        <v>19</v>
      </c>
      <c r="L222" s="3">
        <v>45649</v>
      </c>
      <c r="M222" t="s">
        <v>48</v>
      </c>
      <c r="N222" s="4">
        <v>24</v>
      </c>
      <c r="O222" t="str" cm="1">
        <f t="array" ref="O22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22" t="s">
        <v>828</v>
      </c>
      <c r="Q222" t="s">
        <v>2929</v>
      </c>
      <c r="R222" s="5">
        <v>32.99</v>
      </c>
      <c r="S222" s="5">
        <v>10.119999999999999</v>
      </c>
    </row>
    <row r="223" spans="1:19" x14ac:dyDescent="0.25">
      <c r="A223" t="s">
        <v>829</v>
      </c>
      <c r="B223" t="s">
        <v>370</v>
      </c>
      <c r="C223" t="s">
        <v>830</v>
      </c>
      <c r="D223" t="s">
        <v>51</v>
      </c>
      <c r="E223" t="s">
        <v>48</v>
      </c>
      <c r="F223">
        <v>60</v>
      </c>
      <c r="G223" t="s">
        <v>831</v>
      </c>
      <c r="H223">
        <v>1</v>
      </c>
      <c r="I223">
        <v>37</v>
      </c>
      <c r="J223" t="s">
        <v>832</v>
      </c>
      <c r="K223" t="s">
        <v>41</v>
      </c>
      <c r="L223" s="3">
        <v>45330</v>
      </c>
      <c r="M223" t="s">
        <v>48</v>
      </c>
      <c r="N223" s="4">
        <v>60</v>
      </c>
      <c r="O223" t="str" cm="1">
        <f t="array" ref="O22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23" t="s">
        <v>831</v>
      </c>
      <c r="Q223" t="s">
        <v>2926</v>
      </c>
      <c r="R223" s="5">
        <v>37</v>
      </c>
      <c r="S223" s="5">
        <v>14.1</v>
      </c>
    </row>
    <row r="224" spans="1:19" x14ac:dyDescent="0.25">
      <c r="A224" t="s">
        <v>833</v>
      </c>
      <c r="B224" t="s">
        <v>834</v>
      </c>
      <c r="C224" s="3">
        <v>45480</v>
      </c>
      <c r="D224" t="s">
        <v>24</v>
      </c>
      <c r="E224" t="s">
        <v>34</v>
      </c>
      <c r="F224">
        <v>71</v>
      </c>
      <c r="G224" t="s">
        <v>137</v>
      </c>
      <c r="H224">
        <v>2</v>
      </c>
      <c r="I224">
        <v>40.4</v>
      </c>
      <c r="J224" t="s">
        <v>835</v>
      </c>
      <c r="K224" t="s">
        <v>41</v>
      </c>
      <c r="L224" s="3">
        <v>45480</v>
      </c>
      <c r="M224" t="s">
        <v>34</v>
      </c>
      <c r="N224" s="4">
        <v>71</v>
      </c>
      <c r="O224" t="str" cm="1">
        <f t="array" ref="O22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24" t="s">
        <v>137</v>
      </c>
      <c r="Q224" t="s">
        <v>2927</v>
      </c>
      <c r="R224" s="5">
        <v>40.4</v>
      </c>
      <c r="S224" s="5">
        <v>14.81</v>
      </c>
    </row>
    <row r="225" spans="1:19" x14ac:dyDescent="0.25">
      <c r="A225" t="s">
        <v>836</v>
      </c>
      <c r="B225" t="s">
        <v>837</v>
      </c>
      <c r="C225" s="1">
        <v>45120</v>
      </c>
      <c r="D225" t="s">
        <v>16</v>
      </c>
      <c r="E225" t="s">
        <v>45</v>
      </c>
      <c r="F225">
        <v>67</v>
      </c>
      <c r="G225" t="s">
        <v>838</v>
      </c>
      <c r="H225">
        <v>1</v>
      </c>
      <c r="I225" s="2">
        <v>17.18</v>
      </c>
      <c r="J225">
        <v>7.62</v>
      </c>
      <c r="K225" t="s">
        <v>41</v>
      </c>
      <c r="L225" s="3">
        <v>45120</v>
      </c>
      <c r="M225" t="s">
        <v>48</v>
      </c>
      <c r="N225" s="4">
        <v>67</v>
      </c>
      <c r="O225" t="str" cm="1">
        <f t="array" ref="O22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25" t="s">
        <v>838</v>
      </c>
      <c r="Q225" t="s">
        <v>2927</v>
      </c>
      <c r="R225" s="5">
        <v>17.18</v>
      </c>
      <c r="S225" s="5">
        <v>7.62</v>
      </c>
    </row>
    <row r="226" spans="1:19" x14ac:dyDescent="0.25">
      <c r="A226" t="s">
        <v>839</v>
      </c>
      <c r="B226" t="s">
        <v>840</v>
      </c>
      <c r="C226" t="s">
        <v>841</v>
      </c>
      <c r="D226" t="s">
        <v>51</v>
      </c>
      <c r="E226" t="s">
        <v>85</v>
      </c>
      <c r="F226">
        <v>40</v>
      </c>
      <c r="G226" t="s">
        <v>842</v>
      </c>
      <c r="H226">
        <v>4</v>
      </c>
      <c r="I226" s="2">
        <v>50.59</v>
      </c>
      <c r="J226">
        <v>21.25</v>
      </c>
      <c r="K226" t="s">
        <v>41</v>
      </c>
      <c r="L226" s="3">
        <v>45245</v>
      </c>
      <c r="M226" t="s">
        <v>34</v>
      </c>
      <c r="N226" s="4">
        <v>40</v>
      </c>
      <c r="O226" t="str" cm="1">
        <f t="array" ref="O22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26" t="s">
        <v>842</v>
      </c>
      <c r="Q226" t="s">
        <v>2927</v>
      </c>
      <c r="R226" s="5">
        <v>50.59</v>
      </c>
      <c r="S226" s="5">
        <v>21.25</v>
      </c>
    </row>
    <row r="227" spans="1:19" x14ac:dyDescent="0.25">
      <c r="A227" t="s">
        <v>843</v>
      </c>
      <c r="B227" t="s">
        <v>28</v>
      </c>
      <c r="C227" t="s">
        <v>844</v>
      </c>
      <c r="D227" t="s">
        <v>30</v>
      </c>
      <c r="E227" t="s">
        <v>34</v>
      </c>
      <c r="F227">
        <v>74</v>
      </c>
      <c r="G227" t="s">
        <v>845</v>
      </c>
      <c r="H227">
        <v>1</v>
      </c>
      <c r="I227">
        <v>10.55</v>
      </c>
      <c r="J227" t="s">
        <v>846</v>
      </c>
      <c r="K227" t="s">
        <v>41</v>
      </c>
      <c r="L227" s="3">
        <v>45242</v>
      </c>
      <c r="M227" t="s">
        <v>34</v>
      </c>
      <c r="N227" s="4">
        <v>74</v>
      </c>
      <c r="O227" t="str" cm="1">
        <f t="array" ref="O22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27" t="s">
        <v>845</v>
      </c>
      <c r="Q227" t="s">
        <v>2927</v>
      </c>
      <c r="R227" s="5">
        <v>10.55</v>
      </c>
      <c r="S227" s="5">
        <v>3.61</v>
      </c>
    </row>
    <row r="228" spans="1:19" x14ac:dyDescent="0.25">
      <c r="A228" t="s">
        <v>847</v>
      </c>
      <c r="B228" t="s">
        <v>848</v>
      </c>
      <c r="C228" t="s">
        <v>849</v>
      </c>
      <c r="D228" t="s">
        <v>30</v>
      </c>
      <c r="E228" t="s">
        <v>85</v>
      </c>
      <c r="F228">
        <v>31</v>
      </c>
      <c r="G228" t="s">
        <v>711</v>
      </c>
      <c r="H228">
        <v>3</v>
      </c>
      <c r="I228">
        <v>94.09</v>
      </c>
      <c r="J228">
        <v>34.67</v>
      </c>
      <c r="K228" t="s">
        <v>41</v>
      </c>
      <c r="L228" s="3">
        <v>45545</v>
      </c>
      <c r="M228" t="s">
        <v>34</v>
      </c>
      <c r="N228" s="4">
        <v>31</v>
      </c>
      <c r="O228" t="str" cm="1">
        <f t="array" ref="O22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28" t="s">
        <v>711</v>
      </c>
      <c r="Q228" t="s">
        <v>2939</v>
      </c>
      <c r="R228" s="5">
        <v>94.09</v>
      </c>
      <c r="S228" s="5">
        <v>34.67</v>
      </c>
    </row>
    <row r="229" spans="1:19" x14ac:dyDescent="0.25">
      <c r="A229" t="s">
        <v>850</v>
      </c>
      <c r="B229" t="s">
        <v>566</v>
      </c>
      <c r="C229" t="s">
        <v>851</v>
      </c>
      <c r="D229" t="s">
        <v>51</v>
      </c>
      <c r="E229" t="s">
        <v>70</v>
      </c>
      <c r="F229">
        <v>24</v>
      </c>
      <c r="G229" t="s">
        <v>852</v>
      </c>
      <c r="H229">
        <v>1</v>
      </c>
      <c r="I229">
        <v>12.84</v>
      </c>
      <c r="J229">
        <v>6.5</v>
      </c>
      <c r="K229" t="s">
        <v>41</v>
      </c>
      <c r="L229" s="3">
        <v>45186</v>
      </c>
      <c r="M229" t="s">
        <v>20</v>
      </c>
      <c r="N229" s="4">
        <v>24</v>
      </c>
      <c r="O229" t="str" cm="1">
        <f t="array" ref="O22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29" t="s">
        <v>852</v>
      </c>
      <c r="Q229" t="s">
        <v>2926</v>
      </c>
      <c r="R229" s="5">
        <v>12.84</v>
      </c>
      <c r="S229" s="5">
        <v>6.5</v>
      </c>
    </row>
    <row r="230" spans="1:19" x14ac:dyDescent="0.25">
      <c r="A230" t="s">
        <v>853</v>
      </c>
      <c r="B230" t="s">
        <v>854</v>
      </c>
      <c r="C230" s="1">
        <v>45300</v>
      </c>
      <c r="D230" t="s">
        <v>30</v>
      </c>
      <c r="E230" t="s">
        <v>85</v>
      </c>
      <c r="F230">
        <v>63</v>
      </c>
      <c r="G230" t="s">
        <v>855</v>
      </c>
      <c r="H230">
        <v>1</v>
      </c>
      <c r="I230" t="s">
        <v>856</v>
      </c>
      <c r="J230">
        <v>5.84</v>
      </c>
      <c r="K230" t="s">
        <v>41</v>
      </c>
      <c r="L230" s="3">
        <v>45300</v>
      </c>
      <c r="M230" t="s">
        <v>34</v>
      </c>
      <c r="N230" s="4">
        <v>63</v>
      </c>
      <c r="O230" t="str" cm="1">
        <f t="array" ref="O23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30" t="s">
        <v>2941</v>
      </c>
      <c r="Q230" t="s">
        <v>2929</v>
      </c>
      <c r="R230" s="5">
        <v>16.75</v>
      </c>
      <c r="S230" s="5">
        <v>5.84</v>
      </c>
    </row>
    <row r="231" spans="1:19" x14ac:dyDescent="0.25">
      <c r="A231" t="s">
        <v>857</v>
      </c>
      <c r="B231" t="s">
        <v>503</v>
      </c>
      <c r="C231" s="1">
        <v>45400</v>
      </c>
      <c r="D231" t="s">
        <v>51</v>
      </c>
      <c r="E231" t="s">
        <v>45</v>
      </c>
      <c r="F231" t="s">
        <v>435</v>
      </c>
      <c r="G231" t="s">
        <v>722</v>
      </c>
      <c r="H231">
        <v>2</v>
      </c>
      <c r="I231">
        <v>70.75</v>
      </c>
      <c r="J231">
        <v>31.1</v>
      </c>
      <c r="K231" t="s">
        <v>41</v>
      </c>
      <c r="L231" s="3">
        <v>45400</v>
      </c>
      <c r="M231" t="s">
        <v>48</v>
      </c>
      <c r="N231" s="4"/>
      <c r="O231" t="str" cm="1">
        <f t="array" ref="O23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231" t="s">
        <v>722</v>
      </c>
      <c r="Q231" t="s">
        <v>2926</v>
      </c>
      <c r="R231" s="5">
        <v>70.75</v>
      </c>
      <c r="S231" s="5">
        <v>31.1</v>
      </c>
    </row>
    <row r="232" spans="1:19" x14ac:dyDescent="0.25">
      <c r="A232" t="s">
        <v>858</v>
      </c>
      <c r="B232" t="s">
        <v>707</v>
      </c>
      <c r="C232" t="s">
        <v>859</v>
      </c>
      <c r="D232" t="s">
        <v>51</v>
      </c>
      <c r="E232" t="s">
        <v>65</v>
      </c>
      <c r="F232">
        <v>37</v>
      </c>
      <c r="G232" t="s">
        <v>860</v>
      </c>
      <c r="H232">
        <v>3</v>
      </c>
      <c r="I232" t="s">
        <v>861</v>
      </c>
      <c r="J232">
        <v>32.840000000000003</v>
      </c>
      <c r="K232" t="s">
        <v>19</v>
      </c>
      <c r="L232" s="3">
        <v>45285</v>
      </c>
      <c r="M232" t="s">
        <v>48</v>
      </c>
      <c r="N232" s="4">
        <v>37</v>
      </c>
      <c r="O232" t="str" cm="1">
        <f t="array" ref="O23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32" t="s">
        <v>860</v>
      </c>
      <c r="Q232" t="s">
        <v>2926</v>
      </c>
      <c r="R232" s="5">
        <v>92.73</v>
      </c>
      <c r="S232" s="5">
        <v>32.840000000000003</v>
      </c>
    </row>
    <row r="233" spans="1:19" x14ac:dyDescent="0.25">
      <c r="A233" t="s">
        <v>862</v>
      </c>
      <c r="B233" t="s">
        <v>863</v>
      </c>
      <c r="C233" t="s">
        <v>864</v>
      </c>
      <c r="D233" t="s">
        <v>51</v>
      </c>
      <c r="E233" t="s">
        <v>865</v>
      </c>
      <c r="F233">
        <v>36</v>
      </c>
      <c r="G233" t="s">
        <v>866</v>
      </c>
      <c r="H233">
        <v>2</v>
      </c>
      <c r="I233">
        <v>31.71</v>
      </c>
      <c r="J233">
        <v>12.68</v>
      </c>
      <c r="K233" t="s">
        <v>41</v>
      </c>
      <c r="L233" s="3">
        <v>45513</v>
      </c>
      <c r="M233" t="s">
        <v>48</v>
      </c>
      <c r="N233" s="4">
        <v>36</v>
      </c>
      <c r="O233" t="str" cm="1">
        <f t="array" ref="O23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33" t="s">
        <v>970</v>
      </c>
      <c r="Q233" t="s">
        <v>2925</v>
      </c>
      <c r="R233" s="5">
        <v>31.71</v>
      </c>
      <c r="S233" s="5">
        <v>12.68</v>
      </c>
    </row>
    <row r="234" spans="1:19" x14ac:dyDescent="0.25">
      <c r="A234" t="s">
        <v>867</v>
      </c>
      <c r="B234" t="s">
        <v>172</v>
      </c>
      <c r="C234" s="1">
        <v>45514</v>
      </c>
      <c r="D234" t="s">
        <v>30</v>
      </c>
      <c r="E234" t="s">
        <v>48</v>
      </c>
      <c r="F234">
        <v>66</v>
      </c>
      <c r="G234" t="s">
        <v>868</v>
      </c>
      <c r="H234">
        <v>2</v>
      </c>
      <c r="I234">
        <v>77.239999999999995</v>
      </c>
      <c r="J234">
        <v>22.91</v>
      </c>
      <c r="K234" t="s">
        <v>41</v>
      </c>
      <c r="L234" s="3">
        <v>45514</v>
      </c>
      <c r="M234" t="s">
        <v>48</v>
      </c>
      <c r="N234" s="4">
        <v>66</v>
      </c>
      <c r="O234" t="str" cm="1">
        <f t="array" ref="O23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34" t="s">
        <v>868</v>
      </c>
      <c r="Q234" t="s">
        <v>2926</v>
      </c>
      <c r="R234" s="5">
        <v>77.239999999999995</v>
      </c>
      <c r="S234" s="5">
        <v>22.91</v>
      </c>
    </row>
    <row r="235" spans="1:19" x14ac:dyDescent="0.25">
      <c r="A235" t="s">
        <v>869</v>
      </c>
      <c r="B235" t="s">
        <v>870</v>
      </c>
      <c r="C235" t="s">
        <v>871</v>
      </c>
      <c r="D235" t="s">
        <v>30</v>
      </c>
      <c r="E235" t="s">
        <v>48</v>
      </c>
      <c r="F235">
        <v>63</v>
      </c>
      <c r="G235" t="s">
        <v>872</v>
      </c>
      <c r="H235">
        <v>1</v>
      </c>
      <c r="I235">
        <v>8.6</v>
      </c>
      <c r="J235" s="2">
        <v>5.0599999999999996</v>
      </c>
      <c r="K235" t="s">
        <v>19</v>
      </c>
      <c r="L235" s="3">
        <v>45578</v>
      </c>
      <c r="M235" t="s">
        <v>48</v>
      </c>
      <c r="N235" s="4">
        <v>63</v>
      </c>
      <c r="O235" t="str" cm="1">
        <f t="array" ref="O23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35" t="s">
        <v>872</v>
      </c>
      <c r="Q235" t="s">
        <v>2927</v>
      </c>
      <c r="R235" s="5">
        <v>8.6</v>
      </c>
      <c r="S235" s="5">
        <v>5.0599999999999996</v>
      </c>
    </row>
    <row r="236" spans="1:19" x14ac:dyDescent="0.25">
      <c r="A236" t="s">
        <v>873</v>
      </c>
      <c r="B236" t="s">
        <v>874</v>
      </c>
      <c r="C236" s="1">
        <v>45327</v>
      </c>
      <c r="D236" t="s">
        <v>16</v>
      </c>
      <c r="E236" t="s">
        <v>38</v>
      </c>
      <c r="F236">
        <v>66</v>
      </c>
      <c r="G236" t="s">
        <v>875</v>
      </c>
      <c r="H236">
        <v>1</v>
      </c>
      <c r="I236" s="2">
        <v>14.64</v>
      </c>
      <c r="J236">
        <v>6.74</v>
      </c>
      <c r="K236" t="s">
        <v>19</v>
      </c>
      <c r="L236" s="3">
        <v>45327</v>
      </c>
      <c r="M236" t="s">
        <v>34</v>
      </c>
      <c r="N236" s="4">
        <v>66</v>
      </c>
      <c r="O236" t="str" cm="1">
        <f t="array" ref="O23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36" t="s">
        <v>875</v>
      </c>
      <c r="Q236" t="s">
        <v>2927</v>
      </c>
      <c r="R236" s="5">
        <v>14.64</v>
      </c>
      <c r="S236" s="5">
        <v>6.74</v>
      </c>
    </row>
    <row r="237" spans="1:19" x14ac:dyDescent="0.25">
      <c r="A237" t="s">
        <v>876</v>
      </c>
      <c r="B237" t="s">
        <v>877</v>
      </c>
      <c r="C237" t="s">
        <v>878</v>
      </c>
      <c r="D237" t="s">
        <v>30</v>
      </c>
      <c r="E237" t="s">
        <v>25</v>
      </c>
      <c r="F237">
        <v>60</v>
      </c>
      <c r="G237" t="s">
        <v>879</v>
      </c>
      <c r="H237">
        <v>1</v>
      </c>
      <c r="I237" t="s">
        <v>880</v>
      </c>
      <c r="J237" s="2">
        <v>6.03</v>
      </c>
      <c r="K237" t="s">
        <v>41</v>
      </c>
      <c r="L237" s="3">
        <v>45414</v>
      </c>
      <c r="M237" t="s">
        <v>20</v>
      </c>
      <c r="N237" s="4">
        <v>60</v>
      </c>
      <c r="O237" t="str" cm="1">
        <f t="array" ref="O23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37" t="s">
        <v>879</v>
      </c>
      <c r="Q237" t="s">
        <v>2929</v>
      </c>
      <c r="R237" s="5">
        <v>9.65</v>
      </c>
      <c r="S237" s="5">
        <v>6.03</v>
      </c>
    </row>
    <row r="238" spans="1:19" x14ac:dyDescent="0.25">
      <c r="A238" t="s">
        <v>881</v>
      </c>
      <c r="B238" t="s">
        <v>882</v>
      </c>
      <c r="C238" s="3">
        <v>45242</v>
      </c>
      <c r="D238" t="s">
        <v>51</v>
      </c>
      <c r="E238" t="s">
        <v>65</v>
      </c>
      <c r="F238">
        <v>69</v>
      </c>
      <c r="G238" t="s">
        <v>883</v>
      </c>
      <c r="H238">
        <v>1</v>
      </c>
      <c r="I238" s="2">
        <v>20.99</v>
      </c>
      <c r="J238">
        <v>8.0399999999999991</v>
      </c>
      <c r="K238" t="s">
        <v>41</v>
      </c>
      <c r="L238" s="3">
        <v>45242</v>
      </c>
      <c r="M238" t="s">
        <v>48</v>
      </c>
      <c r="N238" s="4">
        <v>69</v>
      </c>
      <c r="O238" t="str" cm="1">
        <f t="array" ref="O23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38" t="s">
        <v>2942</v>
      </c>
      <c r="Q238" t="s">
        <v>2926</v>
      </c>
      <c r="R238" s="5">
        <v>20.99</v>
      </c>
      <c r="S238" s="5">
        <v>8.0399999999999991</v>
      </c>
    </row>
    <row r="239" spans="1:19" x14ac:dyDescent="0.25">
      <c r="A239" t="s">
        <v>884</v>
      </c>
      <c r="B239" t="s">
        <v>885</v>
      </c>
      <c r="C239" t="s">
        <v>886</v>
      </c>
      <c r="D239" t="s">
        <v>51</v>
      </c>
      <c r="E239" t="s">
        <v>70</v>
      </c>
      <c r="F239" t="s">
        <v>25</v>
      </c>
      <c r="G239" t="s">
        <v>887</v>
      </c>
      <c r="H239">
        <v>1</v>
      </c>
      <c r="I239" t="s">
        <v>888</v>
      </c>
      <c r="J239" s="2">
        <v>10.91</v>
      </c>
      <c r="K239" t="s">
        <v>41</v>
      </c>
      <c r="L239" s="3">
        <v>44998</v>
      </c>
      <c r="M239" t="s">
        <v>20</v>
      </c>
      <c r="N239" s="4"/>
      <c r="O239" t="str" cm="1">
        <f t="array" ref="O23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239" t="s">
        <v>887</v>
      </c>
      <c r="Q239" t="s">
        <v>2929</v>
      </c>
      <c r="R239" s="5">
        <v>20.09</v>
      </c>
      <c r="S239" s="5">
        <v>10.91</v>
      </c>
    </row>
    <row r="240" spans="1:19" x14ac:dyDescent="0.25">
      <c r="A240" t="s">
        <v>889</v>
      </c>
      <c r="B240" t="s">
        <v>717</v>
      </c>
      <c r="C240" t="s">
        <v>890</v>
      </c>
      <c r="D240" t="s">
        <v>30</v>
      </c>
      <c r="E240" t="s">
        <v>70</v>
      </c>
      <c r="F240">
        <v>41</v>
      </c>
      <c r="G240" t="s">
        <v>891</v>
      </c>
      <c r="H240">
        <v>1</v>
      </c>
      <c r="I240">
        <v>10.63</v>
      </c>
      <c r="J240" s="2">
        <v>4.9800000000000004</v>
      </c>
      <c r="K240" t="s">
        <v>41</v>
      </c>
      <c r="L240" s="3">
        <v>45266</v>
      </c>
      <c r="M240" t="s">
        <v>20</v>
      </c>
      <c r="N240" s="4">
        <v>41</v>
      </c>
      <c r="O240" t="str" cm="1">
        <f t="array" ref="O24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40" t="s">
        <v>891</v>
      </c>
      <c r="Q240" t="s">
        <v>2926</v>
      </c>
      <c r="R240" s="5">
        <v>10.63</v>
      </c>
      <c r="S240" s="5">
        <v>4.9800000000000004</v>
      </c>
    </row>
    <row r="241" spans="1:19" x14ac:dyDescent="0.25">
      <c r="A241" t="s">
        <v>892</v>
      </c>
      <c r="B241" t="s">
        <v>803</v>
      </c>
      <c r="C241" t="s">
        <v>893</v>
      </c>
      <c r="D241" t="s">
        <v>16</v>
      </c>
      <c r="E241" t="s">
        <v>85</v>
      </c>
      <c r="F241">
        <v>17</v>
      </c>
      <c r="G241" t="s">
        <v>894</v>
      </c>
      <c r="H241">
        <v>1</v>
      </c>
      <c r="I241" s="2">
        <v>14.69</v>
      </c>
      <c r="J241">
        <v>8.6999999999999993</v>
      </c>
      <c r="K241" t="s">
        <v>19</v>
      </c>
      <c r="L241" s="3">
        <v>45009</v>
      </c>
      <c r="M241" t="s">
        <v>34</v>
      </c>
      <c r="N241" s="4">
        <v>17</v>
      </c>
      <c r="O241" t="str" cm="1">
        <f t="array" ref="O24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241" t="s">
        <v>894</v>
      </c>
      <c r="Q241" t="s">
        <v>2927</v>
      </c>
      <c r="R241" s="5">
        <v>14.69</v>
      </c>
      <c r="S241" s="5">
        <v>8.6999999999999993</v>
      </c>
    </row>
    <row r="242" spans="1:19" x14ac:dyDescent="0.25">
      <c r="A242" t="s">
        <v>895</v>
      </c>
      <c r="B242" t="s">
        <v>896</v>
      </c>
      <c r="C242" s="3">
        <v>45656</v>
      </c>
      <c r="D242" t="s">
        <v>16</v>
      </c>
      <c r="E242" t="s">
        <v>48</v>
      </c>
      <c r="F242">
        <v>37</v>
      </c>
      <c r="G242" t="s">
        <v>845</v>
      </c>
      <c r="H242">
        <v>1</v>
      </c>
      <c r="I242">
        <v>41.13</v>
      </c>
      <c r="J242" t="s">
        <v>897</v>
      </c>
      <c r="K242" t="s">
        <v>19</v>
      </c>
      <c r="L242" s="3">
        <v>45656</v>
      </c>
      <c r="M242" t="s">
        <v>48</v>
      </c>
      <c r="N242" s="4">
        <v>37</v>
      </c>
      <c r="O242" t="str" cm="1">
        <f t="array" ref="O24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42" t="s">
        <v>845</v>
      </c>
      <c r="Q242" t="s">
        <v>2927</v>
      </c>
      <c r="R242" s="5">
        <v>41.13</v>
      </c>
      <c r="S242" s="5">
        <v>22.16</v>
      </c>
    </row>
    <row r="243" spans="1:19" x14ac:dyDescent="0.25">
      <c r="A243" t="s">
        <v>898</v>
      </c>
      <c r="B243" t="s">
        <v>899</v>
      </c>
      <c r="C243" t="s">
        <v>900</v>
      </c>
      <c r="D243" t="s">
        <v>24</v>
      </c>
      <c r="E243" t="s">
        <v>60</v>
      </c>
      <c r="F243">
        <v>18</v>
      </c>
      <c r="G243" t="s">
        <v>901</v>
      </c>
      <c r="H243">
        <v>2</v>
      </c>
      <c r="I243">
        <v>21.2</v>
      </c>
      <c r="J243">
        <v>8.44</v>
      </c>
      <c r="K243" t="s">
        <v>19</v>
      </c>
      <c r="L243" s="3">
        <v>45477</v>
      </c>
      <c r="M243" t="s">
        <v>48</v>
      </c>
      <c r="N243" s="4">
        <v>18</v>
      </c>
      <c r="O243" t="str" cm="1">
        <f t="array" ref="O24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43" t="s">
        <v>901</v>
      </c>
      <c r="Q243" t="s">
        <v>2931</v>
      </c>
      <c r="R243" s="5">
        <v>21.2</v>
      </c>
      <c r="S243" s="5">
        <v>8.44</v>
      </c>
    </row>
    <row r="244" spans="1:19" x14ac:dyDescent="0.25">
      <c r="A244" t="s">
        <v>902</v>
      </c>
      <c r="B244" t="s">
        <v>903</v>
      </c>
      <c r="C244" t="s">
        <v>904</v>
      </c>
      <c r="D244" t="s">
        <v>51</v>
      </c>
      <c r="E244" t="s">
        <v>65</v>
      </c>
      <c r="F244">
        <v>57</v>
      </c>
      <c r="G244" t="s">
        <v>905</v>
      </c>
      <c r="H244">
        <v>2</v>
      </c>
      <c r="J244">
        <v>67.349999999999994</v>
      </c>
      <c r="K244" t="s">
        <v>19</v>
      </c>
      <c r="L244" s="3">
        <v>45484</v>
      </c>
      <c r="M244" t="s">
        <v>48</v>
      </c>
      <c r="N244" s="4">
        <v>57</v>
      </c>
      <c r="O244" t="str" cm="1">
        <f t="array" ref="O24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44" t="s">
        <v>905</v>
      </c>
      <c r="Q244" t="s">
        <v>2926</v>
      </c>
      <c r="R244" s="5"/>
      <c r="S244" s="5">
        <v>67.349999999999994</v>
      </c>
    </row>
    <row r="245" spans="1:19" x14ac:dyDescent="0.25">
      <c r="A245" t="s">
        <v>906</v>
      </c>
      <c r="B245" t="s">
        <v>188</v>
      </c>
      <c r="C245" t="s">
        <v>907</v>
      </c>
      <c r="D245" t="s">
        <v>51</v>
      </c>
      <c r="E245" t="s">
        <v>132</v>
      </c>
      <c r="F245">
        <v>42</v>
      </c>
      <c r="G245" t="s">
        <v>905</v>
      </c>
      <c r="H245">
        <v>1</v>
      </c>
      <c r="I245">
        <v>42.48</v>
      </c>
      <c r="J245" t="s">
        <v>908</v>
      </c>
      <c r="K245" t="s">
        <v>19</v>
      </c>
      <c r="L245" s="3">
        <v>45219</v>
      </c>
      <c r="M245" t="s">
        <v>132</v>
      </c>
      <c r="N245" s="4">
        <v>42</v>
      </c>
      <c r="O245" t="str" cm="1">
        <f t="array" ref="O24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45" t="s">
        <v>905</v>
      </c>
      <c r="Q245" t="s">
        <v>2926</v>
      </c>
      <c r="R245" s="5">
        <v>42.48</v>
      </c>
      <c r="S245" s="5">
        <v>21.1</v>
      </c>
    </row>
    <row r="246" spans="1:19" x14ac:dyDescent="0.25">
      <c r="A246" t="s">
        <v>909</v>
      </c>
      <c r="B246" t="s">
        <v>118</v>
      </c>
      <c r="C246" s="1">
        <v>45305</v>
      </c>
      <c r="D246" t="s">
        <v>51</v>
      </c>
      <c r="E246" t="s">
        <v>45</v>
      </c>
      <c r="F246">
        <v>19</v>
      </c>
      <c r="G246" t="s">
        <v>303</v>
      </c>
      <c r="H246">
        <v>2</v>
      </c>
      <c r="I246">
        <v>63.93</v>
      </c>
      <c r="J246">
        <v>26.48</v>
      </c>
      <c r="K246" t="s">
        <v>41</v>
      </c>
      <c r="L246" s="3">
        <v>45305</v>
      </c>
      <c r="M246" t="s">
        <v>48</v>
      </c>
      <c r="N246" s="4">
        <v>19</v>
      </c>
      <c r="O246" t="str" cm="1">
        <f t="array" ref="O24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46" t="s">
        <v>303</v>
      </c>
      <c r="Q246" t="s">
        <v>2926</v>
      </c>
      <c r="R246" s="5">
        <v>63.93</v>
      </c>
      <c r="S246" s="5">
        <v>26.48</v>
      </c>
    </row>
    <row r="247" spans="1:19" x14ac:dyDescent="0.25">
      <c r="A247" t="s">
        <v>910</v>
      </c>
      <c r="B247" t="s">
        <v>911</v>
      </c>
      <c r="C247" t="s">
        <v>912</v>
      </c>
      <c r="D247" t="s">
        <v>24</v>
      </c>
      <c r="E247" t="s">
        <v>85</v>
      </c>
      <c r="F247">
        <v>64</v>
      </c>
      <c r="G247" t="s">
        <v>913</v>
      </c>
      <c r="H247">
        <v>1</v>
      </c>
      <c r="I247" s="2">
        <v>5.09</v>
      </c>
      <c r="J247" t="s">
        <v>914</v>
      </c>
      <c r="K247" t="s">
        <v>19</v>
      </c>
      <c r="L247" s="3">
        <v>45395</v>
      </c>
      <c r="M247" t="s">
        <v>34</v>
      </c>
      <c r="N247" s="4">
        <v>64</v>
      </c>
      <c r="O247" t="str" cm="1">
        <f t="array" ref="O24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47" t="s">
        <v>913</v>
      </c>
      <c r="Q247" t="s">
        <v>2926</v>
      </c>
      <c r="R247" s="5">
        <v>5.09</v>
      </c>
      <c r="S247" s="5">
        <v>1.93</v>
      </c>
    </row>
    <row r="248" spans="1:19" x14ac:dyDescent="0.25">
      <c r="A248" t="s">
        <v>915</v>
      </c>
      <c r="B248" t="s">
        <v>172</v>
      </c>
      <c r="C248" t="s">
        <v>916</v>
      </c>
      <c r="D248" t="s">
        <v>129</v>
      </c>
      <c r="E248" t="s">
        <v>132</v>
      </c>
      <c r="F248">
        <v>31</v>
      </c>
      <c r="G248" t="s">
        <v>917</v>
      </c>
      <c r="H248">
        <v>2</v>
      </c>
      <c r="I248">
        <v>25.83</v>
      </c>
      <c r="J248" s="2">
        <v>9.3800000000000008</v>
      </c>
      <c r="K248" t="s">
        <v>41</v>
      </c>
      <c r="L248" s="3">
        <v>45170</v>
      </c>
      <c r="M248" t="s">
        <v>132</v>
      </c>
      <c r="N248" s="4">
        <v>31</v>
      </c>
      <c r="O248" t="str" cm="1">
        <f t="array" ref="O24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48" t="s">
        <v>917</v>
      </c>
      <c r="Q248" t="s">
        <v>2926</v>
      </c>
      <c r="R248" s="5">
        <v>25.83</v>
      </c>
      <c r="S248" s="5">
        <v>9.3800000000000008</v>
      </c>
    </row>
    <row r="249" spans="1:19" x14ac:dyDescent="0.25">
      <c r="A249" t="s">
        <v>918</v>
      </c>
      <c r="B249" t="s">
        <v>919</v>
      </c>
      <c r="C249" s="1">
        <v>45112</v>
      </c>
      <c r="D249" t="s">
        <v>16</v>
      </c>
      <c r="E249" t="s">
        <v>132</v>
      </c>
      <c r="F249">
        <v>17</v>
      </c>
      <c r="G249" t="s">
        <v>920</v>
      </c>
      <c r="H249">
        <v>1</v>
      </c>
      <c r="I249">
        <v>15.51</v>
      </c>
      <c r="J249">
        <v>7.72</v>
      </c>
      <c r="K249" t="s">
        <v>19</v>
      </c>
      <c r="L249" s="3">
        <v>45112</v>
      </c>
      <c r="M249" t="s">
        <v>132</v>
      </c>
      <c r="N249" s="4">
        <v>17</v>
      </c>
      <c r="O249" t="str" cm="1">
        <f t="array" ref="O24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249" t="s">
        <v>920</v>
      </c>
      <c r="Q249" t="s">
        <v>2928</v>
      </c>
      <c r="R249" s="5">
        <v>15.51</v>
      </c>
      <c r="S249" s="5">
        <v>7.72</v>
      </c>
    </row>
    <row r="250" spans="1:19" x14ac:dyDescent="0.25">
      <c r="A250" t="s">
        <v>921</v>
      </c>
      <c r="B250" t="s">
        <v>234</v>
      </c>
      <c r="C250" s="3">
        <v>45567</v>
      </c>
      <c r="D250" t="s">
        <v>24</v>
      </c>
      <c r="E250" t="s">
        <v>38</v>
      </c>
      <c r="F250">
        <v>38</v>
      </c>
      <c r="G250" t="s">
        <v>922</v>
      </c>
      <c r="H250">
        <v>2</v>
      </c>
      <c r="I250" s="2">
        <v>9.84</v>
      </c>
      <c r="J250" s="2">
        <v>2.72</v>
      </c>
      <c r="K250" t="s">
        <v>19</v>
      </c>
      <c r="L250" s="3">
        <v>45567</v>
      </c>
      <c r="M250" t="s">
        <v>34</v>
      </c>
      <c r="N250" s="4">
        <v>38</v>
      </c>
      <c r="O250" t="str" cm="1">
        <f t="array" ref="O25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50" t="s">
        <v>922</v>
      </c>
      <c r="Q250" t="s">
        <v>2926</v>
      </c>
      <c r="R250" s="5">
        <v>9.84</v>
      </c>
      <c r="S250" s="5">
        <v>2.72</v>
      </c>
    </row>
    <row r="251" spans="1:19" x14ac:dyDescent="0.25">
      <c r="A251" t="s">
        <v>923</v>
      </c>
      <c r="B251" t="s">
        <v>924</v>
      </c>
      <c r="C251" s="1">
        <v>45047</v>
      </c>
      <c r="D251" t="s">
        <v>51</v>
      </c>
      <c r="E251" t="s">
        <v>65</v>
      </c>
      <c r="F251">
        <v>65</v>
      </c>
      <c r="G251" t="s">
        <v>925</v>
      </c>
      <c r="H251">
        <v>2</v>
      </c>
      <c r="I251">
        <v>85.47</v>
      </c>
      <c r="J251" s="2">
        <v>48.27</v>
      </c>
      <c r="K251" t="s">
        <v>19</v>
      </c>
      <c r="L251" s="3">
        <v>45047</v>
      </c>
      <c r="M251" t="s">
        <v>48</v>
      </c>
      <c r="N251" s="4">
        <v>65</v>
      </c>
      <c r="O251" t="str" cm="1">
        <f t="array" ref="O25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51" t="s">
        <v>925</v>
      </c>
      <c r="Q251" t="s">
        <v>2939</v>
      </c>
      <c r="R251" s="5">
        <v>85.47</v>
      </c>
      <c r="S251" s="5">
        <v>48.27</v>
      </c>
    </row>
    <row r="252" spans="1:19" x14ac:dyDescent="0.25">
      <c r="A252" t="s">
        <v>926</v>
      </c>
      <c r="B252" t="s">
        <v>180</v>
      </c>
      <c r="C252" t="s">
        <v>927</v>
      </c>
      <c r="D252" t="s">
        <v>30</v>
      </c>
      <c r="E252" t="s">
        <v>25</v>
      </c>
      <c r="F252">
        <v>45</v>
      </c>
      <c r="G252" t="s">
        <v>303</v>
      </c>
      <c r="H252">
        <v>2</v>
      </c>
      <c r="I252" t="s">
        <v>928</v>
      </c>
      <c r="J252" s="2">
        <v>28.56</v>
      </c>
      <c r="K252" t="s">
        <v>19</v>
      </c>
      <c r="L252" s="3">
        <v>45421</v>
      </c>
      <c r="M252" t="s">
        <v>20</v>
      </c>
      <c r="N252" s="4">
        <v>45</v>
      </c>
      <c r="O252" t="str" cm="1">
        <f t="array" ref="O25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52" t="s">
        <v>303</v>
      </c>
      <c r="Q252" t="s">
        <v>2926</v>
      </c>
      <c r="R252" s="5">
        <v>62.57</v>
      </c>
      <c r="S252" s="5">
        <v>28.56</v>
      </c>
    </row>
    <row r="253" spans="1:19" x14ac:dyDescent="0.25">
      <c r="A253" t="s">
        <v>929</v>
      </c>
      <c r="B253" t="s">
        <v>930</v>
      </c>
      <c r="C253" s="1">
        <v>44928</v>
      </c>
      <c r="D253" t="s">
        <v>30</v>
      </c>
      <c r="E253" t="s">
        <v>865</v>
      </c>
      <c r="F253">
        <v>73</v>
      </c>
      <c r="G253" t="s">
        <v>931</v>
      </c>
      <c r="H253">
        <v>1</v>
      </c>
      <c r="I253">
        <v>25.71</v>
      </c>
      <c r="J253">
        <v>8.5</v>
      </c>
      <c r="K253" t="s">
        <v>41</v>
      </c>
      <c r="L253" s="3">
        <v>44928</v>
      </c>
      <c r="M253" t="s">
        <v>48</v>
      </c>
      <c r="N253" s="4">
        <v>73</v>
      </c>
      <c r="O253" t="str" cm="1">
        <f t="array" ref="O25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53" t="s">
        <v>2608</v>
      </c>
      <c r="Q253" t="s">
        <v>2927</v>
      </c>
      <c r="R253" s="5">
        <v>25.71</v>
      </c>
      <c r="S253" s="5">
        <v>8.5</v>
      </c>
    </row>
    <row r="254" spans="1:19" x14ac:dyDescent="0.25">
      <c r="A254" t="s">
        <v>932</v>
      </c>
      <c r="B254" t="s">
        <v>933</v>
      </c>
      <c r="C254" s="1">
        <v>45026</v>
      </c>
      <c r="D254" t="s">
        <v>30</v>
      </c>
      <c r="E254" t="s">
        <v>38</v>
      </c>
      <c r="F254">
        <v>75</v>
      </c>
      <c r="G254" t="s">
        <v>541</v>
      </c>
      <c r="H254">
        <v>1</v>
      </c>
      <c r="I254">
        <v>8.94</v>
      </c>
      <c r="J254" t="s">
        <v>25</v>
      </c>
      <c r="K254" t="s">
        <v>41</v>
      </c>
      <c r="L254" s="3">
        <v>45026</v>
      </c>
      <c r="M254" t="s">
        <v>34</v>
      </c>
      <c r="N254" s="4">
        <v>75</v>
      </c>
      <c r="O254" t="str" cm="1">
        <f t="array" ref="O25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54" t="s">
        <v>541</v>
      </c>
      <c r="Q254" t="s">
        <v>2926</v>
      </c>
      <c r="R254" s="5">
        <v>8.94</v>
      </c>
      <c r="S254" s="5"/>
    </row>
    <row r="255" spans="1:19" x14ac:dyDescent="0.25">
      <c r="A255" t="s">
        <v>934</v>
      </c>
      <c r="B255" t="s">
        <v>558</v>
      </c>
      <c r="C255" s="3">
        <v>45213</v>
      </c>
      <c r="D255" t="s">
        <v>24</v>
      </c>
      <c r="E255" t="s">
        <v>45</v>
      </c>
      <c r="F255">
        <v>72</v>
      </c>
      <c r="G255" t="s">
        <v>935</v>
      </c>
      <c r="H255">
        <v>1</v>
      </c>
      <c r="I255">
        <v>26.59</v>
      </c>
      <c r="J255" t="s">
        <v>936</v>
      </c>
      <c r="K255" t="s">
        <v>19</v>
      </c>
      <c r="L255" s="3">
        <v>45213</v>
      </c>
      <c r="M255" t="s">
        <v>48</v>
      </c>
      <c r="N255" s="4">
        <v>72</v>
      </c>
      <c r="O255" t="str" cm="1">
        <f t="array" ref="O25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55" t="s">
        <v>2692</v>
      </c>
      <c r="Q255" t="s">
        <v>2926</v>
      </c>
      <c r="R255" s="5">
        <v>26.59</v>
      </c>
      <c r="S255" s="5">
        <v>11.07</v>
      </c>
    </row>
    <row r="256" spans="1:19" x14ac:dyDescent="0.25">
      <c r="A256" t="s">
        <v>937</v>
      </c>
      <c r="B256" t="s">
        <v>419</v>
      </c>
      <c r="C256" s="3">
        <v>44985</v>
      </c>
      <c r="D256" t="s">
        <v>30</v>
      </c>
      <c r="E256" t="s">
        <v>85</v>
      </c>
      <c r="F256">
        <v>48</v>
      </c>
      <c r="G256" t="s">
        <v>938</v>
      </c>
      <c r="H256">
        <v>2</v>
      </c>
      <c r="I256">
        <v>28.4</v>
      </c>
      <c r="J256" t="s">
        <v>939</v>
      </c>
      <c r="K256" t="s">
        <v>41</v>
      </c>
      <c r="L256" s="3">
        <v>44985</v>
      </c>
      <c r="M256" t="s">
        <v>34</v>
      </c>
      <c r="N256" s="4">
        <v>48</v>
      </c>
      <c r="O256" t="str" cm="1">
        <f t="array" ref="O25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56" t="s">
        <v>938</v>
      </c>
      <c r="Q256" t="s">
        <v>2926</v>
      </c>
      <c r="R256" s="5">
        <v>28.4</v>
      </c>
      <c r="S256" s="5">
        <v>14.12</v>
      </c>
    </row>
    <row r="257" spans="1:19" x14ac:dyDescent="0.25">
      <c r="A257" t="s">
        <v>940</v>
      </c>
      <c r="B257" t="s">
        <v>941</v>
      </c>
      <c r="C257" s="1">
        <v>44972</v>
      </c>
      <c r="D257" t="s">
        <v>24</v>
      </c>
      <c r="E257" t="s">
        <v>70</v>
      </c>
      <c r="F257">
        <v>46</v>
      </c>
      <c r="G257" t="s">
        <v>942</v>
      </c>
      <c r="H257">
        <v>-1</v>
      </c>
      <c r="I257">
        <v>-18.12</v>
      </c>
      <c r="J257">
        <v>-6.83</v>
      </c>
      <c r="K257" t="s">
        <v>41</v>
      </c>
      <c r="L257" s="3">
        <v>44972</v>
      </c>
      <c r="M257" t="s">
        <v>20</v>
      </c>
      <c r="N257" s="4">
        <v>46</v>
      </c>
      <c r="O257" t="str" cm="1">
        <f t="array" ref="O25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57" t="s">
        <v>942</v>
      </c>
      <c r="Q257" t="s">
        <v>2925</v>
      </c>
      <c r="R257" s="5">
        <v>-18.12</v>
      </c>
      <c r="S257" s="5">
        <v>-6.83</v>
      </c>
    </row>
    <row r="258" spans="1:19" x14ac:dyDescent="0.25">
      <c r="A258" t="s">
        <v>943</v>
      </c>
      <c r="B258" t="s">
        <v>944</v>
      </c>
      <c r="C258" s="1">
        <v>45143</v>
      </c>
      <c r="D258" t="s">
        <v>24</v>
      </c>
      <c r="E258" t="s">
        <v>38</v>
      </c>
      <c r="F258">
        <v>19</v>
      </c>
      <c r="G258" t="s">
        <v>945</v>
      </c>
      <c r="H258">
        <v>1</v>
      </c>
      <c r="I258" s="2">
        <v>21.57</v>
      </c>
      <c r="J258" s="2">
        <v>10.46</v>
      </c>
      <c r="K258" t="s">
        <v>41</v>
      </c>
      <c r="L258" s="3">
        <v>45143</v>
      </c>
      <c r="M258" t="s">
        <v>34</v>
      </c>
      <c r="N258" s="4">
        <v>19</v>
      </c>
      <c r="O258" t="str" cm="1">
        <f t="array" ref="O25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58" t="s">
        <v>2943</v>
      </c>
      <c r="Q258" t="s">
        <v>2929</v>
      </c>
      <c r="R258" s="5">
        <v>21.57</v>
      </c>
      <c r="S258" s="5">
        <v>10.46</v>
      </c>
    </row>
    <row r="259" spans="1:19" x14ac:dyDescent="0.25">
      <c r="A259" t="s">
        <v>946</v>
      </c>
      <c r="B259" t="s">
        <v>947</v>
      </c>
      <c r="C259" t="s">
        <v>948</v>
      </c>
      <c r="D259" t="s">
        <v>30</v>
      </c>
      <c r="E259" t="s">
        <v>65</v>
      </c>
      <c r="F259">
        <v>33</v>
      </c>
      <c r="G259" t="s">
        <v>949</v>
      </c>
      <c r="H259">
        <v>2</v>
      </c>
      <c r="I259">
        <v>58.56</v>
      </c>
      <c r="J259" t="s">
        <v>25</v>
      </c>
      <c r="K259" t="s">
        <v>41</v>
      </c>
      <c r="L259" s="3">
        <v>45027</v>
      </c>
      <c r="M259" t="s">
        <v>48</v>
      </c>
      <c r="N259" s="4">
        <v>33</v>
      </c>
      <c r="O259" t="str" cm="1">
        <f t="array" ref="O25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59" t="s">
        <v>949</v>
      </c>
      <c r="Q259" t="s">
        <v>2926</v>
      </c>
      <c r="R259" s="5">
        <v>58.56</v>
      </c>
      <c r="S259" s="5"/>
    </row>
    <row r="260" spans="1:19" x14ac:dyDescent="0.25">
      <c r="A260" t="s">
        <v>950</v>
      </c>
      <c r="B260" t="s">
        <v>783</v>
      </c>
      <c r="C260" s="1">
        <v>45296</v>
      </c>
      <c r="D260" t="s">
        <v>129</v>
      </c>
      <c r="E260" t="s">
        <v>85</v>
      </c>
      <c r="F260">
        <v>75</v>
      </c>
      <c r="G260" t="s">
        <v>951</v>
      </c>
      <c r="H260">
        <v>1</v>
      </c>
      <c r="I260">
        <v>2.2999999999999998</v>
      </c>
      <c r="J260" t="s">
        <v>952</v>
      </c>
      <c r="K260" t="s">
        <v>19</v>
      </c>
      <c r="L260" s="3">
        <v>45296</v>
      </c>
      <c r="M260" t="s">
        <v>34</v>
      </c>
      <c r="N260" s="4">
        <v>75</v>
      </c>
      <c r="O260" t="str" cm="1">
        <f t="array" ref="O26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60" t="s">
        <v>951</v>
      </c>
      <c r="Q260" t="s">
        <v>2925</v>
      </c>
      <c r="R260" s="5">
        <v>2.2999999999999998</v>
      </c>
      <c r="S260" s="5">
        <v>0.76</v>
      </c>
    </row>
    <row r="261" spans="1:19" x14ac:dyDescent="0.25">
      <c r="A261" t="s">
        <v>953</v>
      </c>
      <c r="B261" t="s">
        <v>292</v>
      </c>
      <c r="C261" s="3">
        <v>45652</v>
      </c>
      <c r="D261" t="s">
        <v>129</v>
      </c>
      <c r="E261" t="s">
        <v>38</v>
      </c>
      <c r="F261">
        <v>75</v>
      </c>
      <c r="G261" t="s">
        <v>954</v>
      </c>
      <c r="H261">
        <v>1</v>
      </c>
      <c r="I261">
        <v>5.35</v>
      </c>
      <c r="J261" s="2">
        <v>2.67</v>
      </c>
      <c r="K261" t="s">
        <v>19</v>
      </c>
      <c r="L261" s="3">
        <v>45652</v>
      </c>
      <c r="M261" t="s">
        <v>34</v>
      </c>
      <c r="N261" s="4">
        <v>75</v>
      </c>
      <c r="O261" t="str" cm="1">
        <f t="array" ref="O26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61" t="s">
        <v>954</v>
      </c>
      <c r="Q261" t="s">
        <v>2930</v>
      </c>
      <c r="R261" s="5">
        <v>5.35</v>
      </c>
      <c r="S261" s="5">
        <v>2.67</v>
      </c>
    </row>
    <row r="262" spans="1:19" x14ac:dyDescent="0.25">
      <c r="A262" t="s">
        <v>955</v>
      </c>
      <c r="B262" t="s">
        <v>956</v>
      </c>
      <c r="C262" t="s">
        <v>957</v>
      </c>
      <c r="D262" t="s">
        <v>16</v>
      </c>
      <c r="E262" t="s">
        <v>34</v>
      </c>
      <c r="F262">
        <v>14</v>
      </c>
      <c r="G262" t="s">
        <v>958</v>
      </c>
      <c r="H262">
        <v>1</v>
      </c>
      <c r="I262" s="2">
        <v>7.7</v>
      </c>
      <c r="J262" s="2">
        <v>2.77</v>
      </c>
      <c r="K262" t="s">
        <v>19</v>
      </c>
      <c r="L262" s="3">
        <v>45459</v>
      </c>
      <c r="M262" t="s">
        <v>34</v>
      </c>
      <c r="N262" s="4">
        <v>14</v>
      </c>
      <c r="O262" t="str" cm="1">
        <f t="array" ref="O26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262" t="s">
        <v>958</v>
      </c>
      <c r="Q262" t="s">
        <v>2926</v>
      </c>
      <c r="R262" s="5">
        <v>7.7</v>
      </c>
      <c r="S262" s="5">
        <v>2.77</v>
      </c>
    </row>
    <row r="263" spans="1:19" x14ac:dyDescent="0.25">
      <c r="A263" t="s">
        <v>959</v>
      </c>
      <c r="B263" t="s">
        <v>93</v>
      </c>
      <c r="C263" s="3">
        <v>45650</v>
      </c>
      <c r="D263" t="s">
        <v>30</v>
      </c>
      <c r="E263" t="s">
        <v>65</v>
      </c>
      <c r="F263" t="s">
        <v>173</v>
      </c>
      <c r="G263" t="s">
        <v>960</v>
      </c>
      <c r="H263">
        <v>2</v>
      </c>
      <c r="I263">
        <v>93.45</v>
      </c>
      <c r="J263">
        <v>40.78</v>
      </c>
      <c r="K263" t="s">
        <v>41</v>
      </c>
      <c r="L263" s="3">
        <v>45650</v>
      </c>
      <c r="M263" t="s">
        <v>48</v>
      </c>
      <c r="N263" s="4">
        <v>30</v>
      </c>
      <c r="O263" t="str" cm="1">
        <f t="array" ref="O26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63" t="s">
        <v>960</v>
      </c>
      <c r="Q263" t="s">
        <v>2926</v>
      </c>
      <c r="R263" s="5">
        <v>93.45</v>
      </c>
      <c r="S263" s="5">
        <v>40.78</v>
      </c>
    </row>
    <row r="264" spans="1:19" x14ac:dyDescent="0.25">
      <c r="A264" t="s">
        <v>961</v>
      </c>
      <c r="B264" t="s">
        <v>390</v>
      </c>
      <c r="C264" s="3">
        <v>45393</v>
      </c>
      <c r="D264" t="s">
        <v>30</v>
      </c>
      <c r="E264" t="s">
        <v>31</v>
      </c>
      <c r="F264">
        <v>58</v>
      </c>
      <c r="G264" t="s">
        <v>962</v>
      </c>
      <c r="H264">
        <v>2</v>
      </c>
      <c r="I264">
        <v>25.04</v>
      </c>
      <c r="J264">
        <v>6.81</v>
      </c>
      <c r="K264" t="s">
        <v>19</v>
      </c>
      <c r="L264" s="3">
        <v>45393</v>
      </c>
      <c r="M264" t="s">
        <v>34</v>
      </c>
      <c r="N264" s="4">
        <v>58</v>
      </c>
      <c r="O264" t="str" cm="1">
        <f t="array" ref="O26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64" t="s">
        <v>962</v>
      </c>
      <c r="Q264" t="s">
        <v>2927</v>
      </c>
      <c r="R264" s="5">
        <v>25.04</v>
      </c>
      <c r="S264" s="5">
        <v>6.81</v>
      </c>
    </row>
    <row r="265" spans="1:19" x14ac:dyDescent="0.25">
      <c r="A265" t="s">
        <v>963</v>
      </c>
      <c r="B265" t="s">
        <v>854</v>
      </c>
      <c r="C265" t="s">
        <v>964</v>
      </c>
      <c r="D265" t="s">
        <v>30</v>
      </c>
      <c r="E265" t="s">
        <v>45</v>
      </c>
      <c r="F265">
        <v>41</v>
      </c>
      <c r="G265" t="s">
        <v>541</v>
      </c>
      <c r="H265">
        <v>2</v>
      </c>
      <c r="I265" t="s">
        <v>965</v>
      </c>
      <c r="J265" t="s">
        <v>966</v>
      </c>
      <c r="K265" t="s">
        <v>19</v>
      </c>
      <c r="L265" s="3">
        <v>45260</v>
      </c>
      <c r="M265" t="s">
        <v>48</v>
      </c>
      <c r="N265" s="4">
        <v>41</v>
      </c>
      <c r="O265" t="str" cm="1">
        <f t="array" ref="O26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65" t="s">
        <v>541</v>
      </c>
      <c r="Q265" t="s">
        <v>2926</v>
      </c>
      <c r="R265" s="5">
        <v>53.69</v>
      </c>
      <c r="S265" s="5">
        <v>28.18</v>
      </c>
    </row>
    <row r="266" spans="1:19" x14ac:dyDescent="0.25">
      <c r="A266" t="s">
        <v>967</v>
      </c>
      <c r="B266" t="s">
        <v>808</v>
      </c>
      <c r="C266" t="s">
        <v>968</v>
      </c>
      <c r="D266" t="s">
        <v>51</v>
      </c>
      <c r="E266" t="s">
        <v>65</v>
      </c>
      <c r="F266">
        <v>46</v>
      </c>
      <c r="G266" t="s">
        <v>969</v>
      </c>
      <c r="H266">
        <v>2</v>
      </c>
      <c r="I266">
        <v>30.08</v>
      </c>
      <c r="J266">
        <v>10.06</v>
      </c>
      <c r="K266" t="s">
        <v>41</v>
      </c>
      <c r="L266" s="3">
        <v>45635</v>
      </c>
      <c r="M266" t="s">
        <v>48</v>
      </c>
      <c r="N266" s="4">
        <v>46</v>
      </c>
      <c r="O266" t="str" cm="1">
        <f t="array" ref="O26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66" t="s">
        <v>969</v>
      </c>
      <c r="Q266" t="s">
        <v>2926</v>
      </c>
      <c r="R266" s="5">
        <v>30.08</v>
      </c>
      <c r="S266" s="5">
        <v>10.06</v>
      </c>
    </row>
    <row r="267" spans="1:19" x14ac:dyDescent="0.25">
      <c r="A267" t="s">
        <v>862</v>
      </c>
      <c r="B267" t="s">
        <v>679</v>
      </c>
      <c r="C267" t="s">
        <v>864</v>
      </c>
      <c r="D267" t="s">
        <v>51</v>
      </c>
      <c r="E267" t="s">
        <v>48</v>
      </c>
      <c r="F267">
        <v>36</v>
      </c>
      <c r="G267" t="s">
        <v>970</v>
      </c>
      <c r="H267">
        <v>2</v>
      </c>
      <c r="I267">
        <v>31.71</v>
      </c>
      <c r="J267">
        <v>12.68</v>
      </c>
      <c r="K267" t="s">
        <v>41</v>
      </c>
      <c r="L267" s="3">
        <v>45513</v>
      </c>
      <c r="M267" t="s">
        <v>48</v>
      </c>
      <c r="N267" s="4">
        <v>36</v>
      </c>
      <c r="O267" t="str" cm="1">
        <f t="array" ref="O26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67" t="s">
        <v>970</v>
      </c>
      <c r="Q267" t="s">
        <v>2925</v>
      </c>
      <c r="R267" s="5">
        <v>31.71</v>
      </c>
      <c r="S267" s="5">
        <v>12.68</v>
      </c>
    </row>
    <row r="268" spans="1:19" x14ac:dyDescent="0.25">
      <c r="A268" t="s">
        <v>971</v>
      </c>
      <c r="B268" t="s">
        <v>972</v>
      </c>
      <c r="C268" t="s">
        <v>973</v>
      </c>
      <c r="D268" t="s">
        <v>129</v>
      </c>
      <c r="E268" t="s">
        <v>31</v>
      </c>
      <c r="F268">
        <v>29</v>
      </c>
      <c r="G268" t="s">
        <v>974</v>
      </c>
      <c r="H268">
        <v>1</v>
      </c>
      <c r="I268" t="s">
        <v>975</v>
      </c>
      <c r="J268">
        <v>2.35</v>
      </c>
      <c r="K268" t="s">
        <v>41</v>
      </c>
      <c r="L268" s="3">
        <v>45137</v>
      </c>
      <c r="M268" t="s">
        <v>34</v>
      </c>
      <c r="N268" s="4">
        <v>29</v>
      </c>
      <c r="O268" t="str" cm="1">
        <f t="array" ref="O26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68" t="s">
        <v>974</v>
      </c>
      <c r="Q268" t="s">
        <v>2930</v>
      </c>
      <c r="R268" s="5">
        <v>4.9800000000000004</v>
      </c>
      <c r="S268" s="5">
        <v>2.35</v>
      </c>
    </row>
    <row r="269" spans="1:19" x14ac:dyDescent="0.25">
      <c r="A269" t="s">
        <v>976</v>
      </c>
      <c r="B269" t="s">
        <v>977</v>
      </c>
      <c r="C269" t="s">
        <v>978</v>
      </c>
      <c r="D269" t="s">
        <v>129</v>
      </c>
      <c r="E269" t="s">
        <v>65</v>
      </c>
      <c r="F269">
        <v>21</v>
      </c>
      <c r="G269" t="s">
        <v>979</v>
      </c>
      <c r="H269">
        <v>2</v>
      </c>
      <c r="I269">
        <v>22.87</v>
      </c>
      <c r="J269">
        <v>8.41</v>
      </c>
      <c r="K269" t="s">
        <v>19</v>
      </c>
      <c r="L269" s="3">
        <v>45342</v>
      </c>
      <c r="M269" t="s">
        <v>48</v>
      </c>
      <c r="N269" s="4">
        <v>21</v>
      </c>
      <c r="O269" t="str" cm="1">
        <f t="array" ref="O26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69" t="s">
        <v>979</v>
      </c>
      <c r="Q269" t="s">
        <v>2927</v>
      </c>
      <c r="R269" s="5">
        <v>22.87</v>
      </c>
      <c r="S269" s="5">
        <v>8.41</v>
      </c>
    </row>
    <row r="270" spans="1:19" x14ac:dyDescent="0.25">
      <c r="A270" t="s">
        <v>980</v>
      </c>
      <c r="B270" t="s">
        <v>981</v>
      </c>
      <c r="C270" s="1">
        <v>45602</v>
      </c>
      <c r="D270" t="s">
        <v>129</v>
      </c>
      <c r="E270" t="s">
        <v>25</v>
      </c>
      <c r="F270">
        <v>67</v>
      </c>
      <c r="G270" t="s">
        <v>982</v>
      </c>
      <c r="H270">
        <v>1</v>
      </c>
      <c r="I270">
        <v>26.24</v>
      </c>
      <c r="J270">
        <v>14.03</v>
      </c>
      <c r="K270" t="s">
        <v>19</v>
      </c>
      <c r="L270" s="3">
        <v>45602</v>
      </c>
      <c r="M270" t="s">
        <v>20</v>
      </c>
      <c r="N270" s="4">
        <v>67</v>
      </c>
      <c r="O270" t="str" cm="1">
        <f t="array" ref="O27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70" t="s">
        <v>982</v>
      </c>
      <c r="Q270" t="s">
        <v>2926</v>
      </c>
      <c r="R270" s="5">
        <v>26.24</v>
      </c>
      <c r="S270" s="5">
        <v>14.03</v>
      </c>
    </row>
    <row r="271" spans="1:19" x14ac:dyDescent="0.25">
      <c r="A271" t="s">
        <v>983</v>
      </c>
      <c r="B271" t="s">
        <v>956</v>
      </c>
      <c r="C271" t="s">
        <v>984</v>
      </c>
      <c r="D271" t="s">
        <v>129</v>
      </c>
      <c r="E271" t="s">
        <v>34</v>
      </c>
      <c r="F271">
        <v>34</v>
      </c>
      <c r="G271" t="s">
        <v>985</v>
      </c>
      <c r="H271">
        <v>1</v>
      </c>
      <c r="I271" t="s">
        <v>986</v>
      </c>
      <c r="J271" t="s">
        <v>987</v>
      </c>
      <c r="K271" t="s">
        <v>19</v>
      </c>
      <c r="L271" s="3">
        <v>45031</v>
      </c>
      <c r="M271" t="s">
        <v>34</v>
      </c>
      <c r="N271" s="4">
        <v>34</v>
      </c>
      <c r="O271" t="str" cm="1">
        <f t="array" ref="O27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71" t="s">
        <v>2857</v>
      </c>
      <c r="Q271" t="s">
        <v>2927</v>
      </c>
      <c r="R271" s="5">
        <v>5.53</v>
      </c>
      <c r="S271" s="5">
        <v>2.77</v>
      </c>
    </row>
    <row r="272" spans="1:19" x14ac:dyDescent="0.25">
      <c r="A272" t="s">
        <v>988</v>
      </c>
      <c r="B272" t="s">
        <v>989</v>
      </c>
      <c r="C272" s="3">
        <v>44985</v>
      </c>
      <c r="D272" t="s">
        <v>30</v>
      </c>
      <c r="E272" t="s">
        <v>25</v>
      </c>
      <c r="F272">
        <v>26</v>
      </c>
      <c r="G272" t="s">
        <v>990</v>
      </c>
      <c r="H272">
        <v>1</v>
      </c>
      <c r="I272">
        <v>17.14</v>
      </c>
      <c r="J272">
        <v>7.11</v>
      </c>
      <c r="K272" t="s">
        <v>19</v>
      </c>
      <c r="L272" s="3">
        <v>44985</v>
      </c>
      <c r="M272" t="s">
        <v>20</v>
      </c>
      <c r="N272" s="4">
        <v>26</v>
      </c>
      <c r="O272" t="str" cm="1">
        <f t="array" ref="O27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72" t="s">
        <v>990</v>
      </c>
      <c r="Q272" t="s">
        <v>2927</v>
      </c>
      <c r="R272" s="5">
        <v>17.14</v>
      </c>
      <c r="S272" s="5">
        <v>7.11</v>
      </c>
    </row>
    <row r="273" spans="1:19" x14ac:dyDescent="0.25">
      <c r="A273" t="s">
        <v>991</v>
      </c>
      <c r="B273" t="s">
        <v>877</v>
      </c>
      <c r="C273" s="3">
        <v>44952</v>
      </c>
      <c r="D273" t="s">
        <v>30</v>
      </c>
      <c r="E273" t="s">
        <v>34</v>
      </c>
      <c r="F273">
        <v>23</v>
      </c>
      <c r="G273" t="s">
        <v>992</v>
      </c>
      <c r="H273">
        <v>2</v>
      </c>
      <c r="I273">
        <v>25.72</v>
      </c>
      <c r="J273" t="s">
        <v>993</v>
      </c>
      <c r="K273" t="s">
        <v>19</v>
      </c>
      <c r="L273" s="3">
        <v>44952</v>
      </c>
      <c r="M273" t="s">
        <v>34</v>
      </c>
      <c r="N273" s="4">
        <v>23</v>
      </c>
      <c r="O273" t="str" cm="1">
        <f t="array" ref="O27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73" t="s">
        <v>992</v>
      </c>
      <c r="Q273" t="s">
        <v>2927</v>
      </c>
      <c r="R273" s="5">
        <v>25.72</v>
      </c>
      <c r="S273" s="5">
        <v>8.43</v>
      </c>
    </row>
    <row r="274" spans="1:19" x14ac:dyDescent="0.25">
      <c r="A274" t="s">
        <v>994</v>
      </c>
      <c r="B274" t="s">
        <v>237</v>
      </c>
      <c r="C274" t="s">
        <v>995</v>
      </c>
      <c r="D274" t="s">
        <v>30</v>
      </c>
      <c r="E274" t="s">
        <v>60</v>
      </c>
      <c r="F274">
        <v>28</v>
      </c>
      <c r="G274" t="s">
        <v>996</v>
      </c>
      <c r="H274">
        <v>4</v>
      </c>
      <c r="I274">
        <v>134.85</v>
      </c>
      <c r="J274" s="2">
        <v>52.43</v>
      </c>
      <c r="K274" t="s">
        <v>19</v>
      </c>
      <c r="L274" s="3">
        <v>45040</v>
      </c>
      <c r="M274" t="s">
        <v>48</v>
      </c>
      <c r="N274" s="4">
        <v>28</v>
      </c>
      <c r="O274" t="str" cm="1">
        <f t="array" ref="O27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74" t="s">
        <v>996</v>
      </c>
      <c r="Q274" t="s">
        <v>2932</v>
      </c>
      <c r="R274" s="5">
        <v>134.85</v>
      </c>
      <c r="S274" s="5">
        <v>52.43</v>
      </c>
    </row>
    <row r="275" spans="1:19" x14ac:dyDescent="0.25">
      <c r="A275" t="s">
        <v>476</v>
      </c>
      <c r="B275" t="s">
        <v>477</v>
      </c>
      <c r="C275" s="3">
        <v>45598</v>
      </c>
      <c r="D275" t="s">
        <v>129</v>
      </c>
      <c r="E275" t="s">
        <v>38</v>
      </c>
      <c r="F275">
        <v>37</v>
      </c>
      <c r="G275" t="s">
        <v>478</v>
      </c>
      <c r="H275">
        <v>1</v>
      </c>
      <c r="I275">
        <v>4.4800000000000004</v>
      </c>
      <c r="J275">
        <v>1.65</v>
      </c>
      <c r="K275" t="s">
        <v>41</v>
      </c>
      <c r="L275" s="3">
        <v>45598</v>
      </c>
      <c r="M275" t="s">
        <v>34</v>
      </c>
      <c r="N275" s="4">
        <v>37</v>
      </c>
      <c r="O275" t="str" cm="1">
        <f t="array" ref="O27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75" t="s">
        <v>478</v>
      </c>
      <c r="Q275" t="s">
        <v>2927</v>
      </c>
      <c r="R275" s="5">
        <v>4.4800000000000004</v>
      </c>
      <c r="S275" s="5">
        <v>1.65</v>
      </c>
    </row>
    <row r="276" spans="1:19" x14ac:dyDescent="0.25">
      <c r="A276" t="s">
        <v>997</v>
      </c>
      <c r="B276" t="s">
        <v>899</v>
      </c>
      <c r="C276" s="1">
        <v>45322</v>
      </c>
      <c r="D276" t="s">
        <v>51</v>
      </c>
      <c r="E276" t="s">
        <v>38</v>
      </c>
      <c r="F276">
        <v>62</v>
      </c>
      <c r="G276" t="s">
        <v>998</v>
      </c>
      <c r="H276">
        <v>1</v>
      </c>
      <c r="I276" s="2">
        <v>17.57</v>
      </c>
      <c r="J276">
        <v>8.64</v>
      </c>
      <c r="K276" t="s">
        <v>19</v>
      </c>
      <c r="L276" s="3">
        <v>45322</v>
      </c>
      <c r="M276" t="s">
        <v>34</v>
      </c>
      <c r="N276" s="4">
        <v>62</v>
      </c>
      <c r="O276" t="str" cm="1">
        <f t="array" ref="O27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76" t="s">
        <v>998</v>
      </c>
      <c r="Q276" t="s">
        <v>2926</v>
      </c>
      <c r="R276" s="5">
        <v>17.57</v>
      </c>
      <c r="S276" s="5">
        <v>8.64</v>
      </c>
    </row>
    <row r="277" spans="1:19" x14ac:dyDescent="0.25">
      <c r="A277" t="s">
        <v>999</v>
      </c>
      <c r="B277" t="s">
        <v>1000</v>
      </c>
      <c r="C277" t="s">
        <v>1001</v>
      </c>
      <c r="D277" t="s">
        <v>30</v>
      </c>
      <c r="E277" t="s">
        <v>65</v>
      </c>
      <c r="F277">
        <v>15</v>
      </c>
      <c r="G277" t="s">
        <v>1002</v>
      </c>
      <c r="H277">
        <v>2</v>
      </c>
      <c r="I277">
        <v>58.21</v>
      </c>
      <c r="J277" t="s">
        <v>1003</v>
      </c>
      <c r="K277" t="s">
        <v>41</v>
      </c>
      <c r="L277" s="3">
        <v>45220</v>
      </c>
      <c r="M277" t="s">
        <v>48</v>
      </c>
      <c r="N277" s="4">
        <v>15</v>
      </c>
      <c r="O277" t="str" cm="1">
        <f t="array" ref="O27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277" t="s">
        <v>1002</v>
      </c>
      <c r="Q277" t="s">
        <v>2926</v>
      </c>
      <c r="R277" s="5">
        <v>58.21</v>
      </c>
      <c r="S277" s="5">
        <v>24.89</v>
      </c>
    </row>
    <row r="278" spans="1:19" x14ac:dyDescent="0.25">
      <c r="A278" t="s">
        <v>1004</v>
      </c>
      <c r="B278" t="s">
        <v>73</v>
      </c>
      <c r="C278" t="s">
        <v>1005</v>
      </c>
      <c r="D278" t="s">
        <v>51</v>
      </c>
      <c r="E278" t="s">
        <v>65</v>
      </c>
      <c r="F278">
        <v>58</v>
      </c>
      <c r="G278" t="s">
        <v>1006</v>
      </c>
      <c r="H278">
        <v>2</v>
      </c>
      <c r="I278" s="2">
        <v>95.03</v>
      </c>
      <c r="J278" s="2">
        <v>32.799999999999997</v>
      </c>
      <c r="K278" t="s">
        <v>41</v>
      </c>
      <c r="L278" s="3">
        <v>45453</v>
      </c>
      <c r="M278" t="s">
        <v>48</v>
      </c>
      <c r="N278" s="4">
        <v>58</v>
      </c>
      <c r="O278" t="str" cm="1">
        <f t="array" ref="O27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78" t="s">
        <v>320</v>
      </c>
      <c r="Q278" t="s">
        <v>2926</v>
      </c>
      <c r="R278" s="5">
        <v>95.03</v>
      </c>
      <c r="S278" s="5">
        <v>32.799999999999997</v>
      </c>
    </row>
    <row r="279" spans="1:19" x14ac:dyDescent="0.25">
      <c r="A279" t="s">
        <v>1007</v>
      </c>
      <c r="B279" t="s">
        <v>521</v>
      </c>
      <c r="C279" s="1">
        <v>45044</v>
      </c>
      <c r="D279" t="s">
        <v>129</v>
      </c>
      <c r="E279" t="s">
        <v>38</v>
      </c>
      <c r="F279">
        <v>37</v>
      </c>
      <c r="G279" t="s">
        <v>1008</v>
      </c>
      <c r="H279">
        <v>1</v>
      </c>
      <c r="I279">
        <v>20.62</v>
      </c>
      <c r="J279" t="s">
        <v>1009</v>
      </c>
      <c r="K279" t="s">
        <v>19</v>
      </c>
      <c r="L279" s="3">
        <v>45044</v>
      </c>
      <c r="M279" t="s">
        <v>34</v>
      </c>
      <c r="N279" s="4">
        <v>37</v>
      </c>
      <c r="O279" t="str" cm="1">
        <f t="array" ref="O27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79" t="s">
        <v>1008</v>
      </c>
      <c r="Q279" t="s">
        <v>2929</v>
      </c>
      <c r="R279" s="5">
        <v>20.62</v>
      </c>
      <c r="S279" s="5">
        <v>7.39</v>
      </c>
    </row>
    <row r="280" spans="1:19" x14ac:dyDescent="0.25">
      <c r="A280" t="s">
        <v>1010</v>
      </c>
      <c r="B280" t="s">
        <v>1011</v>
      </c>
      <c r="C280" t="s">
        <v>1012</v>
      </c>
      <c r="D280" t="s">
        <v>30</v>
      </c>
      <c r="E280" t="s">
        <v>85</v>
      </c>
      <c r="F280">
        <v>62</v>
      </c>
      <c r="G280" t="s">
        <v>1013</v>
      </c>
      <c r="H280">
        <v>3</v>
      </c>
      <c r="I280">
        <v>74.48</v>
      </c>
      <c r="J280">
        <v>50.64</v>
      </c>
      <c r="K280" t="s">
        <v>41</v>
      </c>
      <c r="L280" s="3">
        <v>45143</v>
      </c>
      <c r="M280" t="s">
        <v>34</v>
      </c>
      <c r="N280" s="4">
        <v>62</v>
      </c>
      <c r="O280" t="str" cm="1">
        <f t="array" ref="O28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80" t="s">
        <v>1013</v>
      </c>
      <c r="Q280" t="s">
        <v>2929</v>
      </c>
      <c r="R280" s="5">
        <v>74.48</v>
      </c>
      <c r="S280" s="5">
        <v>50.64</v>
      </c>
    </row>
    <row r="281" spans="1:19" x14ac:dyDescent="0.25">
      <c r="A281" t="s">
        <v>1014</v>
      </c>
      <c r="B281" t="s">
        <v>266</v>
      </c>
      <c r="C281" t="s">
        <v>1015</v>
      </c>
      <c r="D281" t="s">
        <v>30</v>
      </c>
      <c r="F281">
        <v>56</v>
      </c>
      <c r="G281" t="s">
        <v>1016</v>
      </c>
      <c r="H281">
        <v>2</v>
      </c>
      <c r="I281" s="2">
        <v>63.83</v>
      </c>
      <c r="J281" s="2">
        <v>32</v>
      </c>
      <c r="K281" t="s">
        <v>41</v>
      </c>
      <c r="L281" s="3">
        <v>45191</v>
      </c>
      <c r="M281" t="s">
        <v>20</v>
      </c>
      <c r="N281" s="4">
        <v>56</v>
      </c>
      <c r="O281" t="str" cm="1">
        <f t="array" ref="O28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81" t="s">
        <v>1016</v>
      </c>
      <c r="Q281" t="s">
        <v>2926</v>
      </c>
      <c r="R281" s="5">
        <v>63.83</v>
      </c>
      <c r="S281" s="5">
        <v>32</v>
      </c>
    </row>
    <row r="282" spans="1:19" x14ac:dyDescent="0.25">
      <c r="A282" t="s">
        <v>1017</v>
      </c>
      <c r="B282" t="s">
        <v>282</v>
      </c>
      <c r="C282" t="s">
        <v>1018</v>
      </c>
      <c r="D282" t="s">
        <v>24</v>
      </c>
      <c r="E282" t="s">
        <v>60</v>
      </c>
      <c r="F282">
        <v>56</v>
      </c>
      <c r="G282" t="s">
        <v>1019</v>
      </c>
      <c r="H282">
        <v>-3</v>
      </c>
      <c r="I282">
        <v>-26.82</v>
      </c>
      <c r="J282" s="2">
        <v>-27.68</v>
      </c>
      <c r="K282" t="s">
        <v>19</v>
      </c>
      <c r="L282" s="3">
        <v>45322</v>
      </c>
      <c r="M282" t="s">
        <v>48</v>
      </c>
      <c r="N282" s="4">
        <v>56</v>
      </c>
      <c r="O282" t="str" cm="1">
        <f t="array" ref="O28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82" t="s">
        <v>1019</v>
      </c>
      <c r="Q282" t="s">
        <v>2926</v>
      </c>
      <c r="R282" s="5">
        <v>-26.82</v>
      </c>
      <c r="S282" s="5">
        <v>-27.68</v>
      </c>
    </row>
    <row r="283" spans="1:19" x14ac:dyDescent="0.25">
      <c r="A283" t="s">
        <v>1020</v>
      </c>
      <c r="B283" t="s">
        <v>237</v>
      </c>
      <c r="C283" t="s">
        <v>1021</v>
      </c>
      <c r="D283" t="s">
        <v>16</v>
      </c>
      <c r="E283" t="s">
        <v>60</v>
      </c>
      <c r="F283">
        <v>31</v>
      </c>
      <c r="G283" t="s">
        <v>1022</v>
      </c>
      <c r="H283">
        <v>1</v>
      </c>
      <c r="I283">
        <v>11.56</v>
      </c>
      <c r="J283" t="s">
        <v>1023</v>
      </c>
      <c r="K283" t="s">
        <v>41</v>
      </c>
      <c r="L283" s="3">
        <v>45536</v>
      </c>
      <c r="M283" t="s">
        <v>48</v>
      </c>
      <c r="N283" s="4">
        <v>31</v>
      </c>
      <c r="O283" t="str" cm="1">
        <f t="array" ref="O28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83" t="s">
        <v>1022</v>
      </c>
      <c r="Q283" t="s">
        <v>2929</v>
      </c>
      <c r="R283" s="5">
        <v>11.56</v>
      </c>
      <c r="S283" s="5">
        <v>4.4000000000000004</v>
      </c>
    </row>
    <row r="284" spans="1:19" x14ac:dyDescent="0.25">
      <c r="A284" t="s">
        <v>1024</v>
      </c>
      <c r="B284" t="s">
        <v>633</v>
      </c>
      <c r="C284" t="s">
        <v>1025</v>
      </c>
      <c r="D284" t="s">
        <v>30</v>
      </c>
      <c r="E284" t="s">
        <v>34</v>
      </c>
      <c r="F284">
        <v>19</v>
      </c>
      <c r="G284" t="s">
        <v>1026</v>
      </c>
      <c r="H284">
        <v>4</v>
      </c>
      <c r="I284">
        <v>98.59</v>
      </c>
      <c r="J284" s="2">
        <v>26.37</v>
      </c>
      <c r="K284" t="s">
        <v>41</v>
      </c>
      <c r="L284" s="3">
        <v>45592</v>
      </c>
      <c r="M284" t="s">
        <v>34</v>
      </c>
      <c r="N284" s="4">
        <v>19</v>
      </c>
      <c r="O284" t="str" cm="1">
        <f t="array" ref="O28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84" t="s">
        <v>1026</v>
      </c>
      <c r="Q284" t="s">
        <v>2926</v>
      </c>
      <c r="R284" s="5">
        <v>98.59</v>
      </c>
      <c r="S284" s="5">
        <v>26.37</v>
      </c>
    </row>
    <row r="285" spans="1:19" x14ac:dyDescent="0.25">
      <c r="A285" t="s">
        <v>1027</v>
      </c>
      <c r="B285" t="s">
        <v>411</v>
      </c>
      <c r="C285" s="1">
        <v>45269</v>
      </c>
      <c r="D285" t="s">
        <v>16</v>
      </c>
      <c r="E285" t="s">
        <v>60</v>
      </c>
      <c r="F285">
        <v>13</v>
      </c>
      <c r="G285" t="s">
        <v>1028</v>
      </c>
      <c r="H285">
        <v>5</v>
      </c>
      <c r="I285">
        <v>181.01</v>
      </c>
      <c r="J285">
        <v>94.41</v>
      </c>
      <c r="K285" t="s">
        <v>19</v>
      </c>
      <c r="L285" s="3">
        <v>45269</v>
      </c>
      <c r="M285" t="s">
        <v>48</v>
      </c>
      <c r="N285" s="4">
        <v>13</v>
      </c>
      <c r="O285" t="str" cm="1">
        <f t="array" ref="O28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285" t="s">
        <v>1028</v>
      </c>
      <c r="Q285" t="s">
        <v>2925</v>
      </c>
      <c r="R285" s="5">
        <v>181.01</v>
      </c>
      <c r="S285" s="5">
        <v>94.41</v>
      </c>
    </row>
    <row r="286" spans="1:19" x14ac:dyDescent="0.25">
      <c r="A286" t="s">
        <v>1029</v>
      </c>
      <c r="B286" t="s">
        <v>1030</v>
      </c>
      <c r="C286" s="1">
        <v>45535</v>
      </c>
      <c r="D286" t="s">
        <v>24</v>
      </c>
      <c r="E286" t="s">
        <v>65</v>
      </c>
      <c r="F286">
        <v>52</v>
      </c>
      <c r="G286" t="s">
        <v>1031</v>
      </c>
      <c r="H286">
        <v>1</v>
      </c>
      <c r="I286" t="s">
        <v>1032</v>
      </c>
      <c r="J286" s="2">
        <v>6.92</v>
      </c>
      <c r="K286" t="s">
        <v>19</v>
      </c>
      <c r="L286" s="3">
        <v>45535</v>
      </c>
      <c r="M286" t="s">
        <v>48</v>
      </c>
      <c r="N286" s="4">
        <v>52</v>
      </c>
      <c r="O286" t="str" cm="1">
        <f t="array" ref="O28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86" t="s">
        <v>1031</v>
      </c>
      <c r="Q286" t="s">
        <v>2931</v>
      </c>
      <c r="R286" s="5">
        <v>15.39</v>
      </c>
      <c r="S286" s="5">
        <v>6.92</v>
      </c>
    </row>
    <row r="287" spans="1:19" x14ac:dyDescent="0.25">
      <c r="A287" t="s">
        <v>1033</v>
      </c>
      <c r="B287" t="s">
        <v>383</v>
      </c>
      <c r="C287" s="1">
        <v>44969</v>
      </c>
      <c r="D287" t="s">
        <v>129</v>
      </c>
      <c r="E287" t="s">
        <v>34</v>
      </c>
      <c r="F287">
        <v>27</v>
      </c>
      <c r="G287" t="s">
        <v>528</v>
      </c>
      <c r="H287">
        <v>2</v>
      </c>
      <c r="I287" s="2">
        <v>23.09</v>
      </c>
      <c r="J287">
        <v>8.6199999999999992</v>
      </c>
      <c r="K287" t="s">
        <v>41</v>
      </c>
      <c r="L287" s="3">
        <v>44969</v>
      </c>
      <c r="M287" t="s">
        <v>34</v>
      </c>
      <c r="N287" s="4">
        <v>27</v>
      </c>
      <c r="O287" t="str" cm="1">
        <f t="array" ref="O28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87" t="s">
        <v>528</v>
      </c>
      <c r="Q287" t="s">
        <v>2926</v>
      </c>
      <c r="R287" s="5">
        <v>23.09</v>
      </c>
      <c r="S287" s="5">
        <v>8.6199999999999992</v>
      </c>
    </row>
    <row r="288" spans="1:19" x14ac:dyDescent="0.25">
      <c r="A288" t="s">
        <v>1034</v>
      </c>
      <c r="B288" t="s">
        <v>977</v>
      </c>
      <c r="C288" t="s">
        <v>1035</v>
      </c>
      <c r="D288" t="s">
        <v>129</v>
      </c>
      <c r="E288" t="s">
        <v>34</v>
      </c>
      <c r="F288">
        <v>26</v>
      </c>
      <c r="G288" t="s">
        <v>1036</v>
      </c>
      <c r="H288">
        <v>1</v>
      </c>
      <c r="I288">
        <v>11.7</v>
      </c>
      <c r="J288">
        <v>6.23</v>
      </c>
      <c r="K288" t="s">
        <v>41</v>
      </c>
      <c r="L288" s="3">
        <v>44991</v>
      </c>
      <c r="M288" t="s">
        <v>34</v>
      </c>
      <c r="N288" s="4">
        <v>26</v>
      </c>
      <c r="O288" t="str" cm="1">
        <f t="array" ref="O28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88" t="s">
        <v>1036</v>
      </c>
      <c r="Q288" t="s">
        <v>2926</v>
      </c>
      <c r="R288" s="5">
        <v>11.7</v>
      </c>
      <c r="S288" s="5">
        <v>6.23</v>
      </c>
    </row>
    <row r="289" spans="1:19" x14ac:dyDescent="0.25">
      <c r="A289" t="s">
        <v>1037</v>
      </c>
      <c r="B289" t="s">
        <v>207</v>
      </c>
      <c r="C289" t="s">
        <v>1018</v>
      </c>
      <c r="D289" t="s">
        <v>129</v>
      </c>
      <c r="E289" t="s">
        <v>34</v>
      </c>
      <c r="F289" t="s">
        <v>173</v>
      </c>
      <c r="G289" t="s">
        <v>1038</v>
      </c>
      <c r="H289">
        <v>1</v>
      </c>
      <c r="I289">
        <v>7.97</v>
      </c>
      <c r="J289">
        <v>2.2000000000000002</v>
      </c>
      <c r="K289" t="s">
        <v>41</v>
      </c>
      <c r="L289" s="3">
        <v>45322</v>
      </c>
      <c r="M289" t="s">
        <v>34</v>
      </c>
      <c r="N289" s="4">
        <v>30</v>
      </c>
      <c r="O289" t="str" cm="1">
        <f t="array" ref="O28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89" t="s">
        <v>1038</v>
      </c>
      <c r="Q289" t="s">
        <v>2939</v>
      </c>
      <c r="R289" s="5">
        <v>7.97</v>
      </c>
      <c r="S289" s="5">
        <v>2.2000000000000002</v>
      </c>
    </row>
    <row r="290" spans="1:19" x14ac:dyDescent="0.25">
      <c r="A290" t="s">
        <v>1039</v>
      </c>
      <c r="B290" t="s">
        <v>422</v>
      </c>
      <c r="C290" s="1">
        <v>45150</v>
      </c>
      <c r="D290" t="s">
        <v>51</v>
      </c>
      <c r="E290" t="s">
        <v>31</v>
      </c>
      <c r="F290">
        <v>31</v>
      </c>
      <c r="G290" t="s">
        <v>1040</v>
      </c>
      <c r="H290">
        <v>1</v>
      </c>
      <c r="I290" t="s">
        <v>1041</v>
      </c>
      <c r="J290">
        <v>2.88</v>
      </c>
      <c r="K290" t="s">
        <v>19</v>
      </c>
      <c r="L290" s="3">
        <v>45150</v>
      </c>
      <c r="M290" t="s">
        <v>34</v>
      </c>
      <c r="N290" s="4">
        <v>31</v>
      </c>
      <c r="O290" t="str" cm="1">
        <f t="array" ref="O29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90" t="s">
        <v>1040</v>
      </c>
      <c r="Q290" t="s">
        <v>2929</v>
      </c>
      <c r="R290" s="5">
        <v>8.6300000000000008</v>
      </c>
      <c r="S290" s="5">
        <v>2.88</v>
      </c>
    </row>
    <row r="291" spans="1:19" x14ac:dyDescent="0.25">
      <c r="A291" t="s">
        <v>656</v>
      </c>
      <c r="B291" t="s">
        <v>657</v>
      </c>
      <c r="C291" s="1">
        <v>45215</v>
      </c>
      <c r="D291" t="s">
        <v>16</v>
      </c>
      <c r="E291" t="s">
        <v>45</v>
      </c>
      <c r="F291">
        <v>66</v>
      </c>
      <c r="G291" t="s">
        <v>658</v>
      </c>
      <c r="H291">
        <v>2</v>
      </c>
      <c r="I291">
        <v>10.86</v>
      </c>
      <c r="J291" s="2">
        <v>4.8099999999999996</v>
      </c>
      <c r="K291" t="s">
        <v>41</v>
      </c>
      <c r="L291" s="3">
        <v>45215</v>
      </c>
      <c r="M291" t="s">
        <v>48</v>
      </c>
      <c r="N291" s="4">
        <v>66</v>
      </c>
      <c r="O291" t="str" cm="1">
        <f t="array" ref="O29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291" t="s">
        <v>658</v>
      </c>
      <c r="Q291" t="s">
        <v>2927</v>
      </c>
      <c r="R291" s="5">
        <v>10.86</v>
      </c>
      <c r="S291" s="5">
        <v>4.8099999999999996</v>
      </c>
    </row>
    <row r="292" spans="1:19" x14ac:dyDescent="0.25">
      <c r="A292" t="s">
        <v>1042</v>
      </c>
      <c r="B292" t="s">
        <v>539</v>
      </c>
      <c r="C292" t="s">
        <v>1043</v>
      </c>
      <c r="D292" t="s">
        <v>51</v>
      </c>
      <c r="E292" t="s">
        <v>34</v>
      </c>
      <c r="F292">
        <v>18</v>
      </c>
      <c r="G292" t="s">
        <v>1044</v>
      </c>
      <c r="H292">
        <v>1</v>
      </c>
      <c r="I292" t="s">
        <v>1045</v>
      </c>
      <c r="J292" t="s">
        <v>1046</v>
      </c>
      <c r="K292" t="s">
        <v>19</v>
      </c>
      <c r="L292" s="3">
        <v>45122</v>
      </c>
      <c r="M292" t="s">
        <v>34</v>
      </c>
      <c r="N292" s="4">
        <v>18</v>
      </c>
      <c r="O292" t="str" cm="1">
        <f t="array" ref="O29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92" t="s">
        <v>1044</v>
      </c>
      <c r="Q292" t="s">
        <v>2929</v>
      </c>
      <c r="R292" s="5">
        <v>49.42</v>
      </c>
      <c r="S292" s="5">
        <v>16.34</v>
      </c>
    </row>
    <row r="293" spans="1:19" x14ac:dyDescent="0.25">
      <c r="A293" t="s">
        <v>1047</v>
      </c>
      <c r="B293" t="s">
        <v>819</v>
      </c>
      <c r="C293" s="1">
        <v>45076</v>
      </c>
      <c r="D293" t="s">
        <v>129</v>
      </c>
      <c r="E293" t="s">
        <v>85</v>
      </c>
      <c r="F293">
        <v>16</v>
      </c>
      <c r="G293" t="s">
        <v>1048</v>
      </c>
      <c r="H293">
        <v>1</v>
      </c>
      <c r="I293">
        <v>4.22</v>
      </c>
      <c r="J293">
        <v>2.39</v>
      </c>
      <c r="K293" t="s">
        <v>41</v>
      </c>
      <c r="L293" s="3">
        <v>45076</v>
      </c>
      <c r="M293" t="s">
        <v>34</v>
      </c>
      <c r="N293" s="4">
        <v>16</v>
      </c>
      <c r="O293" t="str" cm="1">
        <f t="array" ref="O29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293" t="s">
        <v>1048</v>
      </c>
      <c r="Q293" t="s">
        <v>2926</v>
      </c>
      <c r="R293" s="5">
        <v>4.22</v>
      </c>
      <c r="S293" s="5">
        <v>2.39</v>
      </c>
    </row>
    <row r="294" spans="1:19" x14ac:dyDescent="0.25">
      <c r="A294" t="s">
        <v>1049</v>
      </c>
      <c r="B294" t="s">
        <v>1050</v>
      </c>
      <c r="C294" s="1">
        <v>45463</v>
      </c>
      <c r="D294" t="s">
        <v>51</v>
      </c>
      <c r="E294" t="s">
        <v>25</v>
      </c>
      <c r="F294">
        <v>20</v>
      </c>
      <c r="G294" t="s">
        <v>1051</v>
      </c>
      <c r="H294">
        <v>1</v>
      </c>
      <c r="I294">
        <v>18.989999999999998</v>
      </c>
      <c r="J294" s="2">
        <v>7.99</v>
      </c>
      <c r="K294" t="s">
        <v>41</v>
      </c>
      <c r="L294" s="3">
        <v>45463</v>
      </c>
      <c r="M294" t="s">
        <v>20</v>
      </c>
      <c r="N294" s="4">
        <v>20</v>
      </c>
      <c r="O294" t="str" cm="1">
        <f t="array" ref="O29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94" t="s">
        <v>178</v>
      </c>
      <c r="Q294" t="s">
        <v>2926</v>
      </c>
      <c r="R294" s="5">
        <v>18.989999999999998</v>
      </c>
      <c r="S294" s="5">
        <v>7.99</v>
      </c>
    </row>
    <row r="295" spans="1:19" x14ac:dyDescent="0.25">
      <c r="A295" t="s">
        <v>1052</v>
      </c>
      <c r="B295" t="s">
        <v>783</v>
      </c>
      <c r="C295" s="1">
        <v>45390</v>
      </c>
      <c r="D295" t="s">
        <v>30</v>
      </c>
      <c r="E295" t="s">
        <v>45</v>
      </c>
      <c r="F295">
        <v>32</v>
      </c>
      <c r="G295" t="s">
        <v>1053</v>
      </c>
      <c r="H295">
        <v>-2</v>
      </c>
      <c r="I295" t="s">
        <v>1054</v>
      </c>
      <c r="J295" s="2">
        <v>-20.48</v>
      </c>
      <c r="K295" t="s">
        <v>41</v>
      </c>
      <c r="L295" s="3">
        <v>45390</v>
      </c>
      <c r="M295" t="s">
        <v>48</v>
      </c>
      <c r="N295" s="4">
        <v>32</v>
      </c>
      <c r="O295" t="str" cm="1">
        <f t="array" ref="O29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295" t="s">
        <v>1053</v>
      </c>
      <c r="Q295" t="s">
        <v>2925</v>
      </c>
      <c r="R295" s="5">
        <v>-11.63</v>
      </c>
      <c r="S295" s="5">
        <v>-20.48</v>
      </c>
    </row>
    <row r="296" spans="1:19" x14ac:dyDescent="0.25">
      <c r="A296" t="s">
        <v>1055</v>
      </c>
      <c r="B296" t="s">
        <v>717</v>
      </c>
      <c r="C296" t="s">
        <v>1056</v>
      </c>
      <c r="D296" t="s">
        <v>30</v>
      </c>
      <c r="E296" t="s">
        <v>60</v>
      </c>
      <c r="F296">
        <v>20</v>
      </c>
      <c r="G296" t="s">
        <v>1057</v>
      </c>
      <c r="H296">
        <v>4</v>
      </c>
      <c r="I296" s="2">
        <v>26.37</v>
      </c>
      <c r="J296" t="s">
        <v>25</v>
      </c>
      <c r="K296" t="s">
        <v>19</v>
      </c>
      <c r="L296" s="3">
        <v>45011</v>
      </c>
      <c r="M296" t="s">
        <v>48</v>
      </c>
      <c r="N296" s="4">
        <v>20</v>
      </c>
      <c r="O296" t="str" cm="1">
        <f t="array" ref="O29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96" t="s">
        <v>1057</v>
      </c>
      <c r="Q296" t="s">
        <v>2927</v>
      </c>
      <c r="R296" s="5">
        <v>26.37</v>
      </c>
      <c r="S296" s="5"/>
    </row>
    <row r="297" spans="1:19" x14ac:dyDescent="0.25">
      <c r="A297" t="s">
        <v>1058</v>
      </c>
      <c r="B297" t="s">
        <v>1059</v>
      </c>
      <c r="C297" s="1">
        <v>45093</v>
      </c>
      <c r="D297" t="s">
        <v>30</v>
      </c>
      <c r="E297" t="s">
        <v>65</v>
      </c>
      <c r="F297">
        <v>36</v>
      </c>
      <c r="G297" t="s">
        <v>1060</v>
      </c>
      <c r="H297">
        <v>1</v>
      </c>
      <c r="I297">
        <v>41.88</v>
      </c>
      <c r="J297">
        <v>17.52</v>
      </c>
      <c r="K297" t="s">
        <v>41</v>
      </c>
      <c r="L297" s="3">
        <v>45093</v>
      </c>
      <c r="M297" t="s">
        <v>48</v>
      </c>
      <c r="N297" s="4">
        <v>36</v>
      </c>
      <c r="O297" t="str" cm="1">
        <f t="array" ref="O29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97" t="s">
        <v>1060</v>
      </c>
      <c r="Q297" t="s">
        <v>2927</v>
      </c>
      <c r="R297" s="5">
        <v>41.88</v>
      </c>
      <c r="S297" s="5">
        <v>17.52</v>
      </c>
    </row>
    <row r="298" spans="1:19" x14ac:dyDescent="0.25">
      <c r="A298" t="s">
        <v>1061</v>
      </c>
      <c r="B298" t="s">
        <v>1062</v>
      </c>
      <c r="C298" s="1">
        <v>44983</v>
      </c>
      <c r="D298" t="s">
        <v>129</v>
      </c>
      <c r="F298" t="s">
        <v>1063</v>
      </c>
      <c r="G298" t="s">
        <v>1064</v>
      </c>
      <c r="H298">
        <v>1</v>
      </c>
      <c r="I298" s="2">
        <v>18.55</v>
      </c>
      <c r="J298">
        <v>8.19</v>
      </c>
      <c r="K298" t="s">
        <v>41</v>
      </c>
      <c r="L298" s="3">
        <v>44983</v>
      </c>
      <c r="M298" t="s">
        <v>20</v>
      </c>
      <c r="N298" s="4">
        <v>18</v>
      </c>
      <c r="O298" t="str" cm="1">
        <f t="array" ref="O29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298" t="s">
        <v>1064</v>
      </c>
      <c r="Q298" t="s">
        <v>2927</v>
      </c>
      <c r="R298" s="5">
        <v>18.55</v>
      </c>
      <c r="S298" s="5">
        <v>8.19</v>
      </c>
    </row>
    <row r="299" spans="1:19" x14ac:dyDescent="0.25">
      <c r="A299" t="s">
        <v>1065</v>
      </c>
      <c r="B299" t="s">
        <v>1066</v>
      </c>
      <c r="C299" s="3">
        <v>45015</v>
      </c>
      <c r="D299" t="s">
        <v>51</v>
      </c>
      <c r="E299" t="s">
        <v>60</v>
      </c>
      <c r="F299">
        <v>38</v>
      </c>
      <c r="G299" t="s">
        <v>1067</v>
      </c>
      <c r="H299">
        <v>3</v>
      </c>
      <c r="I299" s="2">
        <v>108.94</v>
      </c>
      <c r="J299">
        <v>52.32</v>
      </c>
      <c r="K299" t="s">
        <v>19</v>
      </c>
      <c r="L299" s="3">
        <v>45015</v>
      </c>
      <c r="M299" t="s">
        <v>48</v>
      </c>
      <c r="N299" s="4">
        <v>38</v>
      </c>
      <c r="O299" t="str" cm="1">
        <f t="array" ref="O29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299" t="s">
        <v>969</v>
      </c>
      <c r="Q299" t="s">
        <v>2926</v>
      </c>
      <c r="R299" s="5">
        <v>108.94</v>
      </c>
      <c r="S299" s="5">
        <v>52.32</v>
      </c>
    </row>
    <row r="300" spans="1:19" x14ac:dyDescent="0.25">
      <c r="A300" t="s">
        <v>1068</v>
      </c>
      <c r="B300" t="s">
        <v>816</v>
      </c>
      <c r="C300" s="3">
        <v>45311</v>
      </c>
      <c r="D300" t="s">
        <v>24</v>
      </c>
      <c r="E300" t="s">
        <v>48</v>
      </c>
      <c r="F300">
        <v>61</v>
      </c>
      <c r="G300" t="s">
        <v>1069</v>
      </c>
      <c r="H300">
        <v>1</v>
      </c>
      <c r="I300">
        <v>33.97</v>
      </c>
      <c r="J300" s="2">
        <v>15.44</v>
      </c>
      <c r="K300" t="s">
        <v>19</v>
      </c>
      <c r="L300" s="3">
        <v>45311</v>
      </c>
      <c r="M300" t="s">
        <v>48</v>
      </c>
      <c r="N300" s="4">
        <v>61</v>
      </c>
      <c r="O300" t="str" cm="1">
        <f t="array" ref="O30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00" t="s">
        <v>1069</v>
      </c>
      <c r="Q300" t="s">
        <v>2926</v>
      </c>
      <c r="R300" s="5">
        <v>33.97</v>
      </c>
      <c r="S300" s="5">
        <v>15.44</v>
      </c>
    </row>
    <row r="301" spans="1:19" x14ac:dyDescent="0.25">
      <c r="A301" t="s">
        <v>1070</v>
      </c>
      <c r="B301" t="s">
        <v>896</v>
      </c>
      <c r="C301" s="3">
        <v>45528</v>
      </c>
      <c r="D301" t="s">
        <v>51</v>
      </c>
      <c r="E301" t="s">
        <v>25</v>
      </c>
      <c r="F301">
        <v>71</v>
      </c>
      <c r="G301" t="s">
        <v>1071</v>
      </c>
      <c r="H301">
        <v>1</v>
      </c>
      <c r="I301" t="s">
        <v>1072</v>
      </c>
      <c r="J301" s="2">
        <v>13.83</v>
      </c>
      <c r="K301" t="s">
        <v>19</v>
      </c>
      <c r="L301" s="3">
        <v>45528</v>
      </c>
      <c r="M301" t="s">
        <v>20</v>
      </c>
      <c r="N301" s="4">
        <v>71</v>
      </c>
      <c r="O301" t="str" cm="1">
        <f t="array" ref="O30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01" t="s">
        <v>1071</v>
      </c>
      <c r="Q301" t="s">
        <v>2932</v>
      </c>
      <c r="R301" s="5">
        <v>24.92</v>
      </c>
      <c r="S301" s="5">
        <v>13.83</v>
      </c>
    </row>
    <row r="302" spans="1:19" x14ac:dyDescent="0.25">
      <c r="A302" t="s">
        <v>1073</v>
      </c>
      <c r="B302" t="s">
        <v>1074</v>
      </c>
      <c r="C302" s="1">
        <v>45352</v>
      </c>
      <c r="D302" t="s">
        <v>30</v>
      </c>
      <c r="E302" t="s">
        <v>48</v>
      </c>
      <c r="F302">
        <v>13</v>
      </c>
      <c r="G302" t="s">
        <v>1075</v>
      </c>
      <c r="H302">
        <v>1</v>
      </c>
      <c r="I302">
        <v>35.24</v>
      </c>
      <c r="J302">
        <v>16.55</v>
      </c>
      <c r="K302" t="s">
        <v>41</v>
      </c>
      <c r="L302" s="3">
        <v>45352</v>
      </c>
      <c r="M302" t="s">
        <v>48</v>
      </c>
      <c r="N302" s="4">
        <v>13</v>
      </c>
      <c r="O302" t="str" cm="1">
        <f t="array" ref="O30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02" t="s">
        <v>2027</v>
      </c>
      <c r="Q302" t="s">
        <v>2926</v>
      </c>
      <c r="R302" s="5">
        <v>35.24</v>
      </c>
      <c r="S302" s="5">
        <v>16.55</v>
      </c>
    </row>
    <row r="303" spans="1:19" x14ac:dyDescent="0.25">
      <c r="A303" t="s">
        <v>1076</v>
      </c>
      <c r="B303" t="s">
        <v>50</v>
      </c>
      <c r="C303" s="3">
        <v>45271</v>
      </c>
      <c r="D303" t="s">
        <v>51</v>
      </c>
      <c r="E303" t="s">
        <v>31</v>
      </c>
      <c r="F303">
        <v>59</v>
      </c>
      <c r="G303" t="s">
        <v>1077</v>
      </c>
      <c r="H303">
        <v>3</v>
      </c>
      <c r="I303" t="s">
        <v>1078</v>
      </c>
      <c r="J303">
        <v>34.89</v>
      </c>
      <c r="K303" t="s">
        <v>41</v>
      </c>
      <c r="L303" s="3">
        <v>45271</v>
      </c>
      <c r="M303" t="s">
        <v>34</v>
      </c>
      <c r="N303" s="4">
        <v>59</v>
      </c>
      <c r="O303" t="str" cm="1">
        <f t="array" ref="O30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03" t="s">
        <v>1077</v>
      </c>
      <c r="Q303" t="s">
        <v>2930</v>
      </c>
      <c r="R303" s="5">
        <v>79.099999999999994</v>
      </c>
      <c r="S303" s="5">
        <v>34.89</v>
      </c>
    </row>
    <row r="304" spans="1:19" x14ac:dyDescent="0.25">
      <c r="A304" t="s">
        <v>1079</v>
      </c>
      <c r="B304" t="s">
        <v>1080</v>
      </c>
      <c r="C304" s="1">
        <v>45332</v>
      </c>
      <c r="D304" t="s">
        <v>16</v>
      </c>
      <c r="E304" t="s">
        <v>31</v>
      </c>
      <c r="F304">
        <v>24</v>
      </c>
      <c r="G304" t="s">
        <v>1081</v>
      </c>
      <c r="H304">
        <v>4</v>
      </c>
      <c r="I304">
        <v>81.92</v>
      </c>
      <c r="J304">
        <v>33.159999999999997</v>
      </c>
      <c r="K304" t="s">
        <v>41</v>
      </c>
      <c r="L304" s="3">
        <v>45332</v>
      </c>
      <c r="M304" t="s">
        <v>34</v>
      </c>
      <c r="N304" s="4">
        <v>24</v>
      </c>
      <c r="O304" t="str" cm="1">
        <f t="array" ref="O30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304" t="s">
        <v>1081</v>
      </c>
      <c r="Q304" t="s">
        <v>2939</v>
      </c>
      <c r="R304" s="5">
        <v>81.92</v>
      </c>
      <c r="S304" s="5">
        <v>33.159999999999997</v>
      </c>
    </row>
    <row r="305" spans="1:19" x14ac:dyDescent="0.25">
      <c r="A305" t="s">
        <v>1082</v>
      </c>
      <c r="B305" t="s">
        <v>487</v>
      </c>
      <c r="C305" s="3">
        <v>45314</v>
      </c>
      <c r="D305" t="s">
        <v>129</v>
      </c>
      <c r="E305" t="s">
        <v>60</v>
      </c>
      <c r="F305">
        <v>23</v>
      </c>
      <c r="G305" t="s">
        <v>1083</v>
      </c>
      <c r="H305">
        <v>2</v>
      </c>
      <c r="I305" s="2">
        <v>41.51</v>
      </c>
      <c r="J305">
        <v>19.32</v>
      </c>
      <c r="K305" t="s">
        <v>19</v>
      </c>
      <c r="L305" s="3">
        <v>45314</v>
      </c>
      <c r="M305" t="s">
        <v>48</v>
      </c>
      <c r="N305" s="4">
        <v>23</v>
      </c>
      <c r="O305" t="str" cm="1">
        <f t="array" ref="O30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305" t="s">
        <v>1083</v>
      </c>
      <c r="Q305" t="s">
        <v>2927</v>
      </c>
      <c r="R305" s="5">
        <v>41.51</v>
      </c>
      <c r="S305" s="5">
        <v>19.32</v>
      </c>
    </row>
    <row r="306" spans="1:19" x14ac:dyDescent="0.25">
      <c r="A306" t="s">
        <v>1084</v>
      </c>
      <c r="B306" t="s">
        <v>335</v>
      </c>
      <c r="C306" s="3">
        <v>45178</v>
      </c>
      <c r="D306" t="s">
        <v>24</v>
      </c>
      <c r="E306" t="s">
        <v>38</v>
      </c>
      <c r="F306">
        <v>15</v>
      </c>
      <c r="G306" t="s">
        <v>872</v>
      </c>
      <c r="H306">
        <v>4</v>
      </c>
      <c r="I306" t="s">
        <v>1085</v>
      </c>
      <c r="J306">
        <v>45.53</v>
      </c>
      <c r="K306" t="s">
        <v>19</v>
      </c>
      <c r="L306" s="3">
        <v>45178</v>
      </c>
      <c r="M306" t="s">
        <v>34</v>
      </c>
      <c r="N306" s="4">
        <v>15</v>
      </c>
      <c r="O306" t="str" cm="1">
        <f t="array" ref="O30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06" t="s">
        <v>872</v>
      </c>
      <c r="Q306" t="s">
        <v>2927</v>
      </c>
      <c r="R306" s="5">
        <v>96.38</v>
      </c>
      <c r="S306" s="5">
        <v>45.53</v>
      </c>
    </row>
    <row r="307" spans="1:19" x14ac:dyDescent="0.25">
      <c r="A307" t="s">
        <v>1086</v>
      </c>
      <c r="B307" t="s">
        <v>102</v>
      </c>
      <c r="C307" t="s">
        <v>1087</v>
      </c>
      <c r="D307" t="s">
        <v>51</v>
      </c>
      <c r="E307" t="s">
        <v>85</v>
      </c>
      <c r="F307">
        <v>15</v>
      </c>
      <c r="G307" t="s">
        <v>1088</v>
      </c>
      <c r="H307">
        <v>1</v>
      </c>
      <c r="I307" t="s">
        <v>1089</v>
      </c>
      <c r="J307" s="2">
        <v>13.76</v>
      </c>
      <c r="K307" t="s">
        <v>41</v>
      </c>
      <c r="L307" s="3">
        <v>45331</v>
      </c>
      <c r="M307" t="s">
        <v>34</v>
      </c>
      <c r="N307" s="4">
        <v>15</v>
      </c>
      <c r="O307" t="str" cm="1">
        <f t="array" ref="O30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07" t="s">
        <v>1088</v>
      </c>
      <c r="Q307" t="s">
        <v>2926</v>
      </c>
      <c r="R307" s="5">
        <v>35.24</v>
      </c>
      <c r="S307" s="5">
        <v>13.76</v>
      </c>
    </row>
    <row r="308" spans="1:19" x14ac:dyDescent="0.25">
      <c r="A308" t="s">
        <v>1090</v>
      </c>
      <c r="B308" t="s">
        <v>1091</v>
      </c>
      <c r="C308" t="s">
        <v>1092</v>
      </c>
      <c r="D308" t="s">
        <v>129</v>
      </c>
      <c r="E308" t="s">
        <v>60</v>
      </c>
      <c r="F308">
        <v>36</v>
      </c>
      <c r="G308" t="s">
        <v>1093</v>
      </c>
      <c r="H308">
        <v>1</v>
      </c>
      <c r="I308" s="2">
        <v>7.46</v>
      </c>
      <c r="J308">
        <v>4.12</v>
      </c>
      <c r="K308" t="s">
        <v>19</v>
      </c>
      <c r="L308" s="3">
        <v>45574</v>
      </c>
      <c r="M308" t="s">
        <v>48</v>
      </c>
      <c r="N308" s="4">
        <v>36</v>
      </c>
      <c r="O308" t="str" cm="1">
        <f t="array" ref="O30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08" t="s">
        <v>1093</v>
      </c>
      <c r="Q308" t="s">
        <v>2927</v>
      </c>
      <c r="R308" s="5">
        <v>7.46</v>
      </c>
      <c r="S308" s="5">
        <v>4.12</v>
      </c>
    </row>
    <row r="309" spans="1:19" x14ac:dyDescent="0.25">
      <c r="A309" t="s">
        <v>1094</v>
      </c>
      <c r="B309" t="s">
        <v>1095</v>
      </c>
      <c r="C309" t="s">
        <v>1096</v>
      </c>
      <c r="D309" t="s">
        <v>24</v>
      </c>
      <c r="E309" t="s">
        <v>38</v>
      </c>
      <c r="F309">
        <v>13</v>
      </c>
      <c r="G309" t="s">
        <v>1097</v>
      </c>
      <c r="H309">
        <v>1</v>
      </c>
      <c r="I309">
        <v>21.84</v>
      </c>
      <c r="J309" t="s">
        <v>1098</v>
      </c>
      <c r="K309" t="s">
        <v>41</v>
      </c>
      <c r="L309" s="3">
        <v>45606</v>
      </c>
      <c r="M309" t="s">
        <v>34</v>
      </c>
      <c r="N309" s="4">
        <v>13</v>
      </c>
      <c r="O309" t="str" cm="1">
        <f t="array" ref="O30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09" t="s">
        <v>1097</v>
      </c>
      <c r="Q309" t="s">
        <v>2927</v>
      </c>
      <c r="R309" s="5">
        <v>21.84</v>
      </c>
      <c r="S309" s="5">
        <v>8.5299999999999994</v>
      </c>
    </row>
    <row r="310" spans="1:19" x14ac:dyDescent="0.25">
      <c r="A310" t="s">
        <v>1099</v>
      </c>
      <c r="B310" t="s">
        <v>441</v>
      </c>
      <c r="C310" s="1">
        <v>45321</v>
      </c>
      <c r="D310" t="s">
        <v>16</v>
      </c>
      <c r="E310" t="s">
        <v>25</v>
      </c>
      <c r="F310">
        <v>53</v>
      </c>
      <c r="G310" t="s">
        <v>1100</v>
      </c>
      <c r="H310">
        <v>1</v>
      </c>
      <c r="I310" s="2">
        <v>16.25</v>
      </c>
      <c r="J310" t="s">
        <v>1101</v>
      </c>
      <c r="K310" t="s">
        <v>41</v>
      </c>
      <c r="L310" s="3">
        <v>45321</v>
      </c>
      <c r="M310" t="s">
        <v>20</v>
      </c>
      <c r="N310" s="4">
        <v>53</v>
      </c>
      <c r="O310" t="str" cm="1">
        <f t="array" ref="O31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10" t="s">
        <v>1100</v>
      </c>
      <c r="Q310" t="s">
        <v>2926</v>
      </c>
      <c r="R310" s="5">
        <v>16.25</v>
      </c>
      <c r="S310" s="5">
        <v>5.7</v>
      </c>
    </row>
    <row r="311" spans="1:19" x14ac:dyDescent="0.25">
      <c r="A311" t="s">
        <v>1102</v>
      </c>
      <c r="B311" t="s">
        <v>1103</v>
      </c>
      <c r="C311" s="1">
        <v>44947</v>
      </c>
      <c r="D311" t="s">
        <v>129</v>
      </c>
      <c r="E311" t="s">
        <v>48</v>
      </c>
      <c r="F311" t="s">
        <v>173</v>
      </c>
      <c r="G311" t="s">
        <v>1104</v>
      </c>
      <c r="H311">
        <v>-2</v>
      </c>
      <c r="I311" t="s">
        <v>1105</v>
      </c>
      <c r="J311">
        <v>-5.73</v>
      </c>
      <c r="K311" t="s">
        <v>19</v>
      </c>
      <c r="L311" s="3">
        <v>44947</v>
      </c>
      <c r="M311" t="s">
        <v>48</v>
      </c>
      <c r="N311" s="4">
        <v>30</v>
      </c>
      <c r="O311" t="str" cm="1">
        <f t="array" ref="O31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11" t="s">
        <v>1104</v>
      </c>
      <c r="Q311" t="s">
        <v>2939</v>
      </c>
      <c r="R311" s="5">
        <v>-27.43</v>
      </c>
      <c r="S311" s="5">
        <v>-5.73</v>
      </c>
    </row>
    <row r="312" spans="1:19" x14ac:dyDescent="0.25">
      <c r="A312" t="s">
        <v>1106</v>
      </c>
      <c r="B312" t="s">
        <v>387</v>
      </c>
      <c r="C312" t="s">
        <v>1107</v>
      </c>
      <c r="D312" t="s">
        <v>24</v>
      </c>
      <c r="E312" t="s">
        <v>60</v>
      </c>
      <c r="F312">
        <v>45</v>
      </c>
      <c r="G312" t="s">
        <v>1108</v>
      </c>
      <c r="H312">
        <v>1</v>
      </c>
      <c r="I312">
        <v>15.63</v>
      </c>
      <c r="J312" s="2">
        <v>7.12</v>
      </c>
      <c r="K312" t="s">
        <v>19</v>
      </c>
      <c r="L312" s="3">
        <v>45039</v>
      </c>
      <c r="M312" t="s">
        <v>48</v>
      </c>
      <c r="N312" s="4">
        <v>45</v>
      </c>
      <c r="O312" t="str" cm="1">
        <f t="array" ref="O31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12" t="s">
        <v>1108</v>
      </c>
      <c r="Q312" t="s">
        <v>2926</v>
      </c>
      <c r="R312" s="5">
        <v>15.63</v>
      </c>
      <c r="S312" s="5">
        <v>7.12</v>
      </c>
    </row>
    <row r="313" spans="1:19" x14ac:dyDescent="0.25">
      <c r="A313" t="s">
        <v>1109</v>
      </c>
      <c r="B313" t="s">
        <v>1110</v>
      </c>
      <c r="C313" s="1">
        <v>45144</v>
      </c>
      <c r="D313" t="s">
        <v>16</v>
      </c>
      <c r="E313" t="s">
        <v>48</v>
      </c>
      <c r="F313">
        <v>36</v>
      </c>
      <c r="G313" t="s">
        <v>1111</v>
      </c>
      <c r="H313">
        <v>3</v>
      </c>
      <c r="I313">
        <v>33.51</v>
      </c>
      <c r="J313" t="s">
        <v>1112</v>
      </c>
      <c r="K313" t="s">
        <v>41</v>
      </c>
      <c r="L313" s="3">
        <v>45144</v>
      </c>
      <c r="M313" t="s">
        <v>48</v>
      </c>
      <c r="N313" s="4">
        <v>36</v>
      </c>
      <c r="O313" t="str" cm="1">
        <f t="array" ref="O31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13" t="s">
        <v>1111</v>
      </c>
      <c r="Q313" t="s">
        <v>2926</v>
      </c>
      <c r="R313" s="5">
        <v>33.51</v>
      </c>
      <c r="S313" s="5">
        <v>20.38</v>
      </c>
    </row>
    <row r="314" spans="1:19" x14ac:dyDescent="0.25">
      <c r="A314" t="s">
        <v>1113</v>
      </c>
      <c r="B314" t="s">
        <v>977</v>
      </c>
      <c r="C314" t="s">
        <v>1018</v>
      </c>
      <c r="D314" t="s">
        <v>51</v>
      </c>
      <c r="E314" t="s">
        <v>34</v>
      </c>
      <c r="F314">
        <v>32</v>
      </c>
      <c r="G314" t="s">
        <v>1114</v>
      </c>
      <c r="H314">
        <v>1</v>
      </c>
      <c r="I314" s="2">
        <v>31.06</v>
      </c>
      <c r="J314">
        <v>15.59</v>
      </c>
      <c r="K314" t="s">
        <v>19</v>
      </c>
      <c r="L314" s="3">
        <v>45322</v>
      </c>
      <c r="M314" t="s">
        <v>34</v>
      </c>
      <c r="N314" s="4">
        <v>32</v>
      </c>
      <c r="O314" t="str" cm="1">
        <f t="array" ref="O31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14" t="s">
        <v>1114</v>
      </c>
      <c r="Q314" t="s">
        <v>2927</v>
      </c>
      <c r="R314" s="5">
        <v>31.06</v>
      </c>
      <c r="S314" s="5">
        <v>15.59</v>
      </c>
    </row>
    <row r="315" spans="1:19" x14ac:dyDescent="0.25">
      <c r="A315" t="s">
        <v>1115</v>
      </c>
      <c r="B315" t="s">
        <v>466</v>
      </c>
      <c r="C315" s="1">
        <v>45479</v>
      </c>
      <c r="D315" t="s">
        <v>30</v>
      </c>
      <c r="E315" t="s">
        <v>60</v>
      </c>
      <c r="F315">
        <v>18</v>
      </c>
      <c r="G315" t="s">
        <v>1116</v>
      </c>
      <c r="H315">
        <v>2</v>
      </c>
      <c r="I315" s="2">
        <v>44.49</v>
      </c>
      <c r="J315" s="2">
        <v>16.809999999999999</v>
      </c>
      <c r="K315" t="s">
        <v>41</v>
      </c>
      <c r="L315" s="3">
        <v>45479</v>
      </c>
      <c r="M315" t="s">
        <v>48</v>
      </c>
      <c r="N315" s="4">
        <v>18</v>
      </c>
      <c r="O315" t="str" cm="1">
        <f t="array" ref="O31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315" t="s">
        <v>1116</v>
      </c>
      <c r="Q315" t="s">
        <v>2926</v>
      </c>
      <c r="R315" s="5">
        <v>44.49</v>
      </c>
      <c r="S315" s="5">
        <v>16.809999999999999</v>
      </c>
    </row>
    <row r="316" spans="1:19" x14ac:dyDescent="0.25">
      <c r="A316" t="s">
        <v>1117</v>
      </c>
      <c r="B316" t="s">
        <v>1118</v>
      </c>
      <c r="C316" t="s">
        <v>1119</v>
      </c>
      <c r="D316" t="s">
        <v>24</v>
      </c>
      <c r="E316" t="s">
        <v>34</v>
      </c>
      <c r="F316">
        <v>41</v>
      </c>
      <c r="G316" t="s">
        <v>384</v>
      </c>
      <c r="H316">
        <v>6</v>
      </c>
      <c r="I316" s="2">
        <v>46.77</v>
      </c>
      <c r="J316">
        <v>25.65</v>
      </c>
      <c r="K316" t="s">
        <v>19</v>
      </c>
      <c r="L316" s="3">
        <v>45112</v>
      </c>
      <c r="M316" t="s">
        <v>34</v>
      </c>
      <c r="N316" s="4">
        <v>41</v>
      </c>
      <c r="O316" t="str" cm="1">
        <f t="array" ref="O31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16" t="s">
        <v>384</v>
      </c>
      <c r="Q316" t="s">
        <v>2926</v>
      </c>
      <c r="R316" s="5">
        <v>46.77</v>
      </c>
      <c r="S316" s="5">
        <v>25.65</v>
      </c>
    </row>
    <row r="317" spans="1:19" x14ac:dyDescent="0.25">
      <c r="A317" t="s">
        <v>1120</v>
      </c>
      <c r="B317" t="s">
        <v>1121</v>
      </c>
      <c r="C317" t="s">
        <v>1122</v>
      </c>
      <c r="D317" t="s">
        <v>24</v>
      </c>
      <c r="E317" t="s">
        <v>38</v>
      </c>
      <c r="F317" t="s">
        <v>173</v>
      </c>
      <c r="G317" t="s">
        <v>1123</v>
      </c>
      <c r="H317">
        <v>2</v>
      </c>
      <c r="I317">
        <v>35.159999999999997</v>
      </c>
      <c r="J317" t="s">
        <v>1124</v>
      </c>
      <c r="K317" t="s">
        <v>19</v>
      </c>
      <c r="L317" s="3">
        <v>45396</v>
      </c>
      <c r="M317" t="s">
        <v>34</v>
      </c>
      <c r="N317" s="4">
        <v>30</v>
      </c>
      <c r="O317" t="str" cm="1">
        <f t="array" ref="O31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17" t="s">
        <v>1123</v>
      </c>
      <c r="Q317" t="s">
        <v>2928</v>
      </c>
      <c r="R317" s="5">
        <v>35.159999999999997</v>
      </c>
      <c r="S317" s="5">
        <v>16.190000000000001</v>
      </c>
    </row>
    <row r="318" spans="1:19" x14ac:dyDescent="0.25">
      <c r="A318" t="s">
        <v>1125</v>
      </c>
      <c r="B318" t="s">
        <v>1126</v>
      </c>
      <c r="C318" s="3">
        <v>45214</v>
      </c>
      <c r="D318" t="s">
        <v>129</v>
      </c>
      <c r="E318" t="s">
        <v>25</v>
      </c>
      <c r="F318" t="s">
        <v>1063</v>
      </c>
      <c r="G318" t="s">
        <v>1127</v>
      </c>
      <c r="H318">
        <v>1</v>
      </c>
      <c r="I318">
        <v>5.88</v>
      </c>
      <c r="J318" t="s">
        <v>1128</v>
      </c>
      <c r="K318" t="s">
        <v>19</v>
      </c>
      <c r="L318" s="3">
        <v>45214</v>
      </c>
      <c r="M318" t="s">
        <v>20</v>
      </c>
      <c r="N318" s="4">
        <v>18</v>
      </c>
      <c r="O318" t="str" cm="1">
        <f t="array" ref="O31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318" t="s">
        <v>1127</v>
      </c>
      <c r="Q318" t="s">
        <v>2925</v>
      </c>
      <c r="R318" s="5">
        <v>5.88</v>
      </c>
      <c r="S318" s="5">
        <v>3.25</v>
      </c>
    </row>
    <row r="319" spans="1:19" x14ac:dyDescent="0.25">
      <c r="A319" t="s">
        <v>1129</v>
      </c>
      <c r="B319" t="s">
        <v>1130</v>
      </c>
      <c r="C319" s="1">
        <v>45289</v>
      </c>
      <c r="D319" t="s">
        <v>129</v>
      </c>
      <c r="E319" t="s">
        <v>34</v>
      </c>
      <c r="F319">
        <v>57</v>
      </c>
      <c r="G319" t="s">
        <v>1131</v>
      </c>
      <c r="H319">
        <v>2</v>
      </c>
      <c r="I319" t="s">
        <v>1132</v>
      </c>
      <c r="J319">
        <v>12.27</v>
      </c>
      <c r="K319" t="s">
        <v>19</v>
      </c>
      <c r="L319" s="3">
        <v>45289</v>
      </c>
      <c r="M319" t="s">
        <v>34</v>
      </c>
      <c r="N319" s="4">
        <v>57</v>
      </c>
      <c r="O319" t="str" cm="1">
        <f t="array" ref="O31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19" t="s">
        <v>1131</v>
      </c>
      <c r="Q319" t="s">
        <v>2926</v>
      </c>
      <c r="R319" s="5">
        <v>25.37</v>
      </c>
      <c r="S319" s="5">
        <v>12.27</v>
      </c>
    </row>
    <row r="320" spans="1:19" x14ac:dyDescent="0.25">
      <c r="A320" t="s">
        <v>1133</v>
      </c>
      <c r="B320" t="s">
        <v>493</v>
      </c>
      <c r="C320" t="s">
        <v>1134</v>
      </c>
      <c r="D320" t="s">
        <v>30</v>
      </c>
      <c r="E320" t="s">
        <v>132</v>
      </c>
      <c r="F320" t="s">
        <v>435</v>
      </c>
      <c r="G320" t="s">
        <v>1135</v>
      </c>
      <c r="H320">
        <v>1</v>
      </c>
      <c r="I320">
        <v>35.64</v>
      </c>
      <c r="J320">
        <v>18.64</v>
      </c>
      <c r="K320" t="s">
        <v>41</v>
      </c>
      <c r="L320" s="3">
        <v>45453</v>
      </c>
      <c r="M320" t="s">
        <v>132</v>
      </c>
      <c r="N320" s="4"/>
      <c r="O320" t="str" cm="1">
        <f t="array" ref="O32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320" t="s">
        <v>1135</v>
      </c>
      <c r="Q320" t="s">
        <v>2926</v>
      </c>
      <c r="R320" s="5">
        <v>35.64</v>
      </c>
      <c r="S320" s="5">
        <v>18.64</v>
      </c>
    </row>
    <row r="321" spans="1:19" x14ac:dyDescent="0.25">
      <c r="A321" t="s">
        <v>1136</v>
      </c>
      <c r="B321" t="s">
        <v>1137</v>
      </c>
      <c r="C321" s="1">
        <v>45390</v>
      </c>
      <c r="D321" t="s">
        <v>30</v>
      </c>
      <c r="E321" t="s">
        <v>34</v>
      </c>
      <c r="F321">
        <v>14</v>
      </c>
      <c r="G321" t="s">
        <v>1138</v>
      </c>
      <c r="H321">
        <v>1</v>
      </c>
      <c r="I321">
        <v>28.77</v>
      </c>
      <c r="J321" t="s">
        <v>1139</v>
      </c>
      <c r="K321" t="s">
        <v>41</v>
      </c>
      <c r="L321" s="3">
        <v>45390</v>
      </c>
      <c r="M321" t="s">
        <v>34</v>
      </c>
      <c r="N321" s="4">
        <v>14</v>
      </c>
      <c r="O321" t="str" cm="1">
        <f t="array" ref="O32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21" t="s">
        <v>1138</v>
      </c>
      <c r="Q321" t="s">
        <v>2925</v>
      </c>
      <c r="R321" s="5">
        <v>28.77</v>
      </c>
      <c r="S321" s="5">
        <v>9.3000000000000007</v>
      </c>
    </row>
    <row r="322" spans="1:19" x14ac:dyDescent="0.25">
      <c r="A322" t="s">
        <v>1140</v>
      </c>
      <c r="B322" t="s">
        <v>1141</v>
      </c>
      <c r="C322" s="3">
        <v>45531</v>
      </c>
      <c r="D322" t="s">
        <v>24</v>
      </c>
      <c r="E322" t="s">
        <v>48</v>
      </c>
      <c r="F322">
        <v>61</v>
      </c>
      <c r="G322" t="s">
        <v>1142</v>
      </c>
      <c r="H322">
        <v>3</v>
      </c>
      <c r="I322" t="s">
        <v>1143</v>
      </c>
      <c r="J322">
        <v>11.21</v>
      </c>
      <c r="K322" t="s">
        <v>41</v>
      </c>
      <c r="L322" s="3">
        <v>45531</v>
      </c>
      <c r="M322" t="s">
        <v>48</v>
      </c>
      <c r="N322" s="4">
        <v>61</v>
      </c>
      <c r="O322" t="str" cm="1">
        <f t="array" ref="O32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22" t="s">
        <v>1142</v>
      </c>
      <c r="Q322" t="s">
        <v>2926</v>
      </c>
      <c r="R322" s="5">
        <v>39.909999999999997</v>
      </c>
      <c r="S322" s="5">
        <v>11.21</v>
      </c>
    </row>
    <row r="323" spans="1:19" x14ac:dyDescent="0.25">
      <c r="A323" t="s">
        <v>1144</v>
      </c>
      <c r="B323" t="s">
        <v>1145</v>
      </c>
      <c r="C323" t="s">
        <v>1146</v>
      </c>
      <c r="D323" t="s">
        <v>16</v>
      </c>
      <c r="E323" t="s">
        <v>48</v>
      </c>
      <c r="F323">
        <v>25</v>
      </c>
      <c r="G323" t="s">
        <v>1147</v>
      </c>
      <c r="H323">
        <v>1</v>
      </c>
      <c r="I323" t="s">
        <v>1148</v>
      </c>
      <c r="J323" s="2">
        <v>20.03</v>
      </c>
      <c r="K323" t="s">
        <v>19</v>
      </c>
      <c r="L323" s="3">
        <v>45652</v>
      </c>
      <c r="M323" t="s">
        <v>48</v>
      </c>
      <c r="N323" s="4">
        <v>25</v>
      </c>
      <c r="O323" t="str" cm="1">
        <f t="array" ref="O32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23" t="s">
        <v>1147</v>
      </c>
      <c r="Q323" t="s">
        <v>2929</v>
      </c>
      <c r="R323" s="5">
        <v>37.61</v>
      </c>
      <c r="S323" s="5">
        <v>20.03</v>
      </c>
    </row>
    <row r="324" spans="1:19" x14ac:dyDescent="0.25">
      <c r="A324" t="s">
        <v>1149</v>
      </c>
      <c r="B324" t="s">
        <v>450</v>
      </c>
      <c r="C324" t="s">
        <v>1150</v>
      </c>
      <c r="D324" t="s">
        <v>24</v>
      </c>
      <c r="E324" t="s">
        <v>65</v>
      </c>
      <c r="F324">
        <v>15</v>
      </c>
      <c r="G324" t="s">
        <v>1151</v>
      </c>
      <c r="H324">
        <v>1</v>
      </c>
      <c r="I324">
        <v>30.71</v>
      </c>
      <c r="J324">
        <v>9.5500000000000007</v>
      </c>
      <c r="K324" t="s">
        <v>41</v>
      </c>
      <c r="L324" s="3">
        <v>45474</v>
      </c>
      <c r="M324" t="s">
        <v>48</v>
      </c>
      <c r="N324" s="4">
        <v>15</v>
      </c>
      <c r="O324" t="str" cm="1">
        <f t="array" ref="O32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24" t="s">
        <v>1151</v>
      </c>
      <c r="Q324" t="s">
        <v>2927</v>
      </c>
      <c r="R324" s="5">
        <v>30.71</v>
      </c>
      <c r="S324" s="5">
        <v>9.5500000000000007</v>
      </c>
    </row>
    <row r="325" spans="1:19" x14ac:dyDescent="0.25">
      <c r="A325" t="s">
        <v>1152</v>
      </c>
      <c r="B325" t="s">
        <v>507</v>
      </c>
      <c r="C325" t="s">
        <v>1153</v>
      </c>
      <c r="D325" t="s">
        <v>30</v>
      </c>
      <c r="E325" t="s">
        <v>65</v>
      </c>
      <c r="F325">
        <v>59</v>
      </c>
      <c r="G325" t="s">
        <v>1154</v>
      </c>
      <c r="H325">
        <v>2</v>
      </c>
      <c r="I325">
        <v>29.99</v>
      </c>
      <c r="J325" t="s">
        <v>1155</v>
      </c>
      <c r="K325" t="s">
        <v>41</v>
      </c>
      <c r="L325" s="3">
        <v>45413</v>
      </c>
      <c r="M325" t="s">
        <v>48</v>
      </c>
      <c r="N325" s="4">
        <v>59</v>
      </c>
      <c r="O325" t="str" cm="1">
        <f t="array" ref="O32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25" t="s">
        <v>1154</v>
      </c>
      <c r="Q325" t="s">
        <v>2929</v>
      </c>
      <c r="R325" s="5">
        <v>29.99</v>
      </c>
      <c r="S325" s="5">
        <v>11.23</v>
      </c>
    </row>
    <row r="326" spans="1:19" x14ac:dyDescent="0.25">
      <c r="A326" t="s">
        <v>1156</v>
      </c>
      <c r="B326" t="s">
        <v>1157</v>
      </c>
      <c r="C326" t="s">
        <v>1158</v>
      </c>
      <c r="D326" t="s">
        <v>30</v>
      </c>
      <c r="E326" t="s">
        <v>85</v>
      </c>
      <c r="F326">
        <v>32</v>
      </c>
      <c r="G326" t="s">
        <v>442</v>
      </c>
      <c r="H326">
        <v>2</v>
      </c>
      <c r="I326" s="2">
        <v>83.98</v>
      </c>
      <c r="J326">
        <v>27.75</v>
      </c>
      <c r="K326" t="s">
        <v>19</v>
      </c>
      <c r="L326" s="3">
        <v>45138</v>
      </c>
      <c r="M326" t="s">
        <v>34</v>
      </c>
      <c r="N326" s="4">
        <v>32</v>
      </c>
      <c r="O326" t="str" cm="1">
        <f t="array" ref="O32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26" t="s">
        <v>442</v>
      </c>
      <c r="Q326" t="s">
        <v>2925</v>
      </c>
      <c r="R326" s="5">
        <v>83.98</v>
      </c>
      <c r="S326" s="5">
        <v>27.75</v>
      </c>
    </row>
    <row r="327" spans="1:19" x14ac:dyDescent="0.25">
      <c r="A327" t="s">
        <v>1159</v>
      </c>
      <c r="B327" t="s">
        <v>1160</v>
      </c>
      <c r="C327" t="s">
        <v>1161</v>
      </c>
      <c r="D327" t="s">
        <v>16</v>
      </c>
      <c r="E327" t="s">
        <v>31</v>
      </c>
      <c r="F327">
        <v>34</v>
      </c>
      <c r="G327" t="s">
        <v>1162</v>
      </c>
      <c r="H327">
        <v>1</v>
      </c>
      <c r="I327">
        <v>15.7</v>
      </c>
      <c r="J327" t="s">
        <v>1163</v>
      </c>
      <c r="K327" t="s">
        <v>41</v>
      </c>
      <c r="L327" s="3">
        <v>45067</v>
      </c>
      <c r="M327" t="s">
        <v>34</v>
      </c>
      <c r="N327" s="4">
        <v>34</v>
      </c>
      <c r="O327" t="str" cm="1">
        <f t="array" ref="O32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27" t="s">
        <v>1162</v>
      </c>
      <c r="Q327" t="s">
        <v>2926</v>
      </c>
      <c r="R327" s="5">
        <v>15.7</v>
      </c>
      <c r="S327" s="5">
        <v>8.52</v>
      </c>
    </row>
    <row r="328" spans="1:19" x14ac:dyDescent="0.25">
      <c r="A328" t="s">
        <v>1164</v>
      </c>
      <c r="B328" t="s">
        <v>1157</v>
      </c>
      <c r="C328" t="s">
        <v>1165</v>
      </c>
      <c r="D328" t="s">
        <v>129</v>
      </c>
      <c r="E328" t="s">
        <v>132</v>
      </c>
      <c r="F328">
        <v>61</v>
      </c>
      <c r="G328" t="s">
        <v>1166</v>
      </c>
      <c r="H328">
        <v>1</v>
      </c>
      <c r="I328" s="2">
        <v>2.52</v>
      </c>
      <c r="J328" t="s">
        <v>1167</v>
      </c>
      <c r="K328" t="s">
        <v>41</v>
      </c>
      <c r="L328" s="3">
        <v>45631</v>
      </c>
      <c r="M328" t="s">
        <v>132</v>
      </c>
      <c r="N328" s="4">
        <v>61</v>
      </c>
      <c r="O328" t="str" cm="1">
        <f t="array" ref="O32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28" t="s">
        <v>1166</v>
      </c>
      <c r="Q328" t="s">
        <v>2926</v>
      </c>
      <c r="R328" s="5">
        <v>2.52</v>
      </c>
      <c r="S328" s="5">
        <v>1.08</v>
      </c>
    </row>
    <row r="329" spans="1:19" x14ac:dyDescent="0.25">
      <c r="A329" t="s">
        <v>1168</v>
      </c>
      <c r="B329" t="s">
        <v>1169</v>
      </c>
      <c r="C329" t="s">
        <v>788</v>
      </c>
      <c r="D329" t="s">
        <v>30</v>
      </c>
      <c r="E329" t="s">
        <v>31</v>
      </c>
      <c r="F329">
        <v>30</v>
      </c>
      <c r="G329" t="s">
        <v>612</v>
      </c>
      <c r="H329">
        <v>4</v>
      </c>
      <c r="I329">
        <v>156.93</v>
      </c>
      <c r="J329">
        <v>59.74</v>
      </c>
      <c r="K329" t="s">
        <v>19</v>
      </c>
      <c r="L329" s="3">
        <v>44969</v>
      </c>
      <c r="M329" t="s">
        <v>34</v>
      </c>
      <c r="N329" s="4">
        <v>30</v>
      </c>
      <c r="O329" t="str" cm="1">
        <f t="array" ref="O32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29" t="s">
        <v>612</v>
      </c>
      <c r="Q329" t="s">
        <v>2927</v>
      </c>
      <c r="R329" s="5">
        <v>156.93</v>
      </c>
      <c r="S329" s="5">
        <v>59.74</v>
      </c>
    </row>
    <row r="330" spans="1:19" x14ac:dyDescent="0.25">
      <c r="A330" t="s">
        <v>1170</v>
      </c>
      <c r="B330" t="s">
        <v>725</v>
      </c>
      <c r="C330" s="1">
        <v>45412</v>
      </c>
      <c r="D330" t="s">
        <v>129</v>
      </c>
      <c r="E330" t="s">
        <v>48</v>
      </c>
      <c r="F330">
        <v>61</v>
      </c>
      <c r="G330" t="s">
        <v>1171</v>
      </c>
      <c r="H330">
        <v>1</v>
      </c>
      <c r="I330">
        <v>6.11</v>
      </c>
      <c r="J330">
        <v>3.02</v>
      </c>
      <c r="K330" t="s">
        <v>19</v>
      </c>
      <c r="L330" s="3">
        <v>45412</v>
      </c>
      <c r="M330" t="s">
        <v>48</v>
      </c>
      <c r="N330" s="4">
        <v>61</v>
      </c>
      <c r="O330" t="str" cm="1">
        <f t="array" ref="O33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30" t="s">
        <v>2944</v>
      </c>
      <c r="Q330" t="s">
        <v>2927</v>
      </c>
      <c r="R330" s="5">
        <v>6.11</v>
      </c>
      <c r="S330" s="5">
        <v>3.02</v>
      </c>
    </row>
    <row r="331" spans="1:19" x14ac:dyDescent="0.25">
      <c r="A331" t="s">
        <v>1172</v>
      </c>
      <c r="B331" t="s">
        <v>1173</v>
      </c>
      <c r="C331" t="s">
        <v>1174</v>
      </c>
      <c r="D331" t="s">
        <v>16</v>
      </c>
      <c r="E331" t="s">
        <v>38</v>
      </c>
      <c r="F331">
        <v>65</v>
      </c>
      <c r="G331" t="s">
        <v>1175</v>
      </c>
      <c r="H331">
        <v>1</v>
      </c>
      <c r="I331">
        <v>17.63</v>
      </c>
      <c r="J331">
        <v>7.94</v>
      </c>
      <c r="K331" t="s">
        <v>41</v>
      </c>
      <c r="L331" s="3">
        <v>45581</v>
      </c>
      <c r="M331" t="s">
        <v>34</v>
      </c>
      <c r="N331" s="4">
        <v>65</v>
      </c>
      <c r="O331" t="str" cm="1">
        <f t="array" ref="O33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31" t="s">
        <v>2945</v>
      </c>
      <c r="Q331" t="s">
        <v>2925</v>
      </c>
      <c r="R331" s="5">
        <v>17.63</v>
      </c>
      <c r="S331" s="5">
        <v>7.94</v>
      </c>
    </row>
    <row r="332" spans="1:19" x14ac:dyDescent="0.25">
      <c r="A332" t="s">
        <v>1176</v>
      </c>
      <c r="B332" t="s">
        <v>405</v>
      </c>
      <c r="C332" s="3">
        <v>45164</v>
      </c>
      <c r="D332" t="s">
        <v>30</v>
      </c>
      <c r="E332" t="s">
        <v>45</v>
      </c>
      <c r="F332">
        <v>30</v>
      </c>
      <c r="G332" t="s">
        <v>1177</v>
      </c>
      <c r="H332">
        <v>1</v>
      </c>
      <c r="I332">
        <v>34.11</v>
      </c>
      <c r="J332">
        <v>11.55</v>
      </c>
      <c r="K332" t="s">
        <v>19</v>
      </c>
      <c r="L332" s="3">
        <v>45164</v>
      </c>
      <c r="M332" t="s">
        <v>48</v>
      </c>
      <c r="N332" s="4">
        <v>30</v>
      </c>
      <c r="O332" t="str" cm="1">
        <f t="array" ref="O33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32" t="s">
        <v>1177</v>
      </c>
      <c r="Q332" t="s">
        <v>2926</v>
      </c>
      <c r="R332" s="5">
        <v>34.11</v>
      </c>
      <c r="S332" s="5">
        <v>11.55</v>
      </c>
    </row>
    <row r="333" spans="1:19" x14ac:dyDescent="0.25">
      <c r="A333" t="s">
        <v>1178</v>
      </c>
      <c r="B333" t="s">
        <v>660</v>
      </c>
      <c r="C333" s="1">
        <v>45188</v>
      </c>
      <c r="D333" t="s">
        <v>16</v>
      </c>
      <c r="E333" t="s">
        <v>65</v>
      </c>
      <c r="F333">
        <v>32</v>
      </c>
      <c r="G333" t="s">
        <v>1179</v>
      </c>
      <c r="H333">
        <v>1</v>
      </c>
      <c r="I333">
        <v>6.83</v>
      </c>
      <c r="J333">
        <v>2.2400000000000002</v>
      </c>
      <c r="K333" t="s">
        <v>41</v>
      </c>
      <c r="L333" s="3">
        <v>45188</v>
      </c>
      <c r="M333" t="s">
        <v>48</v>
      </c>
      <c r="N333" s="4">
        <v>32</v>
      </c>
      <c r="O333" t="str" cm="1">
        <f t="array" ref="O33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33" t="s">
        <v>2946</v>
      </c>
      <c r="Q333" t="s">
        <v>2929</v>
      </c>
      <c r="R333" s="5">
        <v>6.83</v>
      </c>
      <c r="S333" s="5">
        <v>2.2400000000000002</v>
      </c>
    </row>
    <row r="334" spans="1:19" x14ac:dyDescent="0.25">
      <c r="A334" t="s">
        <v>1180</v>
      </c>
      <c r="B334" t="s">
        <v>1181</v>
      </c>
      <c r="C334" t="s">
        <v>1182</v>
      </c>
      <c r="D334" t="s">
        <v>16</v>
      </c>
      <c r="E334" t="s">
        <v>45</v>
      </c>
      <c r="F334">
        <v>36</v>
      </c>
      <c r="G334" t="s">
        <v>1183</v>
      </c>
      <c r="H334">
        <v>5</v>
      </c>
      <c r="I334">
        <v>57.62</v>
      </c>
      <c r="J334" s="2">
        <v>22.92</v>
      </c>
      <c r="K334" t="s">
        <v>19</v>
      </c>
      <c r="L334" s="3">
        <v>45297</v>
      </c>
      <c r="M334" t="s">
        <v>48</v>
      </c>
      <c r="N334" s="4">
        <v>36</v>
      </c>
      <c r="O334" t="str" cm="1">
        <f t="array" ref="O33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34" t="s">
        <v>1183</v>
      </c>
      <c r="Q334" t="s">
        <v>2925</v>
      </c>
      <c r="R334" s="5">
        <v>57.62</v>
      </c>
      <c r="S334" s="5">
        <v>22.92</v>
      </c>
    </row>
    <row r="335" spans="1:19" x14ac:dyDescent="0.25">
      <c r="A335" t="s">
        <v>1184</v>
      </c>
      <c r="B335" t="s">
        <v>408</v>
      </c>
      <c r="C335" t="s">
        <v>1185</v>
      </c>
      <c r="D335" t="s">
        <v>51</v>
      </c>
      <c r="E335" t="s">
        <v>38</v>
      </c>
      <c r="F335">
        <v>68</v>
      </c>
      <c r="G335" t="s">
        <v>1186</v>
      </c>
      <c r="H335">
        <v>1</v>
      </c>
      <c r="I335">
        <v>25.8</v>
      </c>
      <c r="J335">
        <v>12.2</v>
      </c>
      <c r="K335" t="s">
        <v>19</v>
      </c>
      <c r="L335" s="3">
        <v>45171</v>
      </c>
      <c r="M335" t="s">
        <v>34</v>
      </c>
      <c r="N335" s="4">
        <v>68</v>
      </c>
      <c r="O335" t="str" cm="1">
        <f t="array" ref="O33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35" t="s">
        <v>1186</v>
      </c>
      <c r="Q335" t="s">
        <v>2925</v>
      </c>
      <c r="R335" s="5">
        <v>25.8</v>
      </c>
      <c r="S335" s="5">
        <v>12.2</v>
      </c>
    </row>
    <row r="336" spans="1:19" x14ac:dyDescent="0.25">
      <c r="A336" t="s">
        <v>1187</v>
      </c>
      <c r="B336" t="s">
        <v>1188</v>
      </c>
      <c r="C336" t="s">
        <v>1189</v>
      </c>
      <c r="D336" t="s">
        <v>24</v>
      </c>
      <c r="E336" t="s">
        <v>34</v>
      </c>
      <c r="F336">
        <v>42</v>
      </c>
      <c r="G336" t="s">
        <v>1190</v>
      </c>
      <c r="H336">
        <v>1</v>
      </c>
      <c r="I336">
        <v>27.36</v>
      </c>
      <c r="J336">
        <v>17.350000000000001</v>
      </c>
      <c r="K336" t="s">
        <v>41</v>
      </c>
      <c r="L336" s="3">
        <v>45029</v>
      </c>
      <c r="M336" t="s">
        <v>34</v>
      </c>
      <c r="N336" s="4">
        <v>42</v>
      </c>
      <c r="O336" t="str" cm="1">
        <f t="array" ref="O33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36" t="s">
        <v>1190</v>
      </c>
      <c r="Q336" t="s">
        <v>2925</v>
      </c>
      <c r="R336" s="5">
        <v>27.36</v>
      </c>
      <c r="S336" s="5">
        <v>17.350000000000001</v>
      </c>
    </row>
    <row r="337" spans="1:19" x14ac:dyDescent="0.25">
      <c r="A337" t="s">
        <v>1191</v>
      </c>
      <c r="B337" t="s">
        <v>1192</v>
      </c>
      <c r="C337" s="3">
        <v>45073</v>
      </c>
      <c r="D337" t="s">
        <v>30</v>
      </c>
      <c r="F337" t="s">
        <v>75</v>
      </c>
      <c r="G337" t="s">
        <v>192</v>
      </c>
      <c r="H337">
        <v>1</v>
      </c>
      <c r="I337" s="2">
        <v>29.37</v>
      </c>
      <c r="J337" s="2">
        <v>9.5</v>
      </c>
      <c r="K337" t="s">
        <v>41</v>
      </c>
      <c r="L337" s="3">
        <v>45073</v>
      </c>
      <c r="M337" t="s">
        <v>20</v>
      </c>
      <c r="N337" s="4">
        <v>20</v>
      </c>
      <c r="O337" t="str" cm="1">
        <f t="array" ref="O33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337" t="s">
        <v>192</v>
      </c>
      <c r="Q337" t="s">
        <v>2929</v>
      </c>
      <c r="R337" s="5">
        <v>29.37</v>
      </c>
      <c r="S337" s="5">
        <v>9.5</v>
      </c>
    </row>
    <row r="338" spans="1:19" x14ac:dyDescent="0.25">
      <c r="A338" t="s">
        <v>1193</v>
      </c>
      <c r="B338" t="s">
        <v>1173</v>
      </c>
      <c r="C338" t="s">
        <v>1194</v>
      </c>
      <c r="D338" t="s">
        <v>16</v>
      </c>
      <c r="E338" t="s">
        <v>25</v>
      </c>
      <c r="F338">
        <v>67</v>
      </c>
      <c r="G338" t="s">
        <v>1195</v>
      </c>
      <c r="H338">
        <v>1</v>
      </c>
      <c r="I338">
        <v>27.07</v>
      </c>
      <c r="J338">
        <v>13.84</v>
      </c>
      <c r="K338" t="s">
        <v>41</v>
      </c>
      <c r="L338" s="3">
        <v>45086</v>
      </c>
      <c r="M338" t="s">
        <v>20</v>
      </c>
      <c r="N338" s="4">
        <v>67</v>
      </c>
      <c r="O338" t="str" cm="1">
        <f t="array" ref="O33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38" t="s">
        <v>1195</v>
      </c>
      <c r="Q338" t="s">
        <v>2926</v>
      </c>
      <c r="R338" s="5">
        <v>27.07</v>
      </c>
      <c r="S338" s="5">
        <v>13.84</v>
      </c>
    </row>
    <row r="339" spans="1:19" x14ac:dyDescent="0.25">
      <c r="A339" t="s">
        <v>1196</v>
      </c>
      <c r="B339" t="s">
        <v>279</v>
      </c>
      <c r="C339" s="1">
        <v>45423</v>
      </c>
      <c r="D339" t="s">
        <v>129</v>
      </c>
      <c r="E339" t="s">
        <v>60</v>
      </c>
      <c r="G339" t="s">
        <v>1197</v>
      </c>
      <c r="H339">
        <v>1</v>
      </c>
      <c r="I339">
        <v>5.51</v>
      </c>
      <c r="J339">
        <v>2.7</v>
      </c>
      <c r="K339" t="s">
        <v>41</v>
      </c>
      <c r="L339" s="3">
        <v>45423</v>
      </c>
      <c r="M339" t="s">
        <v>48</v>
      </c>
      <c r="N339" s="4"/>
      <c r="O339" t="str" cm="1">
        <f t="array" ref="O33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339" t="s">
        <v>1197</v>
      </c>
      <c r="Q339" t="s">
        <v>2925</v>
      </c>
      <c r="R339" s="5">
        <v>5.51</v>
      </c>
      <c r="S339" s="5">
        <v>2.7</v>
      </c>
    </row>
    <row r="340" spans="1:19" x14ac:dyDescent="0.25">
      <c r="A340" t="s">
        <v>1198</v>
      </c>
      <c r="B340" t="s">
        <v>1199</v>
      </c>
      <c r="C340" s="1">
        <v>45304</v>
      </c>
      <c r="D340" t="s">
        <v>129</v>
      </c>
      <c r="E340" t="s">
        <v>45</v>
      </c>
      <c r="F340">
        <v>14</v>
      </c>
      <c r="G340" t="s">
        <v>1200</v>
      </c>
      <c r="H340">
        <v>1</v>
      </c>
      <c r="I340">
        <v>12.99</v>
      </c>
      <c r="J340">
        <v>4.99</v>
      </c>
      <c r="K340" t="s">
        <v>19</v>
      </c>
      <c r="L340" s="3">
        <v>45304</v>
      </c>
      <c r="M340" t="s">
        <v>48</v>
      </c>
      <c r="N340" s="4">
        <v>14</v>
      </c>
      <c r="O340" t="str" cm="1">
        <f t="array" ref="O34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40" t="s">
        <v>1200</v>
      </c>
      <c r="Q340" t="s">
        <v>2929</v>
      </c>
      <c r="R340" s="5">
        <v>12.99</v>
      </c>
      <c r="S340" s="5">
        <v>4.99</v>
      </c>
    </row>
    <row r="341" spans="1:19" x14ac:dyDescent="0.25">
      <c r="A341" t="s">
        <v>1201</v>
      </c>
      <c r="B341" t="s">
        <v>1202</v>
      </c>
      <c r="C341" t="s">
        <v>446</v>
      </c>
      <c r="D341" t="s">
        <v>51</v>
      </c>
      <c r="E341" t="s">
        <v>48</v>
      </c>
      <c r="F341">
        <v>22</v>
      </c>
      <c r="G341" t="s">
        <v>1203</v>
      </c>
      <c r="H341">
        <v>-2</v>
      </c>
      <c r="I341">
        <v>-59.71</v>
      </c>
      <c r="J341">
        <v>-18.190000000000001</v>
      </c>
      <c r="K341" t="s">
        <v>41</v>
      </c>
      <c r="L341" s="3">
        <v>45478</v>
      </c>
      <c r="M341" t="s">
        <v>48</v>
      </c>
      <c r="N341" s="4">
        <v>22</v>
      </c>
      <c r="O341" t="str" cm="1">
        <f t="array" ref="O34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341" t="s">
        <v>2947</v>
      </c>
      <c r="Q341" t="s">
        <v>2927</v>
      </c>
      <c r="R341" s="5">
        <v>-59.71</v>
      </c>
      <c r="S341" s="5">
        <v>-18.190000000000001</v>
      </c>
    </row>
    <row r="342" spans="1:19" x14ac:dyDescent="0.25">
      <c r="A342" t="s">
        <v>1204</v>
      </c>
      <c r="B342" t="s">
        <v>1205</v>
      </c>
      <c r="C342" s="1">
        <v>45580</v>
      </c>
      <c r="D342" t="s">
        <v>24</v>
      </c>
      <c r="E342" t="s">
        <v>31</v>
      </c>
      <c r="F342">
        <v>44</v>
      </c>
      <c r="G342" t="s">
        <v>1206</v>
      </c>
      <c r="H342">
        <v>4</v>
      </c>
      <c r="I342">
        <v>63.6</v>
      </c>
      <c r="J342">
        <v>32.21</v>
      </c>
      <c r="K342" t="s">
        <v>41</v>
      </c>
      <c r="L342" s="3">
        <v>45580</v>
      </c>
      <c r="M342" t="s">
        <v>34</v>
      </c>
      <c r="N342" s="4">
        <v>44</v>
      </c>
      <c r="O342" t="str" cm="1">
        <f t="array" ref="O34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42" t="s">
        <v>1206</v>
      </c>
      <c r="Q342" t="s">
        <v>2929</v>
      </c>
      <c r="R342" s="5">
        <v>63.6</v>
      </c>
      <c r="S342" s="5">
        <v>32.21</v>
      </c>
    </row>
    <row r="343" spans="1:19" x14ac:dyDescent="0.25">
      <c r="A343" t="s">
        <v>1207</v>
      </c>
      <c r="B343" t="s">
        <v>121</v>
      </c>
      <c r="C343" t="s">
        <v>1208</v>
      </c>
      <c r="D343" t="s">
        <v>16</v>
      </c>
      <c r="E343" t="s">
        <v>60</v>
      </c>
      <c r="F343">
        <v>35</v>
      </c>
      <c r="G343" t="s">
        <v>1209</v>
      </c>
      <c r="H343">
        <v>2</v>
      </c>
      <c r="I343" t="s">
        <v>1210</v>
      </c>
      <c r="J343" s="2">
        <v>19.77</v>
      </c>
      <c r="K343" t="s">
        <v>41</v>
      </c>
      <c r="L343" s="3">
        <v>45243</v>
      </c>
      <c r="M343" t="s">
        <v>48</v>
      </c>
      <c r="N343" s="4">
        <v>35</v>
      </c>
      <c r="O343" t="str" cm="1">
        <f t="array" ref="O34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43" t="s">
        <v>1209</v>
      </c>
      <c r="Q343" t="s">
        <v>2927</v>
      </c>
      <c r="R343" s="5">
        <v>49.06</v>
      </c>
      <c r="S343" s="5">
        <v>19.77</v>
      </c>
    </row>
    <row r="344" spans="1:19" x14ac:dyDescent="0.25">
      <c r="A344" t="s">
        <v>1211</v>
      </c>
      <c r="B344" t="s">
        <v>1212</v>
      </c>
      <c r="C344" t="s">
        <v>1213</v>
      </c>
      <c r="D344" t="s">
        <v>16</v>
      </c>
      <c r="E344" t="s">
        <v>45</v>
      </c>
      <c r="F344">
        <v>61</v>
      </c>
      <c r="G344" t="s">
        <v>1214</v>
      </c>
      <c r="H344">
        <v>4</v>
      </c>
      <c r="I344">
        <v>22.26</v>
      </c>
      <c r="J344">
        <v>9.26</v>
      </c>
      <c r="K344" t="s">
        <v>41</v>
      </c>
      <c r="L344" s="3">
        <v>45028</v>
      </c>
      <c r="M344" t="s">
        <v>48</v>
      </c>
      <c r="N344" s="4">
        <v>61</v>
      </c>
      <c r="O344" t="str" cm="1">
        <f t="array" ref="O34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44" t="s">
        <v>1214</v>
      </c>
      <c r="Q344" t="s">
        <v>2931</v>
      </c>
      <c r="R344" s="5">
        <v>22.26</v>
      </c>
      <c r="S344" s="5">
        <v>9.26</v>
      </c>
    </row>
    <row r="345" spans="1:19" x14ac:dyDescent="0.25">
      <c r="A345" t="s">
        <v>1215</v>
      </c>
      <c r="B345" t="s">
        <v>1216</v>
      </c>
      <c r="C345" s="1">
        <v>45207</v>
      </c>
      <c r="D345" t="s">
        <v>16</v>
      </c>
      <c r="E345" t="s">
        <v>60</v>
      </c>
      <c r="F345">
        <v>72</v>
      </c>
      <c r="G345" t="s">
        <v>1217</v>
      </c>
      <c r="H345">
        <v>1</v>
      </c>
      <c r="I345" t="s">
        <v>1218</v>
      </c>
      <c r="J345">
        <v>9.2100000000000009</v>
      </c>
      <c r="K345" t="s">
        <v>41</v>
      </c>
      <c r="L345" s="3">
        <v>45207</v>
      </c>
      <c r="M345" t="s">
        <v>48</v>
      </c>
      <c r="N345" s="4">
        <v>72</v>
      </c>
      <c r="O345" t="str" cm="1">
        <f t="array" ref="O34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45" t="s">
        <v>1217</v>
      </c>
      <c r="Q345" t="s">
        <v>2927</v>
      </c>
      <c r="R345" s="5">
        <v>26.29</v>
      </c>
      <c r="S345" s="5">
        <v>9.2100000000000009</v>
      </c>
    </row>
    <row r="346" spans="1:19" x14ac:dyDescent="0.25">
      <c r="A346" t="s">
        <v>1219</v>
      </c>
      <c r="B346" t="s">
        <v>1216</v>
      </c>
      <c r="C346" t="s">
        <v>1220</v>
      </c>
      <c r="D346" t="s">
        <v>16</v>
      </c>
      <c r="E346" t="s">
        <v>70</v>
      </c>
      <c r="F346">
        <v>45</v>
      </c>
      <c r="G346" t="s">
        <v>1177</v>
      </c>
      <c r="H346">
        <v>2</v>
      </c>
      <c r="I346" t="s">
        <v>1221</v>
      </c>
      <c r="J346">
        <v>13.53</v>
      </c>
      <c r="K346" t="s">
        <v>41</v>
      </c>
      <c r="L346" s="3">
        <v>45229</v>
      </c>
      <c r="M346" t="s">
        <v>20</v>
      </c>
      <c r="N346" s="4">
        <v>45</v>
      </c>
      <c r="O346" t="str" cm="1">
        <f t="array" ref="O34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46" t="s">
        <v>1177</v>
      </c>
      <c r="Q346" t="s">
        <v>2926</v>
      </c>
      <c r="R346" s="5">
        <v>32.35</v>
      </c>
      <c r="S346" s="5">
        <v>13.53</v>
      </c>
    </row>
    <row r="347" spans="1:19" x14ac:dyDescent="0.25">
      <c r="A347" t="s">
        <v>1222</v>
      </c>
      <c r="B347" t="s">
        <v>79</v>
      </c>
      <c r="C347" t="s">
        <v>1223</v>
      </c>
      <c r="D347" t="s">
        <v>51</v>
      </c>
      <c r="E347" t="s">
        <v>31</v>
      </c>
      <c r="F347">
        <v>44</v>
      </c>
      <c r="G347" t="s">
        <v>1224</v>
      </c>
      <c r="H347">
        <v>1</v>
      </c>
      <c r="I347" s="2">
        <v>14.83</v>
      </c>
      <c r="J347">
        <v>4.97</v>
      </c>
      <c r="K347" t="s">
        <v>41</v>
      </c>
      <c r="L347" s="3">
        <v>45090</v>
      </c>
      <c r="M347" t="s">
        <v>34</v>
      </c>
      <c r="N347" s="4">
        <v>44</v>
      </c>
      <c r="O347" t="str" cm="1">
        <f t="array" ref="O34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47" t="s">
        <v>1224</v>
      </c>
      <c r="Q347" t="s">
        <v>2927</v>
      </c>
      <c r="R347" s="5">
        <v>14.83</v>
      </c>
      <c r="S347" s="5">
        <v>4.97</v>
      </c>
    </row>
    <row r="348" spans="1:19" x14ac:dyDescent="0.25">
      <c r="A348" t="s">
        <v>1225</v>
      </c>
      <c r="B348" t="s">
        <v>1226</v>
      </c>
      <c r="C348" s="1">
        <v>45377</v>
      </c>
      <c r="D348" t="s">
        <v>129</v>
      </c>
      <c r="E348" t="s">
        <v>45</v>
      </c>
      <c r="F348">
        <v>32</v>
      </c>
      <c r="G348" t="s">
        <v>100</v>
      </c>
      <c r="H348">
        <v>1</v>
      </c>
      <c r="I348" t="s">
        <v>1227</v>
      </c>
      <c r="J348">
        <v>2.5099999999999998</v>
      </c>
      <c r="K348" t="s">
        <v>41</v>
      </c>
      <c r="L348" s="3">
        <v>45377</v>
      </c>
      <c r="M348" t="s">
        <v>48</v>
      </c>
      <c r="N348" s="4">
        <v>32</v>
      </c>
      <c r="O348" t="str" cm="1">
        <f t="array" ref="O34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48" t="s">
        <v>100</v>
      </c>
      <c r="Q348" t="s">
        <v>2926</v>
      </c>
      <c r="R348" s="5">
        <v>5.78</v>
      </c>
      <c r="S348" s="5">
        <v>2.5099999999999998</v>
      </c>
    </row>
    <row r="349" spans="1:19" x14ac:dyDescent="0.25">
      <c r="A349" t="s">
        <v>1228</v>
      </c>
      <c r="B349" t="s">
        <v>1229</v>
      </c>
      <c r="C349" t="s">
        <v>1230</v>
      </c>
      <c r="D349" t="s">
        <v>24</v>
      </c>
      <c r="E349" t="s">
        <v>45</v>
      </c>
      <c r="F349">
        <v>44</v>
      </c>
      <c r="G349" t="s">
        <v>796</v>
      </c>
      <c r="H349">
        <v>2</v>
      </c>
      <c r="I349" t="s">
        <v>1231</v>
      </c>
      <c r="J349">
        <v>10.41</v>
      </c>
      <c r="K349" t="s">
        <v>19</v>
      </c>
      <c r="L349" s="3">
        <v>45426</v>
      </c>
      <c r="M349" t="s">
        <v>48</v>
      </c>
      <c r="N349" s="4">
        <v>44</v>
      </c>
      <c r="O349" t="str" cm="1">
        <f t="array" ref="O34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49" t="s">
        <v>796</v>
      </c>
      <c r="Q349" t="s">
        <v>2925</v>
      </c>
      <c r="R349" s="5">
        <v>43.59</v>
      </c>
      <c r="S349" s="5">
        <v>10.41</v>
      </c>
    </row>
    <row r="350" spans="1:19" x14ac:dyDescent="0.25">
      <c r="A350" t="s">
        <v>833</v>
      </c>
      <c r="B350" t="s">
        <v>834</v>
      </c>
      <c r="C350" s="3">
        <v>45480</v>
      </c>
      <c r="D350" t="s">
        <v>24</v>
      </c>
      <c r="E350" t="s">
        <v>34</v>
      </c>
      <c r="F350">
        <v>71</v>
      </c>
      <c r="G350" t="s">
        <v>137</v>
      </c>
      <c r="H350">
        <v>2</v>
      </c>
      <c r="I350">
        <v>40.4</v>
      </c>
      <c r="J350" t="s">
        <v>835</v>
      </c>
      <c r="K350" t="s">
        <v>41</v>
      </c>
      <c r="L350" s="3">
        <v>45480</v>
      </c>
      <c r="M350" t="s">
        <v>34</v>
      </c>
      <c r="N350" s="4">
        <v>71</v>
      </c>
      <c r="O350" t="str" cm="1">
        <f t="array" ref="O35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50" t="s">
        <v>137</v>
      </c>
      <c r="Q350" t="s">
        <v>2927</v>
      </c>
      <c r="R350" s="5">
        <v>40.4</v>
      </c>
      <c r="S350" s="5">
        <v>14.81</v>
      </c>
    </row>
    <row r="351" spans="1:19" x14ac:dyDescent="0.25">
      <c r="A351" t="s">
        <v>1232</v>
      </c>
      <c r="B351" t="s">
        <v>1233</v>
      </c>
      <c r="C351" s="3">
        <v>44985</v>
      </c>
      <c r="D351" t="s">
        <v>51</v>
      </c>
      <c r="E351" t="s">
        <v>85</v>
      </c>
      <c r="F351">
        <v>55</v>
      </c>
      <c r="G351" t="s">
        <v>1234</v>
      </c>
      <c r="H351">
        <v>1</v>
      </c>
      <c r="I351" s="2">
        <v>11.14</v>
      </c>
      <c r="J351" s="2">
        <v>4.38</v>
      </c>
      <c r="K351" t="s">
        <v>19</v>
      </c>
      <c r="L351" s="3">
        <v>44985</v>
      </c>
      <c r="M351" t="s">
        <v>34</v>
      </c>
      <c r="N351" s="4">
        <v>55</v>
      </c>
      <c r="O351" t="str" cm="1">
        <f t="array" ref="O35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51" t="s">
        <v>1234</v>
      </c>
      <c r="Q351" t="s">
        <v>2926</v>
      </c>
      <c r="R351" s="5">
        <v>11.14</v>
      </c>
      <c r="S351" s="5">
        <v>4.38</v>
      </c>
    </row>
    <row r="352" spans="1:19" x14ac:dyDescent="0.25">
      <c r="A352" t="s">
        <v>1235</v>
      </c>
      <c r="B352" t="s">
        <v>1110</v>
      </c>
      <c r="C352" s="3">
        <v>45079</v>
      </c>
      <c r="D352" t="s">
        <v>129</v>
      </c>
      <c r="E352" t="s">
        <v>85</v>
      </c>
      <c r="F352">
        <v>51</v>
      </c>
      <c r="G352" t="s">
        <v>951</v>
      </c>
      <c r="H352">
        <v>1</v>
      </c>
      <c r="I352" s="2">
        <v>17.989999999999998</v>
      </c>
      <c r="J352" t="s">
        <v>1236</v>
      </c>
      <c r="K352" t="s">
        <v>19</v>
      </c>
      <c r="L352" s="3">
        <v>45079</v>
      </c>
      <c r="M352" t="s">
        <v>34</v>
      </c>
      <c r="N352" s="4">
        <v>51</v>
      </c>
      <c r="O352" t="str" cm="1">
        <f t="array" ref="O35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52" t="s">
        <v>951</v>
      </c>
      <c r="Q352" t="s">
        <v>2925</v>
      </c>
      <c r="R352" s="5">
        <v>17.989999999999998</v>
      </c>
      <c r="S352" s="5">
        <v>9.77</v>
      </c>
    </row>
    <row r="353" spans="1:19" x14ac:dyDescent="0.25">
      <c r="A353" t="s">
        <v>1237</v>
      </c>
      <c r="B353" t="s">
        <v>1238</v>
      </c>
      <c r="C353" t="s">
        <v>1239</v>
      </c>
      <c r="D353" t="s">
        <v>16</v>
      </c>
      <c r="E353" t="s">
        <v>132</v>
      </c>
      <c r="F353">
        <v>27</v>
      </c>
      <c r="G353" t="s">
        <v>1240</v>
      </c>
      <c r="H353">
        <v>2</v>
      </c>
      <c r="I353">
        <v>17.850000000000001</v>
      </c>
      <c r="J353" s="2">
        <v>7.67</v>
      </c>
      <c r="K353" t="s">
        <v>41</v>
      </c>
      <c r="L353" s="3">
        <v>45076</v>
      </c>
      <c r="M353" t="s">
        <v>132</v>
      </c>
      <c r="N353" s="4">
        <v>27</v>
      </c>
      <c r="O353" t="str" cm="1">
        <f t="array" ref="O35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53" t="s">
        <v>1240</v>
      </c>
      <c r="Q353" t="s">
        <v>2929</v>
      </c>
      <c r="R353" s="5">
        <v>17.850000000000001</v>
      </c>
      <c r="S353" s="5">
        <v>7.67</v>
      </c>
    </row>
    <row r="354" spans="1:19" x14ac:dyDescent="0.25">
      <c r="A354" t="s">
        <v>1241</v>
      </c>
      <c r="B354" t="s">
        <v>314</v>
      </c>
      <c r="C354" t="s">
        <v>1242</v>
      </c>
      <c r="D354" t="s">
        <v>16</v>
      </c>
      <c r="E354" t="s">
        <v>60</v>
      </c>
      <c r="F354">
        <v>71</v>
      </c>
      <c r="G354" t="s">
        <v>1016</v>
      </c>
      <c r="H354">
        <v>2</v>
      </c>
      <c r="I354">
        <v>40.54</v>
      </c>
      <c r="J354">
        <v>16.670000000000002</v>
      </c>
      <c r="K354" t="s">
        <v>19</v>
      </c>
      <c r="L354" s="3">
        <v>45636</v>
      </c>
      <c r="M354" t="s">
        <v>48</v>
      </c>
      <c r="N354" s="4">
        <v>71</v>
      </c>
      <c r="O354" t="str" cm="1">
        <f t="array" ref="O35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54" t="s">
        <v>1016</v>
      </c>
      <c r="Q354" t="s">
        <v>2926</v>
      </c>
      <c r="R354" s="5">
        <v>40.54</v>
      </c>
      <c r="S354" s="5">
        <v>16.670000000000002</v>
      </c>
    </row>
    <row r="355" spans="1:19" x14ac:dyDescent="0.25">
      <c r="A355" t="s">
        <v>1243</v>
      </c>
      <c r="B355" t="s">
        <v>261</v>
      </c>
      <c r="C355" s="1">
        <v>45308</v>
      </c>
      <c r="D355" t="s">
        <v>129</v>
      </c>
      <c r="E355" t="s">
        <v>85</v>
      </c>
      <c r="F355">
        <v>61</v>
      </c>
      <c r="G355" t="s">
        <v>1244</v>
      </c>
      <c r="H355">
        <v>1</v>
      </c>
      <c r="I355" t="s">
        <v>1245</v>
      </c>
      <c r="J355">
        <v>5.12</v>
      </c>
      <c r="K355" t="s">
        <v>41</v>
      </c>
      <c r="L355" s="3">
        <v>45308</v>
      </c>
      <c r="M355" t="s">
        <v>34</v>
      </c>
      <c r="N355" s="4">
        <v>61</v>
      </c>
      <c r="O355" t="str" cm="1">
        <f t="array" ref="O35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55" t="s">
        <v>1244</v>
      </c>
      <c r="Q355" t="s">
        <v>2926</v>
      </c>
      <c r="R355" s="5">
        <v>16.350000000000001</v>
      </c>
      <c r="S355" s="5">
        <v>5.12</v>
      </c>
    </row>
    <row r="356" spans="1:19" x14ac:dyDescent="0.25">
      <c r="A356" t="s">
        <v>1246</v>
      </c>
      <c r="B356" t="s">
        <v>1247</v>
      </c>
      <c r="C356" t="s">
        <v>1248</v>
      </c>
      <c r="D356" t="s">
        <v>129</v>
      </c>
      <c r="E356" t="s">
        <v>31</v>
      </c>
      <c r="F356">
        <v>14</v>
      </c>
      <c r="G356" t="s">
        <v>1249</v>
      </c>
      <c r="H356">
        <v>2</v>
      </c>
      <c r="I356" t="s">
        <v>1250</v>
      </c>
      <c r="J356">
        <v>4.55</v>
      </c>
      <c r="K356" t="s">
        <v>19</v>
      </c>
      <c r="L356" s="3">
        <v>45038</v>
      </c>
      <c r="M356" t="s">
        <v>34</v>
      </c>
      <c r="N356" s="4">
        <v>14</v>
      </c>
      <c r="O356" t="str" cm="1">
        <f t="array" ref="O35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56" t="s">
        <v>1249</v>
      </c>
      <c r="Q356" t="s">
        <v>2929</v>
      </c>
      <c r="R356" s="5">
        <v>12.03</v>
      </c>
      <c r="S356" s="5">
        <v>4.55</v>
      </c>
    </row>
    <row r="357" spans="1:19" x14ac:dyDescent="0.25">
      <c r="A357" t="s">
        <v>1251</v>
      </c>
      <c r="B357" t="s">
        <v>1252</v>
      </c>
      <c r="C357" t="s">
        <v>1253</v>
      </c>
      <c r="D357" t="s">
        <v>24</v>
      </c>
      <c r="E357" t="s">
        <v>38</v>
      </c>
      <c r="F357">
        <v>20</v>
      </c>
      <c r="G357" t="s">
        <v>1254</v>
      </c>
      <c r="H357">
        <v>2</v>
      </c>
      <c r="I357" s="2">
        <v>54.77</v>
      </c>
      <c r="J357">
        <v>23.38</v>
      </c>
      <c r="K357" t="s">
        <v>19</v>
      </c>
      <c r="L357" s="3">
        <v>45450</v>
      </c>
      <c r="M357" t="s">
        <v>34</v>
      </c>
      <c r="N357" s="4">
        <v>20</v>
      </c>
      <c r="O357" t="str" cm="1">
        <f t="array" ref="O35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357" t="s">
        <v>1254</v>
      </c>
      <c r="Q357" t="s">
        <v>2925</v>
      </c>
      <c r="R357" s="5">
        <v>54.77</v>
      </c>
      <c r="S357" s="5">
        <v>23.38</v>
      </c>
    </row>
    <row r="358" spans="1:19" x14ac:dyDescent="0.25">
      <c r="A358" t="s">
        <v>1255</v>
      </c>
      <c r="B358" t="s">
        <v>1256</v>
      </c>
      <c r="C358" t="s">
        <v>1257</v>
      </c>
      <c r="D358" t="s">
        <v>30</v>
      </c>
      <c r="E358" t="s">
        <v>85</v>
      </c>
      <c r="F358">
        <v>33</v>
      </c>
      <c r="G358" t="s">
        <v>1258</v>
      </c>
      <c r="H358">
        <v>1</v>
      </c>
      <c r="I358">
        <v>11.56</v>
      </c>
      <c r="J358">
        <v>5.98</v>
      </c>
      <c r="K358" t="s">
        <v>41</v>
      </c>
      <c r="L358" s="3">
        <v>44981</v>
      </c>
      <c r="M358" t="s">
        <v>34</v>
      </c>
      <c r="N358" s="4">
        <v>33</v>
      </c>
      <c r="O358" t="str" cm="1">
        <f t="array" ref="O35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58" t="s">
        <v>2948</v>
      </c>
      <c r="Q358" t="s">
        <v>2932</v>
      </c>
      <c r="R358" s="5">
        <v>11.56</v>
      </c>
      <c r="S358" s="5">
        <v>5.98</v>
      </c>
    </row>
    <row r="359" spans="1:19" x14ac:dyDescent="0.25">
      <c r="A359" t="s">
        <v>1259</v>
      </c>
      <c r="B359" t="s">
        <v>1080</v>
      </c>
      <c r="C359" s="1">
        <v>45643</v>
      </c>
      <c r="D359" t="s">
        <v>16</v>
      </c>
      <c r="E359" t="s">
        <v>132</v>
      </c>
      <c r="F359">
        <v>19</v>
      </c>
      <c r="G359" t="s">
        <v>1260</v>
      </c>
      <c r="H359">
        <v>1</v>
      </c>
      <c r="I359">
        <v>23.52</v>
      </c>
      <c r="J359">
        <v>9.75</v>
      </c>
      <c r="K359" t="s">
        <v>41</v>
      </c>
      <c r="L359" s="3">
        <v>45643</v>
      </c>
      <c r="M359" t="s">
        <v>132</v>
      </c>
      <c r="N359" s="4">
        <v>19</v>
      </c>
      <c r="O359" t="str" cm="1">
        <f t="array" ref="O35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359" t="s">
        <v>1260</v>
      </c>
      <c r="Q359" t="s">
        <v>2925</v>
      </c>
      <c r="R359" s="5">
        <v>23.52</v>
      </c>
      <c r="S359" s="5">
        <v>9.75</v>
      </c>
    </row>
    <row r="360" spans="1:19" x14ac:dyDescent="0.25">
      <c r="A360" t="s">
        <v>1261</v>
      </c>
      <c r="B360" t="s">
        <v>1262</v>
      </c>
      <c r="C360" t="s">
        <v>1263</v>
      </c>
      <c r="D360" t="s">
        <v>24</v>
      </c>
      <c r="E360" t="s">
        <v>31</v>
      </c>
      <c r="F360">
        <v>45</v>
      </c>
      <c r="G360" t="s">
        <v>1264</v>
      </c>
      <c r="H360">
        <v>1</v>
      </c>
      <c r="I360">
        <v>6.5</v>
      </c>
      <c r="J360" t="s">
        <v>914</v>
      </c>
      <c r="K360" t="s">
        <v>19</v>
      </c>
      <c r="L360" s="3">
        <v>45460</v>
      </c>
      <c r="M360" t="s">
        <v>34</v>
      </c>
      <c r="N360" s="4">
        <v>45</v>
      </c>
      <c r="O360" t="str" cm="1">
        <f t="array" ref="O36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60" t="s">
        <v>1264</v>
      </c>
      <c r="Q360" t="s">
        <v>2926</v>
      </c>
      <c r="R360" s="5">
        <v>6.5</v>
      </c>
      <c r="S360" s="5">
        <v>1.93</v>
      </c>
    </row>
    <row r="361" spans="1:19" x14ac:dyDescent="0.25">
      <c r="A361" t="s">
        <v>1265</v>
      </c>
      <c r="B361" t="s">
        <v>514</v>
      </c>
      <c r="C361" t="s">
        <v>1266</v>
      </c>
      <c r="D361" t="s">
        <v>16</v>
      </c>
      <c r="E361" t="s">
        <v>38</v>
      </c>
      <c r="F361">
        <v>15</v>
      </c>
      <c r="G361" t="s">
        <v>1267</v>
      </c>
      <c r="H361">
        <v>2</v>
      </c>
      <c r="I361" s="2">
        <v>43.53</v>
      </c>
      <c r="J361">
        <v>22.94</v>
      </c>
      <c r="K361" t="s">
        <v>19</v>
      </c>
      <c r="L361" s="3">
        <v>45574</v>
      </c>
      <c r="M361" t="s">
        <v>34</v>
      </c>
      <c r="N361" s="4">
        <v>15</v>
      </c>
      <c r="O361" t="str" cm="1">
        <f t="array" ref="O36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61" t="s">
        <v>1267</v>
      </c>
      <c r="Q361" t="s">
        <v>2925</v>
      </c>
      <c r="R361" s="5">
        <v>43.53</v>
      </c>
      <c r="S361" s="5">
        <v>22.94</v>
      </c>
    </row>
    <row r="362" spans="1:19" x14ac:dyDescent="0.25">
      <c r="A362" t="s">
        <v>1268</v>
      </c>
      <c r="B362" t="s">
        <v>1269</v>
      </c>
      <c r="C362" t="s">
        <v>1270</v>
      </c>
      <c r="D362" t="s">
        <v>24</v>
      </c>
      <c r="E362" t="s">
        <v>60</v>
      </c>
      <c r="F362">
        <v>17</v>
      </c>
      <c r="G362" t="s">
        <v>1271</v>
      </c>
      <c r="H362">
        <v>6</v>
      </c>
      <c r="I362">
        <v>151.43</v>
      </c>
      <c r="J362">
        <v>65.27</v>
      </c>
      <c r="K362" t="s">
        <v>19</v>
      </c>
      <c r="L362" s="3">
        <v>44987</v>
      </c>
      <c r="M362" t="s">
        <v>48</v>
      </c>
      <c r="N362" s="4">
        <v>17</v>
      </c>
      <c r="O362" t="str" cm="1">
        <f t="array" ref="O36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62" t="s">
        <v>1271</v>
      </c>
      <c r="Q362" t="s">
        <v>2926</v>
      </c>
      <c r="R362" s="5">
        <v>151.43</v>
      </c>
      <c r="S362" s="5">
        <v>65.27</v>
      </c>
    </row>
    <row r="363" spans="1:19" x14ac:dyDescent="0.25">
      <c r="A363" t="s">
        <v>1272</v>
      </c>
      <c r="B363" t="s">
        <v>1273</v>
      </c>
      <c r="C363" s="1">
        <v>45081</v>
      </c>
      <c r="D363" t="s">
        <v>30</v>
      </c>
      <c r="E363" t="s">
        <v>65</v>
      </c>
      <c r="F363" t="s">
        <v>25</v>
      </c>
      <c r="G363" t="s">
        <v>1274</v>
      </c>
      <c r="H363">
        <v>-1</v>
      </c>
      <c r="I363">
        <v>-17.34</v>
      </c>
      <c r="J363">
        <v>-9.01</v>
      </c>
      <c r="K363" t="s">
        <v>41</v>
      </c>
      <c r="L363" s="3">
        <v>45081</v>
      </c>
      <c r="M363" t="s">
        <v>48</v>
      </c>
      <c r="N363" s="4"/>
      <c r="O363" t="str" cm="1">
        <f t="array" ref="O36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363" t="s">
        <v>2949</v>
      </c>
      <c r="Q363" t="s">
        <v>2932</v>
      </c>
      <c r="R363" s="5">
        <v>-17.34</v>
      </c>
      <c r="S363" s="5">
        <v>-9.01</v>
      </c>
    </row>
    <row r="364" spans="1:19" x14ac:dyDescent="0.25">
      <c r="A364" t="s">
        <v>1275</v>
      </c>
      <c r="B364" t="s">
        <v>1276</v>
      </c>
      <c r="C364" s="1">
        <v>45560</v>
      </c>
      <c r="D364" t="s">
        <v>30</v>
      </c>
      <c r="E364" t="s">
        <v>85</v>
      </c>
      <c r="F364">
        <v>36</v>
      </c>
      <c r="G364" t="s">
        <v>1277</v>
      </c>
      <c r="H364">
        <v>1</v>
      </c>
      <c r="I364">
        <v>12.38</v>
      </c>
      <c r="J364">
        <v>3.49</v>
      </c>
      <c r="K364" t="s">
        <v>19</v>
      </c>
      <c r="L364" s="3">
        <v>45560</v>
      </c>
      <c r="M364" t="s">
        <v>34</v>
      </c>
      <c r="N364" s="4">
        <v>36</v>
      </c>
      <c r="O364" t="str" cm="1">
        <f t="array" ref="O36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64" t="s">
        <v>1277</v>
      </c>
      <c r="Q364" t="s">
        <v>2927</v>
      </c>
      <c r="R364" s="5">
        <v>12.38</v>
      </c>
      <c r="S364" s="5">
        <v>3.49</v>
      </c>
    </row>
    <row r="365" spans="1:19" x14ac:dyDescent="0.25">
      <c r="A365" t="s">
        <v>1278</v>
      </c>
      <c r="B365" t="s">
        <v>461</v>
      </c>
      <c r="C365" s="3">
        <v>45371</v>
      </c>
      <c r="D365" t="s">
        <v>129</v>
      </c>
      <c r="E365" t="s">
        <v>70</v>
      </c>
      <c r="F365">
        <v>48</v>
      </c>
      <c r="G365" t="s">
        <v>1279</v>
      </c>
      <c r="H365">
        <v>1</v>
      </c>
      <c r="I365" s="2">
        <v>7.62</v>
      </c>
      <c r="J365" t="s">
        <v>1280</v>
      </c>
      <c r="K365" t="s">
        <v>41</v>
      </c>
      <c r="L365" s="3">
        <v>45371</v>
      </c>
      <c r="M365" t="s">
        <v>20</v>
      </c>
      <c r="N365" s="4">
        <v>48</v>
      </c>
      <c r="O365" t="str" cm="1">
        <f t="array" ref="O36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65" t="s">
        <v>112</v>
      </c>
      <c r="Q365" t="s">
        <v>2926</v>
      </c>
      <c r="R365" s="5">
        <v>7.62</v>
      </c>
      <c r="S365" s="5">
        <v>3.4</v>
      </c>
    </row>
    <row r="366" spans="1:19" x14ac:dyDescent="0.25">
      <c r="A366" t="s">
        <v>1281</v>
      </c>
      <c r="B366" t="s">
        <v>1282</v>
      </c>
      <c r="C366" s="3">
        <v>44985</v>
      </c>
      <c r="D366" t="s">
        <v>51</v>
      </c>
      <c r="E366" t="s">
        <v>31</v>
      </c>
      <c r="F366">
        <v>49</v>
      </c>
      <c r="G366" t="s">
        <v>1283</v>
      </c>
      <c r="H366">
        <v>1</v>
      </c>
      <c r="I366">
        <v>62.15</v>
      </c>
      <c r="J366">
        <v>28.09</v>
      </c>
      <c r="K366" t="s">
        <v>41</v>
      </c>
      <c r="L366" s="3">
        <v>44985</v>
      </c>
      <c r="M366" t="s">
        <v>34</v>
      </c>
      <c r="N366" s="4">
        <v>49</v>
      </c>
      <c r="O366" t="str" cm="1">
        <f t="array" ref="O36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66" t="s">
        <v>1283</v>
      </c>
      <c r="Q366" t="s">
        <v>2929</v>
      </c>
      <c r="R366" s="5">
        <v>62.15</v>
      </c>
      <c r="S366" s="5">
        <v>28.09</v>
      </c>
    </row>
    <row r="367" spans="1:19" x14ac:dyDescent="0.25">
      <c r="A367" t="s">
        <v>600</v>
      </c>
      <c r="B367" t="s">
        <v>215</v>
      </c>
      <c r="C367" s="3">
        <v>45299</v>
      </c>
      <c r="D367" t="s">
        <v>16</v>
      </c>
      <c r="E367" t="s">
        <v>38</v>
      </c>
      <c r="F367">
        <v>40</v>
      </c>
      <c r="G367" t="s">
        <v>320</v>
      </c>
      <c r="H367">
        <v>1</v>
      </c>
      <c r="I367">
        <v>15.14</v>
      </c>
      <c r="J367" t="s">
        <v>601</v>
      </c>
      <c r="K367" t="s">
        <v>41</v>
      </c>
      <c r="L367" s="3">
        <v>45299</v>
      </c>
      <c r="M367" t="s">
        <v>34</v>
      </c>
      <c r="N367" s="4">
        <v>40</v>
      </c>
      <c r="O367" t="str" cm="1">
        <f t="array" ref="O36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67" t="s">
        <v>320</v>
      </c>
      <c r="Q367" t="s">
        <v>2926</v>
      </c>
      <c r="R367" s="5">
        <v>15.14</v>
      </c>
      <c r="S367" s="5">
        <v>3.62</v>
      </c>
    </row>
    <row r="368" spans="1:19" x14ac:dyDescent="0.25">
      <c r="A368" t="s">
        <v>1284</v>
      </c>
      <c r="B368" t="s">
        <v>1285</v>
      </c>
      <c r="C368" s="1">
        <v>45140</v>
      </c>
      <c r="D368" t="s">
        <v>16</v>
      </c>
      <c r="E368" t="s">
        <v>31</v>
      </c>
      <c r="F368">
        <v>70</v>
      </c>
      <c r="G368" t="s">
        <v>1286</v>
      </c>
      <c r="H368">
        <v>2</v>
      </c>
      <c r="I368">
        <v>26.81</v>
      </c>
      <c r="J368">
        <v>9.92</v>
      </c>
      <c r="K368" t="s">
        <v>41</v>
      </c>
      <c r="L368" s="3">
        <v>45140</v>
      </c>
      <c r="M368" t="s">
        <v>34</v>
      </c>
      <c r="N368" s="4">
        <v>70</v>
      </c>
      <c r="O368" t="str" cm="1">
        <f t="array" ref="O36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68" t="s">
        <v>1286</v>
      </c>
      <c r="Q368" t="s">
        <v>2939</v>
      </c>
      <c r="R368" s="5">
        <v>26.81</v>
      </c>
      <c r="S368" s="5">
        <v>9.92</v>
      </c>
    </row>
    <row r="369" spans="1:19" x14ac:dyDescent="0.25">
      <c r="A369" t="s">
        <v>1287</v>
      </c>
      <c r="B369" t="s">
        <v>1288</v>
      </c>
      <c r="C369" s="1">
        <v>45108</v>
      </c>
      <c r="D369" t="s">
        <v>129</v>
      </c>
      <c r="E369" t="s">
        <v>132</v>
      </c>
      <c r="F369">
        <v>42</v>
      </c>
      <c r="G369" t="s">
        <v>887</v>
      </c>
      <c r="H369">
        <v>-5</v>
      </c>
      <c r="I369">
        <v>-52.03</v>
      </c>
      <c r="J369">
        <v>-27.93</v>
      </c>
      <c r="K369" t="s">
        <v>19</v>
      </c>
      <c r="L369" s="3">
        <v>45108</v>
      </c>
      <c r="M369" t="s">
        <v>132</v>
      </c>
      <c r="N369" s="4">
        <v>42</v>
      </c>
      <c r="O369" t="str" cm="1">
        <f t="array" ref="O36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69" t="s">
        <v>887</v>
      </c>
      <c r="Q369" t="s">
        <v>2929</v>
      </c>
      <c r="R369" s="5">
        <v>-52.03</v>
      </c>
      <c r="S369" s="5">
        <v>-27.93</v>
      </c>
    </row>
    <row r="370" spans="1:19" x14ac:dyDescent="0.25">
      <c r="A370" t="s">
        <v>1289</v>
      </c>
      <c r="B370" t="s">
        <v>1290</v>
      </c>
      <c r="C370" s="3">
        <v>45065</v>
      </c>
      <c r="D370" t="s">
        <v>16</v>
      </c>
      <c r="E370" t="s">
        <v>132</v>
      </c>
      <c r="F370">
        <v>61</v>
      </c>
      <c r="G370" t="s">
        <v>1291</v>
      </c>
      <c r="H370">
        <v>5</v>
      </c>
      <c r="I370" s="2">
        <v>139.93</v>
      </c>
      <c r="K370" t="s">
        <v>41</v>
      </c>
      <c r="L370" s="3">
        <v>45065</v>
      </c>
      <c r="M370" t="s">
        <v>132</v>
      </c>
      <c r="N370" s="4">
        <v>61</v>
      </c>
      <c r="O370" t="str" cm="1">
        <f t="array" ref="O37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70" t="s">
        <v>1291</v>
      </c>
      <c r="Q370" t="s">
        <v>2926</v>
      </c>
      <c r="R370" s="5">
        <v>139.93</v>
      </c>
      <c r="S370" s="5"/>
    </row>
    <row r="371" spans="1:19" x14ac:dyDescent="0.25">
      <c r="A371" t="s">
        <v>1292</v>
      </c>
      <c r="B371" t="s">
        <v>1293</v>
      </c>
      <c r="C371" s="3">
        <v>45139</v>
      </c>
      <c r="D371" t="s">
        <v>30</v>
      </c>
      <c r="E371" t="s">
        <v>38</v>
      </c>
      <c r="F371" t="s">
        <v>435</v>
      </c>
      <c r="G371" t="s">
        <v>1294</v>
      </c>
      <c r="H371">
        <v>1</v>
      </c>
      <c r="I371" s="2">
        <v>26.11</v>
      </c>
      <c r="J371">
        <v>12.1</v>
      </c>
      <c r="K371" t="s">
        <v>41</v>
      </c>
      <c r="L371" s="3">
        <v>45139</v>
      </c>
      <c r="M371" t="s">
        <v>34</v>
      </c>
      <c r="N371" s="4"/>
      <c r="O371" t="str" cm="1">
        <f t="array" ref="O37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371" t="s">
        <v>979</v>
      </c>
      <c r="Q371" t="s">
        <v>2927</v>
      </c>
      <c r="R371" s="5">
        <v>26.11</v>
      </c>
      <c r="S371" s="5">
        <v>12.1</v>
      </c>
    </row>
    <row r="372" spans="1:19" x14ac:dyDescent="0.25">
      <c r="A372" t="s">
        <v>1295</v>
      </c>
      <c r="B372" t="s">
        <v>1296</v>
      </c>
      <c r="C372" t="s">
        <v>1297</v>
      </c>
      <c r="D372" t="s">
        <v>30</v>
      </c>
      <c r="E372" t="s">
        <v>85</v>
      </c>
      <c r="F372">
        <v>32</v>
      </c>
      <c r="G372" t="s">
        <v>1298</v>
      </c>
      <c r="H372">
        <v>3</v>
      </c>
      <c r="I372">
        <v>68.760000000000005</v>
      </c>
      <c r="J372" t="s">
        <v>1299</v>
      </c>
      <c r="K372" t="s">
        <v>41</v>
      </c>
      <c r="L372" s="3">
        <v>45654</v>
      </c>
      <c r="M372" t="s">
        <v>34</v>
      </c>
      <c r="N372" s="4">
        <v>32</v>
      </c>
      <c r="O372" t="str" cm="1">
        <f t="array" ref="O37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72" t="s">
        <v>1298</v>
      </c>
      <c r="Q372" t="s">
        <v>2929</v>
      </c>
      <c r="R372" s="5">
        <v>68.760000000000005</v>
      </c>
      <c r="S372" s="5">
        <v>29.16</v>
      </c>
    </row>
    <row r="373" spans="1:19" x14ac:dyDescent="0.25">
      <c r="A373" t="s">
        <v>1300</v>
      </c>
      <c r="B373" t="s">
        <v>776</v>
      </c>
      <c r="C373" t="s">
        <v>1301</v>
      </c>
      <c r="D373" t="s">
        <v>30</v>
      </c>
      <c r="E373" t="s">
        <v>70</v>
      </c>
      <c r="F373">
        <v>73</v>
      </c>
      <c r="G373" t="s">
        <v>1302</v>
      </c>
      <c r="H373">
        <v>2</v>
      </c>
      <c r="I373">
        <v>41.94</v>
      </c>
      <c r="J373">
        <v>19.600000000000001</v>
      </c>
      <c r="K373" t="s">
        <v>19</v>
      </c>
      <c r="L373" s="3">
        <v>45202</v>
      </c>
      <c r="M373" t="s">
        <v>20</v>
      </c>
      <c r="N373" s="4">
        <v>73</v>
      </c>
      <c r="O373" t="str" cm="1">
        <f t="array" ref="O37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73" t="s">
        <v>2950</v>
      </c>
      <c r="Q373" t="s">
        <v>2932</v>
      </c>
      <c r="R373" s="5">
        <v>41.94</v>
      </c>
      <c r="S373" s="5">
        <v>19.600000000000001</v>
      </c>
    </row>
    <row r="374" spans="1:19" x14ac:dyDescent="0.25">
      <c r="A374" t="s">
        <v>1303</v>
      </c>
      <c r="B374" t="s">
        <v>539</v>
      </c>
      <c r="C374" s="3">
        <v>45091</v>
      </c>
      <c r="D374" t="s">
        <v>30</v>
      </c>
      <c r="E374" t="s">
        <v>85</v>
      </c>
      <c r="F374">
        <v>51</v>
      </c>
      <c r="G374" t="s">
        <v>81</v>
      </c>
      <c r="H374">
        <v>1</v>
      </c>
      <c r="I374">
        <v>34.43</v>
      </c>
      <c r="J374" t="s">
        <v>1304</v>
      </c>
      <c r="K374" t="s">
        <v>41</v>
      </c>
      <c r="L374" s="3">
        <v>45091</v>
      </c>
      <c r="M374" t="s">
        <v>34</v>
      </c>
      <c r="N374" s="4">
        <v>51</v>
      </c>
      <c r="O374" t="str" cm="1">
        <f t="array" ref="O37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74" t="s">
        <v>81</v>
      </c>
      <c r="Q374" t="s">
        <v>2929</v>
      </c>
      <c r="R374" s="5">
        <v>34.43</v>
      </c>
      <c r="S374" s="5">
        <v>15.4</v>
      </c>
    </row>
    <row r="375" spans="1:19" x14ac:dyDescent="0.25">
      <c r="A375" t="s">
        <v>1305</v>
      </c>
      <c r="B375" t="s">
        <v>1306</v>
      </c>
      <c r="C375" t="s">
        <v>1307</v>
      </c>
      <c r="D375" t="s">
        <v>30</v>
      </c>
      <c r="E375" t="s">
        <v>48</v>
      </c>
      <c r="F375">
        <v>14</v>
      </c>
      <c r="G375" t="s">
        <v>1308</v>
      </c>
      <c r="H375">
        <v>2</v>
      </c>
      <c r="I375" t="s">
        <v>1309</v>
      </c>
      <c r="J375">
        <v>16.510000000000002</v>
      </c>
      <c r="K375" t="s">
        <v>41</v>
      </c>
      <c r="L375" s="3">
        <v>45134</v>
      </c>
      <c r="M375" t="s">
        <v>48</v>
      </c>
      <c r="N375" s="4">
        <v>14</v>
      </c>
      <c r="O375" t="str" cm="1">
        <f t="array" ref="O37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75" t="s">
        <v>1724</v>
      </c>
      <c r="Q375" t="s">
        <v>2929</v>
      </c>
      <c r="R375" s="5">
        <v>52.68</v>
      </c>
      <c r="S375" s="5">
        <v>16.510000000000002</v>
      </c>
    </row>
    <row r="376" spans="1:19" x14ac:dyDescent="0.25">
      <c r="A376" t="s">
        <v>1310</v>
      </c>
      <c r="B376" t="s">
        <v>1311</v>
      </c>
      <c r="C376" s="1">
        <v>45411</v>
      </c>
      <c r="D376" t="s">
        <v>24</v>
      </c>
      <c r="E376" t="s">
        <v>85</v>
      </c>
      <c r="F376">
        <v>23</v>
      </c>
      <c r="G376" t="s">
        <v>416</v>
      </c>
      <c r="H376">
        <v>1</v>
      </c>
      <c r="I376">
        <v>25.37</v>
      </c>
      <c r="J376" t="s">
        <v>1312</v>
      </c>
      <c r="K376" t="s">
        <v>19</v>
      </c>
      <c r="L376" s="3">
        <v>45411</v>
      </c>
      <c r="M376" t="s">
        <v>34</v>
      </c>
      <c r="N376" s="4">
        <v>23</v>
      </c>
      <c r="O376" t="str" cm="1">
        <f t="array" ref="O37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376" t="s">
        <v>416</v>
      </c>
      <c r="Q376" t="s">
        <v>2926</v>
      </c>
      <c r="R376" s="5">
        <v>25.37</v>
      </c>
      <c r="S376" s="5">
        <v>9.3800000000000008</v>
      </c>
    </row>
    <row r="377" spans="1:19" x14ac:dyDescent="0.25">
      <c r="A377" t="s">
        <v>1313</v>
      </c>
      <c r="B377" t="s">
        <v>469</v>
      </c>
      <c r="C377" s="1">
        <v>45152</v>
      </c>
      <c r="D377" t="s">
        <v>30</v>
      </c>
      <c r="E377" t="s">
        <v>45</v>
      </c>
      <c r="F377">
        <v>32</v>
      </c>
      <c r="G377" t="s">
        <v>1314</v>
      </c>
      <c r="H377">
        <v>2</v>
      </c>
      <c r="I377">
        <v>39.22</v>
      </c>
      <c r="J377" t="s">
        <v>1315</v>
      </c>
      <c r="K377" t="s">
        <v>19</v>
      </c>
      <c r="L377" s="3">
        <v>45152</v>
      </c>
      <c r="M377" t="s">
        <v>48</v>
      </c>
      <c r="N377" s="4">
        <v>32</v>
      </c>
      <c r="O377" t="str" cm="1">
        <f t="array" ref="O37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77" t="s">
        <v>1314</v>
      </c>
      <c r="Q377" t="s">
        <v>2926</v>
      </c>
      <c r="R377" s="5">
        <v>39.22</v>
      </c>
      <c r="S377" s="5">
        <v>17.18</v>
      </c>
    </row>
    <row r="378" spans="1:19" x14ac:dyDescent="0.25">
      <c r="A378" t="s">
        <v>1316</v>
      </c>
      <c r="B378" t="s">
        <v>487</v>
      </c>
      <c r="C378" s="1">
        <v>45401</v>
      </c>
      <c r="D378" t="s">
        <v>129</v>
      </c>
      <c r="E378" t="s">
        <v>31</v>
      </c>
      <c r="F378">
        <v>27</v>
      </c>
      <c r="G378" t="s">
        <v>887</v>
      </c>
      <c r="H378">
        <v>1</v>
      </c>
      <c r="I378">
        <v>15.8</v>
      </c>
      <c r="J378" t="s">
        <v>1317</v>
      </c>
      <c r="K378" t="s">
        <v>19</v>
      </c>
      <c r="L378" s="3">
        <v>45401</v>
      </c>
      <c r="M378" t="s">
        <v>34</v>
      </c>
      <c r="N378" s="4">
        <v>27</v>
      </c>
      <c r="O378" t="str" cm="1">
        <f t="array" ref="O37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78" t="s">
        <v>887</v>
      </c>
      <c r="Q378" t="s">
        <v>2929</v>
      </c>
      <c r="R378" s="5">
        <v>15.8</v>
      </c>
      <c r="S378" s="5">
        <v>5.6</v>
      </c>
    </row>
    <row r="379" spans="1:19" x14ac:dyDescent="0.25">
      <c r="A379" t="s">
        <v>1318</v>
      </c>
      <c r="B379" t="s">
        <v>1319</v>
      </c>
      <c r="C379" s="1">
        <v>45092</v>
      </c>
      <c r="D379" t="s">
        <v>24</v>
      </c>
      <c r="E379" t="s">
        <v>38</v>
      </c>
      <c r="F379">
        <v>62</v>
      </c>
      <c r="G379" t="s">
        <v>1320</v>
      </c>
      <c r="H379">
        <v>2</v>
      </c>
      <c r="I379" s="2">
        <v>58.68</v>
      </c>
      <c r="J379" t="s">
        <v>1321</v>
      </c>
      <c r="K379" t="s">
        <v>19</v>
      </c>
      <c r="L379" s="3">
        <v>45092</v>
      </c>
      <c r="M379" t="s">
        <v>34</v>
      </c>
      <c r="N379" s="4">
        <v>62</v>
      </c>
      <c r="O379" t="str" cm="1">
        <f t="array" ref="O37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79" t="s">
        <v>1320</v>
      </c>
      <c r="Q379" t="s">
        <v>2927</v>
      </c>
      <c r="R379" s="5">
        <v>58.68</v>
      </c>
      <c r="S379" s="5">
        <v>22.03</v>
      </c>
    </row>
    <row r="380" spans="1:19" x14ac:dyDescent="0.25">
      <c r="A380" t="s">
        <v>1322</v>
      </c>
      <c r="B380" t="s">
        <v>237</v>
      </c>
      <c r="C380" t="s">
        <v>1323</v>
      </c>
      <c r="D380" t="s">
        <v>129</v>
      </c>
      <c r="E380" t="s">
        <v>25</v>
      </c>
      <c r="F380">
        <v>50</v>
      </c>
      <c r="G380" t="s">
        <v>1324</v>
      </c>
      <c r="H380">
        <v>1</v>
      </c>
      <c r="I380">
        <v>7.93</v>
      </c>
      <c r="J380">
        <v>2.58</v>
      </c>
      <c r="K380" t="s">
        <v>19</v>
      </c>
      <c r="L380" s="3">
        <v>45195</v>
      </c>
      <c r="M380" t="s">
        <v>20</v>
      </c>
      <c r="N380" s="4">
        <v>50</v>
      </c>
      <c r="O380" t="str" cm="1">
        <f t="array" ref="O38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80" t="s">
        <v>1324</v>
      </c>
      <c r="Q380" t="s">
        <v>2926</v>
      </c>
      <c r="R380" s="5">
        <v>7.93</v>
      </c>
      <c r="S380" s="5">
        <v>2.58</v>
      </c>
    </row>
    <row r="381" spans="1:19" x14ac:dyDescent="0.25">
      <c r="A381" t="s">
        <v>1325</v>
      </c>
      <c r="B381" t="s">
        <v>924</v>
      </c>
      <c r="C381" s="1">
        <v>45061</v>
      </c>
      <c r="D381" t="s">
        <v>24</v>
      </c>
      <c r="E381" t="s">
        <v>132</v>
      </c>
      <c r="F381">
        <v>24</v>
      </c>
      <c r="G381" t="s">
        <v>1326</v>
      </c>
      <c r="H381">
        <v>2</v>
      </c>
      <c r="I381">
        <v>42.72</v>
      </c>
      <c r="J381">
        <v>14.48</v>
      </c>
      <c r="K381" t="s">
        <v>19</v>
      </c>
      <c r="L381" s="3">
        <v>45061</v>
      </c>
      <c r="M381" t="s">
        <v>132</v>
      </c>
      <c r="N381" s="4">
        <v>24</v>
      </c>
      <c r="O381" t="str" cm="1">
        <f t="array" ref="O38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381" t="s">
        <v>1326</v>
      </c>
      <c r="Q381" t="s">
        <v>2931</v>
      </c>
      <c r="R381" s="5">
        <v>42.72</v>
      </c>
      <c r="S381" s="5">
        <v>14.48</v>
      </c>
    </row>
    <row r="382" spans="1:19" x14ac:dyDescent="0.25">
      <c r="A382" t="s">
        <v>1327</v>
      </c>
      <c r="B382" t="s">
        <v>803</v>
      </c>
      <c r="C382" t="s">
        <v>1328</v>
      </c>
      <c r="D382" t="s">
        <v>30</v>
      </c>
      <c r="E382" t="s">
        <v>34</v>
      </c>
      <c r="F382">
        <v>68</v>
      </c>
      <c r="G382" t="s">
        <v>1329</v>
      </c>
      <c r="H382">
        <v>1</v>
      </c>
      <c r="I382">
        <v>23.49</v>
      </c>
      <c r="J382">
        <v>11.52</v>
      </c>
      <c r="K382" t="s">
        <v>19</v>
      </c>
      <c r="L382" s="3">
        <v>45114</v>
      </c>
      <c r="M382" t="s">
        <v>34</v>
      </c>
      <c r="N382" s="4">
        <v>68</v>
      </c>
      <c r="O382" t="str" cm="1">
        <f t="array" ref="O38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82" t="s">
        <v>1329</v>
      </c>
      <c r="Q382" t="s">
        <v>2925</v>
      </c>
      <c r="R382" s="5">
        <v>23.49</v>
      </c>
      <c r="S382" s="5">
        <v>11.52</v>
      </c>
    </row>
    <row r="383" spans="1:19" x14ac:dyDescent="0.25">
      <c r="A383" t="s">
        <v>1330</v>
      </c>
      <c r="B383" t="s">
        <v>546</v>
      </c>
      <c r="C383" t="s">
        <v>1331</v>
      </c>
      <c r="D383" t="s">
        <v>51</v>
      </c>
      <c r="E383" t="s">
        <v>85</v>
      </c>
      <c r="F383">
        <v>20</v>
      </c>
      <c r="G383" t="s">
        <v>1332</v>
      </c>
      <c r="H383">
        <v>1</v>
      </c>
      <c r="I383">
        <v>9.6199999999999992</v>
      </c>
      <c r="J383">
        <v>4.04</v>
      </c>
      <c r="K383" t="s">
        <v>41</v>
      </c>
      <c r="L383" s="3">
        <v>45009</v>
      </c>
      <c r="M383" t="s">
        <v>34</v>
      </c>
      <c r="N383" s="4">
        <v>20</v>
      </c>
      <c r="O383" t="str" cm="1">
        <f t="array" ref="O38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383" t="s">
        <v>1332</v>
      </c>
      <c r="Q383" t="s">
        <v>2927</v>
      </c>
      <c r="R383" s="5">
        <v>9.6199999999999992</v>
      </c>
      <c r="S383" s="5">
        <v>4.04</v>
      </c>
    </row>
    <row r="384" spans="1:19" x14ac:dyDescent="0.25">
      <c r="A384" t="s">
        <v>1333</v>
      </c>
      <c r="B384" t="s">
        <v>514</v>
      </c>
      <c r="C384" t="s">
        <v>1334</v>
      </c>
      <c r="D384" t="s">
        <v>16</v>
      </c>
      <c r="E384" t="s">
        <v>38</v>
      </c>
      <c r="F384">
        <v>33</v>
      </c>
      <c r="G384" t="s">
        <v>860</v>
      </c>
      <c r="H384">
        <v>4</v>
      </c>
      <c r="J384" s="2">
        <v>11.46</v>
      </c>
      <c r="K384" t="s">
        <v>41</v>
      </c>
      <c r="L384" s="3">
        <v>45180</v>
      </c>
      <c r="M384" t="s">
        <v>34</v>
      </c>
      <c r="N384" s="4">
        <v>33</v>
      </c>
      <c r="O384" t="str" cm="1">
        <f t="array" ref="O38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384" t="s">
        <v>860</v>
      </c>
      <c r="Q384" t="s">
        <v>2926</v>
      </c>
      <c r="R384" s="5"/>
      <c r="S384" s="5">
        <v>11.46</v>
      </c>
    </row>
    <row r="385" spans="1:19" x14ac:dyDescent="0.25">
      <c r="A385" t="s">
        <v>1335</v>
      </c>
      <c r="B385" t="s">
        <v>1336</v>
      </c>
      <c r="C385" t="s">
        <v>1337</v>
      </c>
      <c r="D385" t="s">
        <v>16</v>
      </c>
      <c r="E385" t="s">
        <v>45</v>
      </c>
      <c r="F385">
        <v>35</v>
      </c>
      <c r="G385" t="s">
        <v>192</v>
      </c>
      <c r="H385">
        <v>2</v>
      </c>
      <c r="I385">
        <v>24.6</v>
      </c>
      <c r="J385">
        <v>10.68</v>
      </c>
      <c r="K385" t="s">
        <v>19</v>
      </c>
      <c r="L385" s="3">
        <v>45090</v>
      </c>
      <c r="M385" t="s">
        <v>48</v>
      </c>
      <c r="N385" s="4">
        <v>35</v>
      </c>
      <c r="O385" t="str" cm="1">
        <f t="array" ref="O38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85" t="s">
        <v>192</v>
      </c>
      <c r="Q385" t="s">
        <v>2929</v>
      </c>
      <c r="R385" s="5">
        <v>24.6</v>
      </c>
      <c r="S385" s="5">
        <v>10.68</v>
      </c>
    </row>
    <row r="386" spans="1:19" x14ac:dyDescent="0.25">
      <c r="A386" t="s">
        <v>1338</v>
      </c>
      <c r="B386" t="s">
        <v>1339</v>
      </c>
      <c r="C386" t="s">
        <v>1340</v>
      </c>
      <c r="D386" t="s">
        <v>129</v>
      </c>
      <c r="E386" t="s">
        <v>31</v>
      </c>
      <c r="F386">
        <v>51</v>
      </c>
      <c r="G386" t="s">
        <v>1341</v>
      </c>
      <c r="H386">
        <v>1</v>
      </c>
      <c r="I386">
        <v>20.329999999999998</v>
      </c>
      <c r="J386" t="s">
        <v>1342</v>
      </c>
      <c r="K386" t="s">
        <v>19</v>
      </c>
      <c r="L386" s="3">
        <v>45097</v>
      </c>
      <c r="M386" t="s">
        <v>34</v>
      </c>
      <c r="N386" s="4">
        <v>51</v>
      </c>
      <c r="O386" t="str" cm="1">
        <f t="array" ref="O38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86" t="s">
        <v>1341</v>
      </c>
      <c r="Q386" t="s">
        <v>2926</v>
      </c>
      <c r="R386" s="5">
        <v>20.329999999999998</v>
      </c>
      <c r="S386" s="5">
        <v>7.24</v>
      </c>
    </row>
    <row r="387" spans="1:19" x14ac:dyDescent="0.25">
      <c r="A387" t="s">
        <v>1343</v>
      </c>
      <c r="B387" t="s">
        <v>1344</v>
      </c>
      <c r="C387" t="s">
        <v>1345</v>
      </c>
      <c r="D387" t="s">
        <v>24</v>
      </c>
      <c r="E387" t="s">
        <v>48</v>
      </c>
      <c r="F387">
        <v>14</v>
      </c>
      <c r="G387" t="s">
        <v>1346</v>
      </c>
      <c r="H387">
        <v>-1</v>
      </c>
      <c r="I387">
        <v>-14.33</v>
      </c>
      <c r="J387">
        <v>-6.12</v>
      </c>
      <c r="K387" t="s">
        <v>19</v>
      </c>
      <c r="L387" s="3">
        <v>44972</v>
      </c>
      <c r="M387" t="s">
        <v>48</v>
      </c>
      <c r="N387" s="4">
        <v>14</v>
      </c>
      <c r="O387" t="str" cm="1">
        <f t="array" ref="O38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87" t="s">
        <v>2225</v>
      </c>
      <c r="Q387" t="s">
        <v>2931</v>
      </c>
      <c r="R387" s="5">
        <v>-14.33</v>
      </c>
      <c r="S387" s="5">
        <v>-6.12</v>
      </c>
    </row>
    <row r="388" spans="1:19" x14ac:dyDescent="0.25">
      <c r="A388" t="s">
        <v>1347</v>
      </c>
      <c r="B388" t="s">
        <v>585</v>
      </c>
      <c r="C388" s="1">
        <v>45129</v>
      </c>
      <c r="D388" t="s">
        <v>24</v>
      </c>
      <c r="E388" t="s">
        <v>85</v>
      </c>
      <c r="F388">
        <v>65</v>
      </c>
      <c r="G388" t="s">
        <v>1348</v>
      </c>
      <c r="H388">
        <v>2</v>
      </c>
      <c r="I388" t="s">
        <v>1349</v>
      </c>
      <c r="J388">
        <v>23.55</v>
      </c>
      <c r="K388" t="s">
        <v>41</v>
      </c>
      <c r="L388" s="3">
        <v>45129</v>
      </c>
      <c r="M388" t="s">
        <v>34</v>
      </c>
      <c r="N388" s="4">
        <v>65</v>
      </c>
      <c r="O388" t="str" cm="1">
        <f t="array" ref="O38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88" t="s">
        <v>1348</v>
      </c>
      <c r="Q388" t="s">
        <v>2927</v>
      </c>
      <c r="R388" s="5">
        <v>54.43</v>
      </c>
      <c r="S388" s="5">
        <v>23.55</v>
      </c>
    </row>
    <row r="389" spans="1:19" x14ac:dyDescent="0.25">
      <c r="A389" t="s">
        <v>1350</v>
      </c>
      <c r="B389" t="s">
        <v>1273</v>
      </c>
      <c r="C389" t="s">
        <v>1351</v>
      </c>
      <c r="D389" t="s">
        <v>16</v>
      </c>
      <c r="E389" t="s">
        <v>48</v>
      </c>
      <c r="F389">
        <v>59</v>
      </c>
      <c r="G389" t="s">
        <v>1352</v>
      </c>
      <c r="H389">
        <v>5</v>
      </c>
      <c r="I389">
        <v>96.27</v>
      </c>
      <c r="J389">
        <v>45.59</v>
      </c>
      <c r="K389" t="s">
        <v>41</v>
      </c>
      <c r="L389" s="3">
        <v>45227</v>
      </c>
      <c r="M389" t="s">
        <v>48</v>
      </c>
      <c r="N389" s="4">
        <v>59</v>
      </c>
      <c r="O389" t="str" cm="1">
        <f t="array" ref="O38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89" t="s">
        <v>1352</v>
      </c>
      <c r="Q389" t="s">
        <v>2929</v>
      </c>
      <c r="R389" s="5">
        <v>96.27</v>
      </c>
      <c r="S389" s="5">
        <v>45.59</v>
      </c>
    </row>
    <row r="390" spans="1:19" x14ac:dyDescent="0.25">
      <c r="A390" t="s">
        <v>1353</v>
      </c>
      <c r="B390" t="s">
        <v>1354</v>
      </c>
      <c r="C390" t="s">
        <v>1355</v>
      </c>
      <c r="D390" t="s">
        <v>51</v>
      </c>
      <c r="E390" t="s">
        <v>1356</v>
      </c>
      <c r="F390">
        <v>66</v>
      </c>
      <c r="G390" t="s">
        <v>1357</v>
      </c>
      <c r="H390">
        <v>6</v>
      </c>
      <c r="I390">
        <v>173.7</v>
      </c>
      <c r="J390">
        <v>59.09</v>
      </c>
      <c r="K390" t="s">
        <v>19</v>
      </c>
      <c r="L390" s="3">
        <v>45365</v>
      </c>
      <c r="M390" t="s">
        <v>34</v>
      </c>
      <c r="N390" s="4">
        <v>66</v>
      </c>
      <c r="O390" t="str" cm="1">
        <f t="array" ref="O39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90" t="s">
        <v>2750</v>
      </c>
      <c r="Q390" t="s">
        <v>2926</v>
      </c>
      <c r="R390" s="5">
        <v>173.7</v>
      </c>
      <c r="S390" s="5">
        <v>59.09</v>
      </c>
    </row>
    <row r="391" spans="1:19" x14ac:dyDescent="0.25">
      <c r="A391" t="s">
        <v>1358</v>
      </c>
      <c r="B391" t="s">
        <v>1288</v>
      </c>
      <c r="C391" t="s">
        <v>1359</v>
      </c>
      <c r="D391" t="s">
        <v>51</v>
      </c>
      <c r="E391" t="s">
        <v>34</v>
      </c>
      <c r="F391">
        <v>59</v>
      </c>
      <c r="G391" t="s">
        <v>1360</v>
      </c>
      <c r="H391">
        <v>6</v>
      </c>
      <c r="I391" s="2">
        <v>364.3</v>
      </c>
      <c r="J391" t="s">
        <v>1361</v>
      </c>
      <c r="K391" t="s">
        <v>19</v>
      </c>
      <c r="L391" s="3">
        <v>45651</v>
      </c>
      <c r="M391" t="s">
        <v>34</v>
      </c>
      <c r="N391" s="4">
        <v>59</v>
      </c>
      <c r="O391" t="str" cm="1">
        <f t="array" ref="O39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91" t="s">
        <v>1360</v>
      </c>
      <c r="Q391" t="s">
        <v>2931</v>
      </c>
      <c r="R391" s="5">
        <v>364.3</v>
      </c>
      <c r="S391" s="5">
        <v>131.35</v>
      </c>
    </row>
    <row r="392" spans="1:19" x14ac:dyDescent="0.25">
      <c r="A392" t="s">
        <v>1362</v>
      </c>
      <c r="B392" t="s">
        <v>981</v>
      </c>
      <c r="C392" t="s">
        <v>1363</v>
      </c>
      <c r="D392" t="s">
        <v>51</v>
      </c>
      <c r="E392" t="s">
        <v>45</v>
      </c>
      <c r="F392">
        <v>66</v>
      </c>
      <c r="G392" t="s">
        <v>186</v>
      </c>
      <c r="H392">
        <v>2</v>
      </c>
      <c r="I392" t="s">
        <v>1364</v>
      </c>
      <c r="J392" t="s">
        <v>1365</v>
      </c>
      <c r="K392" t="s">
        <v>41</v>
      </c>
      <c r="L392" s="3">
        <v>44997</v>
      </c>
      <c r="M392" t="s">
        <v>48</v>
      </c>
      <c r="N392" s="4">
        <v>66</v>
      </c>
      <c r="O392" t="str" cm="1">
        <f t="array" ref="O39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392" t="s">
        <v>186</v>
      </c>
      <c r="Q392" t="s">
        <v>2926</v>
      </c>
      <c r="R392" s="5">
        <v>64</v>
      </c>
      <c r="S392" s="5">
        <v>35.42</v>
      </c>
    </row>
    <row r="393" spans="1:19" x14ac:dyDescent="0.25">
      <c r="A393" t="s">
        <v>1366</v>
      </c>
      <c r="B393" t="s">
        <v>1367</v>
      </c>
      <c r="C393" s="1">
        <v>45514</v>
      </c>
      <c r="D393" t="s">
        <v>30</v>
      </c>
      <c r="E393" t="s">
        <v>132</v>
      </c>
      <c r="F393">
        <v>54</v>
      </c>
      <c r="G393" t="s">
        <v>1368</v>
      </c>
      <c r="H393">
        <v>4</v>
      </c>
      <c r="I393">
        <v>104.95</v>
      </c>
      <c r="J393">
        <v>51.39</v>
      </c>
      <c r="K393" t="s">
        <v>41</v>
      </c>
      <c r="L393" s="3">
        <v>45514</v>
      </c>
      <c r="M393" t="s">
        <v>132</v>
      </c>
      <c r="N393" s="4">
        <v>54</v>
      </c>
      <c r="O393" t="str" cm="1">
        <f t="array" ref="O39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93" t="s">
        <v>1368</v>
      </c>
      <c r="Q393" t="s">
        <v>2926</v>
      </c>
      <c r="R393" s="5">
        <v>104.95</v>
      </c>
      <c r="S393" s="5">
        <v>51.39</v>
      </c>
    </row>
    <row r="394" spans="1:19" x14ac:dyDescent="0.25">
      <c r="A394" t="s">
        <v>1369</v>
      </c>
      <c r="B394" t="s">
        <v>1233</v>
      </c>
      <c r="C394" s="1">
        <v>45246</v>
      </c>
      <c r="D394" t="s">
        <v>51</v>
      </c>
      <c r="E394" t="s">
        <v>31</v>
      </c>
      <c r="F394">
        <v>51</v>
      </c>
      <c r="G394" t="s">
        <v>1370</v>
      </c>
      <c r="H394">
        <v>1</v>
      </c>
      <c r="I394">
        <v>57.64</v>
      </c>
      <c r="J394" t="s">
        <v>1371</v>
      </c>
      <c r="K394" t="s">
        <v>41</v>
      </c>
      <c r="L394" s="3">
        <v>45246</v>
      </c>
      <c r="M394" t="s">
        <v>34</v>
      </c>
      <c r="N394" s="4">
        <v>51</v>
      </c>
      <c r="O394" t="str" cm="1">
        <f t="array" ref="O39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94" t="s">
        <v>1370</v>
      </c>
      <c r="Q394" t="s">
        <v>2925</v>
      </c>
      <c r="R394" s="5">
        <v>57.64</v>
      </c>
      <c r="S394" s="5">
        <v>17.13</v>
      </c>
    </row>
    <row r="395" spans="1:19" x14ac:dyDescent="0.25">
      <c r="A395" t="s">
        <v>1372</v>
      </c>
      <c r="B395" t="s">
        <v>266</v>
      </c>
      <c r="C395" t="s">
        <v>1373</v>
      </c>
      <c r="D395" t="s">
        <v>129</v>
      </c>
      <c r="E395" t="s">
        <v>38</v>
      </c>
      <c r="F395">
        <v>16</v>
      </c>
      <c r="G395" t="s">
        <v>1374</v>
      </c>
      <c r="H395">
        <v>3</v>
      </c>
      <c r="I395">
        <v>7.01</v>
      </c>
      <c r="J395">
        <v>3.5</v>
      </c>
      <c r="K395" t="s">
        <v>19</v>
      </c>
      <c r="L395" s="3">
        <v>45528</v>
      </c>
      <c r="M395" t="s">
        <v>34</v>
      </c>
      <c r="N395" s="4">
        <v>16</v>
      </c>
      <c r="O395" t="str" cm="1">
        <f t="array" ref="O39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395" t="s">
        <v>1374</v>
      </c>
      <c r="Q395" t="s">
        <v>2925</v>
      </c>
      <c r="R395" s="5">
        <v>7.01</v>
      </c>
      <c r="S395" s="5">
        <v>3.5</v>
      </c>
    </row>
    <row r="396" spans="1:19" x14ac:dyDescent="0.25">
      <c r="A396" t="s">
        <v>1375</v>
      </c>
      <c r="B396" t="s">
        <v>518</v>
      </c>
      <c r="C396" t="s">
        <v>1376</v>
      </c>
      <c r="D396" t="s">
        <v>51</v>
      </c>
      <c r="E396" t="s">
        <v>38</v>
      </c>
      <c r="F396">
        <v>51</v>
      </c>
      <c r="G396" t="s">
        <v>1377</v>
      </c>
      <c r="H396">
        <v>1</v>
      </c>
      <c r="I396">
        <v>67.290000000000006</v>
      </c>
      <c r="J396" t="s">
        <v>1378</v>
      </c>
      <c r="K396" t="s">
        <v>41</v>
      </c>
      <c r="L396" s="3">
        <v>45078</v>
      </c>
      <c r="M396" t="s">
        <v>34</v>
      </c>
      <c r="N396" s="4">
        <v>51</v>
      </c>
      <c r="O396" t="str" cm="1">
        <f t="array" ref="O39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96" t="s">
        <v>1377</v>
      </c>
      <c r="Q396" t="s">
        <v>2929</v>
      </c>
      <c r="R396" s="5">
        <v>67.290000000000006</v>
      </c>
      <c r="S396" s="5">
        <v>39.159999999999997</v>
      </c>
    </row>
    <row r="397" spans="1:19" x14ac:dyDescent="0.25">
      <c r="A397" t="s">
        <v>1379</v>
      </c>
      <c r="B397" t="s">
        <v>742</v>
      </c>
      <c r="C397" t="s">
        <v>750</v>
      </c>
      <c r="D397" t="s">
        <v>16</v>
      </c>
      <c r="E397" t="s">
        <v>38</v>
      </c>
      <c r="G397" t="s">
        <v>399</v>
      </c>
      <c r="H397">
        <v>1</v>
      </c>
      <c r="I397">
        <v>22.01</v>
      </c>
      <c r="J397" t="s">
        <v>1380</v>
      </c>
      <c r="K397" t="s">
        <v>41</v>
      </c>
      <c r="L397" s="3">
        <v>45482</v>
      </c>
      <c r="M397" t="s">
        <v>34</v>
      </c>
      <c r="N397" s="4"/>
      <c r="O397" t="str" cm="1">
        <f t="array" ref="O39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397" t="s">
        <v>399</v>
      </c>
      <c r="Q397" t="s">
        <v>2927</v>
      </c>
      <c r="R397" s="5">
        <v>22.01</v>
      </c>
      <c r="S397" s="5">
        <v>11.38</v>
      </c>
    </row>
    <row r="398" spans="1:19" x14ac:dyDescent="0.25">
      <c r="A398" t="s">
        <v>1381</v>
      </c>
      <c r="B398" t="s">
        <v>408</v>
      </c>
      <c r="C398" t="s">
        <v>1382</v>
      </c>
      <c r="D398" t="s">
        <v>24</v>
      </c>
      <c r="E398" t="s">
        <v>85</v>
      </c>
      <c r="F398">
        <v>40</v>
      </c>
      <c r="G398" t="s">
        <v>1383</v>
      </c>
      <c r="H398">
        <v>2</v>
      </c>
      <c r="I398">
        <v>34.049999999999997</v>
      </c>
      <c r="J398" t="s">
        <v>1384</v>
      </c>
      <c r="K398" t="s">
        <v>41</v>
      </c>
      <c r="L398" s="3">
        <v>45195</v>
      </c>
      <c r="M398" t="s">
        <v>34</v>
      </c>
      <c r="N398" s="4">
        <v>40</v>
      </c>
      <c r="O398" t="str" cm="1">
        <f t="array" ref="O39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98" t="s">
        <v>1383</v>
      </c>
      <c r="Q398" t="s">
        <v>2925</v>
      </c>
      <c r="R398" s="5">
        <v>34.049999999999997</v>
      </c>
      <c r="S398" s="5">
        <v>14.61</v>
      </c>
    </row>
    <row r="399" spans="1:19" x14ac:dyDescent="0.25">
      <c r="A399" t="s">
        <v>1385</v>
      </c>
      <c r="B399" t="s">
        <v>453</v>
      </c>
      <c r="C399" s="3">
        <v>45307</v>
      </c>
      <c r="D399" t="s">
        <v>129</v>
      </c>
      <c r="E399" t="s">
        <v>31</v>
      </c>
      <c r="F399">
        <v>42</v>
      </c>
      <c r="G399" t="s">
        <v>1386</v>
      </c>
      <c r="H399">
        <v>1</v>
      </c>
      <c r="I399">
        <v>18.21</v>
      </c>
      <c r="J399">
        <v>6.06</v>
      </c>
      <c r="K399" t="s">
        <v>19</v>
      </c>
      <c r="L399" s="3">
        <v>45307</v>
      </c>
      <c r="M399" t="s">
        <v>34</v>
      </c>
      <c r="N399" s="4">
        <v>42</v>
      </c>
      <c r="O399" t="str" cm="1">
        <f t="array" ref="O39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399" t="s">
        <v>1386</v>
      </c>
      <c r="Q399" t="s">
        <v>2926</v>
      </c>
      <c r="R399" s="5">
        <v>18.21</v>
      </c>
      <c r="S399" s="5">
        <v>6.06</v>
      </c>
    </row>
    <row r="400" spans="1:19" x14ac:dyDescent="0.25">
      <c r="A400" t="s">
        <v>1387</v>
      </c>
      <c r="B400" t="s">
        <v>941</v>
      </c>
      <c r="C400" t="s">
        <v>1388</v>
      </c>
      <c r="D400" t="s">
        <v>129</v>
      </c>
      <c r="E400" t="s">
        <v>65</v>
      </c>
      <c r="F400">
        <v>17</v>
      </c>
      <c r="G400" t="s">
        <v>597</v>
      </c>
      <c r="H400">
        <v>2</v>
      </c>
      <c r="I400" t="s">
        <v>1389</v>
      </c>
      <c r="J400">
        <v>14.15</v>
      </c>
      <c r="K400" t="s">
        <v>19</v>
      </c>
      <c r="L400" s="3">
        <v>45431</v>
      </c>
      <c r="M400" t="s">
        <v>48</v>
      </c>
      <c r="N400" s="4">
        <v>17</v>
      </c>
      <c r="O400" t="str" cm="1">
        <f t="array" ref="O40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400" t="s">
        <v>597</v>
      </c>
      <c r="Q400" t="s">
        <v>2929</v>
      </c>
      <c r="R400" s="5">
        <v>34.85</v>
      </c>
      <c r="S400" s="5">
        <v>14.15</v>
      </c>
    </row>
    <row r="401" spans="1:19" x14ac:dyDescent="0.25">
      <c r="A401" t="s">
        <v>1390</v>
      </c>
      <c r="B401" t="s">
        <v>1391</v>
      </c>
      <c r="C401" s="3">
        <v>44979</v>
      </c>
      <c r="D401" t="s">
        <v>24</v>
      </c>
      <c r="E401" t="s">
        <v>1356</v>
      </c>
      <c r="F401">
        <v>27</v>
      </c>
      <c r="G401" t="s">
        <v>1392</v>
      </c>
      <c r="H401">
        <v>2</v>
      </c>
      <c r="I401" t="s">
        <v>1393</v>
      </c>
      <c r="J401" s="2">
        <v>11.17</v>
      </c>
      <c r="K401" t="s">
        <v>19</v>
      </c>
      <c r="L401" s="3">
        <v>44979</v>
      </c>
      <c r="M401" t="s">
        <v>34</v>
      </c>
      <c r="N401" s="4">
        <v>27</v>
      </c>
      <c r="O401" t="str" cm="1">
        <f t="array" ref="O40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01" t="s">
        <v>1550</v>
      </c>
      <c r="Q401" t="s">
        <v>2925</v>
      </c>
      <c r="R401" s="5">
        <v>30.26</v>
      </c>
      <c r="S401" s="5">
        <v>11.17</v>
      </c>
    </row>
    <row r="402" spans="1:19" x14ac:dyDescent="0.25">
      <c r="A402" t="s">
        <v>1394</v>
      </c>
      <c r="B402" t="s">
        <v>896</v>
      </c>
      <c r="C402" t="s">
        <v>1395</v>
      </c>
      <c r="D402" t="s">
        <v>24</v>
      </c>
      <c r="E402" t="s">
        <v>48</v>
      </c>
      <c r="F402">
        <v>52</v>
      </c>
      <c r="G402" t="s">
        <v>1396</v>
      </c>
      <c r="H402">
        <v>6</v>
      </c>
      <c r="I402" s="2">
        <v>29.72</v>
      </c>
      <c r="J402">
        <v>17.46</v>
      </c>
      <c r="K402" t="s">
        <v>41</v>
      </c>
      <c r="L402" s="3">
        <v>44968</v>
      </c>
      <c r="M402" t="s">
        <v>48</v>
      </c>
      <c r="N402" s="4">
        <v>52</v>
      </c>
      <c r="O402" t="str" cm="1">
        <f t="array" ref="O40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02" t="s">
        <v>1396</v>
      </c>
      <c r="Q402" t="s">
        <v>2939</v>
      </c>
      <c r="R402" s="5">
        <v>29.72</v>
      </c>
      <c r="S402" s="5">
        <v>17.46</v>
      </c>
    </row>
    <row r="403" spans="1:19" x14ac:dyDescent="0.25">
      <c r="A403" t="s">
        <v>1397</v>
      </c>
      <c r="B403" t="s">
        <v>551</v>
      </c>
      <c r="C403" s="1">
        <v>45618</v>
      </c>
      <c r="D403" t="s">
        <v>129</v>
      </c>
      <c r="E403" t="s">
        <v>38</v>
      </c>
      <c r="F403">
        <v>71</v>
      </c>
      <c r="G403" t="s">
        <v>1398</v>
      </c>
      <c r="H403">
        <v>3</v>
      </c>
      <c r="I403" t="s">
        <v>1399</v>
      </c>
      <c r="J403">
        <v>23.46</v>
      </c>
      <c r="K403" t="s">
        <v>41</v>
      </c>
      <c r="L403" s="3">
        <v>45618</v>
      </c>
      <c r="M403" t="s">
        <v>34</v>
      </c>
      <c r="N403" s="4">
        <v>71</v>
      </c>
      <c r="O403" t="str" cm="1">
        <f t="array" ref="O40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03" t="s">
        <v>1186</v>
      </c>
      <c r="Q403" t="s">
        <v>2925</v>
      </c>
      <c r="R403" s="5">
        <v>68.22</v>
      </c>
      <c r="S403" s="5">
        <v>23.46</v>
      </c>
    </row>
    <row r="404" spans="1:19" x14ac:dyDescent="0.25">
      <c r="A404" t="s">
        <v>1400</v>
      </c>
      <c r="B404" t="s">
        <v>411</v>
      </c>
      <c r="C404" t="s">
        <v>169</v>
      </c>
      <c r="D404" t="s">
        <v>129</v>
      </c>
      <c r="E404" t="s">
        <v>85</v>
      </c>
      <c r="F404">
        <v>45</v>
      </c>
      <c r="G404" t="s">
        <v>1401</v>
      </c>
      <c r="H404">
        <v>1</v>
      </c>
      <c r="I404" s="2">
        <v>11.46</v>
      </c>
      <c r="J404">
        <v>4.78</v>
      </c>
      <c r="K404" t="s">
        <v>41</v>
      </c>
      <c r="L404" s="3">
        <v>45285</v>
      </c>
      <c r="M404" t="s">
        <v>34</v>
      </c>
      <c r="N404" s="4">
        <v>45</v>
      </c>
      <c r="O404" t="str" cm="1">
        <f t="array" ref="O40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04" t="s">
        <v>1401</v>
      </c>
      <c r="Q404" t="s">
        <v>2925</v>
      </c>
      <c r="R404" s="5">
        <v>11.46</v>
      </c>
      <c r="S404" s="5">
        <v>4.78</v>
      </c>
    </row>
    <row r="405" spans="1:19" x14ac:dyDescent="0.25">
      <c r="A405" t="s">
        <v>1402</v>
      </c>
      <c r="B405" t="s">
        <v>1403</v>
      </c>
      <c r="C405" s="3">
        <v>44985</v>
      </c>
      <c r="D405" t="s">
        <v>129</v>
      </c>
      <c r="E405" t="s">
        <v>31</v>
      </c>
      <c r="F405">
        <v>13</v>
      </c>
      <c r="G405" t="s">
        <v>1404</v>
      </c>
      <c r="H405">
        <v>2</v>
      </c>
      <c r="I405" t="s">
        <v>1405</v>
      </c>
      <c r="J405" t="s">
        <v>1406</v>
      </c>
      <c r="K405" t="s">
        <v>19</v>
      </c>
      <c r="L405" s="3">
        <v>44985</v>
      </c>
      <c r="M405" t="s">
        <v>34</v>
      </c>
      <c r="N405" s="4">
        <v>13</v>
      </c>
      <c r="O405" t="str" cm="1">
        <f t="array" ref="O40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405" t="s">
        <v>2106</v>
      </c>
      <c r="Q405" t="s">
        <v>2927</v>
      </c>
      <c r="R405" s="5">
        <v>12.03</v>
      </c>
      <c r="S405" s="5">
        <v>4.83</v>
      </c>
    </row>
    <row r="406" spans="1:19" x14ac:dyDescent="0.25">
      <c r="A406" t="s">
        <v>1407</v>
      </c>
      <c r="B406" t="s">
        <v>1408</v>
      </c>
      <c r="C406" t="s">
        <v>1409</v>
      </c>
      <c r="D406" t="s">
        <v>129</v>
      </c>
      <c r="G406" t="s">
        <v>1410</v>
      </c>
      <c r="H406">
        <v>2</v>
      </c>
      <c r="I406" t="s">
        <v>1411</v>
      </c>
      <c r="K406" t="s">
        <v>19</v>
      </c>
      <c r="L406" s="3">
        <v>44981</v>
      </c>
      <c r="M406" t="s">
        <v>20</v>
      </c>
      <c r="N406" s="4"/>
      <c r="O406" t="str" cm="1">
        <f t="array" ref="O40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406" t="s">
        <v>1410</v>
      </c>
      <c r="Q406" t="s">
        <v>2926</v>
      </c>
      <c r="R406" s="5">
        <v>16.12</v>
      </c>
      <c r="S406" s="5"/>
    </row>
    <row r="407" spans="1:19" x14ac:dyDescent="0.25">
      <c r="A407" t="s">
        <v>1412</v>
      </c>
      <c r="B407" t="s">
        <v>297</v>
      </c>
      <c r="C407" t="s">
        <v>1413</v>
      </c>
      <c r="D407" t="s">
        <v>129</v>
      </c>
      <c r="E407" t="s">
        <v>34</v>
      </c>
      <c r="F407">
        <v>75</v>
      </c>
      <c r="G407" t="s">
        <v>1414</v>
      </c>
      <c r="H407">
        <v>1</v>
      </c>
      <c r="I407">
        <v>7.11</v>
      </c>
      <c r="J407">
        <v>3.69</v>
      </c>
      <c r="K407" t="s">
        <v>41</v>
      </c>
      <c r="L407" s="3">
        <v>45435</v>
      </c>
      <c r="M407" t="s">
        <v>34</v>
      </c>
      <c r="N407" s="4">
        <v>75</v>
      </c>
      <c r="O407" t="str" cm="1">
        <f t="array" ref="O40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07" t="s">
        <v>1414</v>
      </c>
      <c r="Q407" t="s">
        <v>2932</v>
      </c>
      <c r="R407" s="5">
        <v>7.11</v>
      </c>
      <c r="S407" s="5">
        <v>3.69</v>
      </c>
    </row>
    <row r="408" spans="1:19" x14ac:dyDescent="0.25">
      <c r="A408" t="s">
        <v>1415</v>
      </c>
      <c r="B408" t="s">
        <v>387</v>
      </c>
      <c r="C408" t="s">
        <v>1416</v>
      </c>
      <c r="D408" t="s">
        <v>16</v>
      </c>
      <c r="E408" t="s">
        <v>65</v>
      </c>
      <c r="F408">
        <v>69</v>
      </c>
      <c r="G408" t="s">
        <v>1417</v>
      </c>
      <c r="H408">
        <v>1</v>
      </c>
      <c r="I408" t="s">
        <v>1418</v>
      </c>
      <c r="J408">
        <v>12.56</v>
      </c>
      <c r="K408" t="s">
        <v>19</v>
      </c>
      <c r="L408" s="3">
        <v>44953</v>
      </c>
      <c r="M408" t="s">
        <v>48</v>
      </c>
      <c r="N408" s="4">
        <v>69</v>
      </c>
      <c r="O408" t="str" cm="1">
        <f t="array" ref="O40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08" t="s">
        <v>1417</v>
      </c>
      <c r="Q408" t="s">
        <v>2925</v>
      </c>
      <c r="R408" s="5">
        <v>25.89</v>
      </c>
      <c r="S408" s="5">
        <v>12.56</v>
      </c>
    </row>
    <row r="409" spans="1:19" x14ac:dyDescent="0.25">
      <c r="A409" t="s">
        <v>1419</v>
      </c>
      <c r="B409" t="s">
        <v>610</v>
      </c>
      <c r="C409" t="s">
        <v>1420</v>
      </c>
      <c r="D409" t="s">
        <v>51</v>
      </c>
      <c r="E409" t="s">
        <v>38</v>
      </c>
      <c r="F409">
        <v>39</v>
      </c>
      <c r="G409" t="s">
        <v>1197</v>
      </c>
      <c r="H409">
        <v>1</v>
      </c>
      <c r="I409" s="2">
        <v>45.3</v>
      </c>
      <c r="J409">
        <v>22.61</v>
      </c>
      <c r="K409" t="s">
        <v>19</v>
      </c>
      <c r="L409" s="3">
        <v>45092</v>
      </c>
      <c r="M409" t="s">
        <v>34</v>
      </c>
      <c r="N409" s="4">
        <v>39</v>
      </c>
      <c r="O409" t="str" cm="1">
        <f t="array" ref="O40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09" t="s">
        <v>1197</v>
      </c>
      <c r="Q409" t="s">
        <v>2925</v>
      </c>
      <c r="R409" s="5">
        <v>45.3</v>
      </c>
      <c r="S409" s="5">
        <v>22.61</v>
      </c>
    </row>
    <row r="410" spans="1:19" x14ac:dyDescent="0.25">
      <c r="A410" t="s">
        <v>1421</v>
      </c>
      <c r="B410" t="s">
        <v>1422</v>
      </c>
      <c r="C410" t="s">
        <v>1423</v>
      </c>
      <c r="D410" t="s">
        <v>51</v>
      </c>
      <c r="E410" t="s">
        <v>85</v>
      </c>
      <c r="F410">
        <v>49</v>
      </c>
      <c r="G410" t="s">
        <v>1424</v>
      </c>
      <c r="H410">
        <v>2</v>
      </c>
      <c r="I410">
        <v>79.52</v>
      </c>
      <c r="J410">
        <v>41.02</v>
      </c>
      <c r="K410" t="s">
        <v>19</v>
      </c>
      <c r="L410" s="3">
        <v>45108</v>
      </c>
      <c r="M410" t="s">
        <v>34</v>
      </c>
      <c r="N410" s="4">
        <v>49</v>
      </c>
      <c r="O410" t="str" cm="1">
        <f t="array" ref="O41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10" t="s">
        <v>1424</v>
      </c>
      <c r="Q410" t="s">
        <v>2929</v>
      </c>
      <c r="R410" s="5">
        <v>79.52</v>
      </c>
      <c r="S410" s="5">
        <v>41.02</v>
      </c>
    </row>
    <row r="411" spans="1:19" x14ac:dyDescent="0.25">
      <c r="A411" t="s">
        <v>1425</v>
      </c>
      <c r="B411" t="s">
        <v>457</v>
      </c>
      <c r="C411" s="1">
        <v>45451</v>
      </c>
      <c r="D411" t="s">
        <v>24</v>
      </c>
      <c r="E411" t="s">
        <v>38</v>
      </c>
      <c r="F411">
        <v>21</v>
      </c>
      <c r="G411" t="s">
        <v>1195</v>
      </c>
      <c r="H411">
        <v>2</v>
      </c>
      <c r="I411" s="2">
        <v>30.44</v>
      </c>
      <c r="J411" t="s">
        <v>464</v>
      </c>
      <c r="K411" t="s">
        <v>19</v>
      </c>
      <c r="L411" s="3">
        <v>45451</v>
      </c>
      <c r="M411" t="s">
        <v>34</v>
      </c>
      <c r="N411" s="4">
        <v>21</v>
      </c>
      <c r="O411" t="str" cm="1">
        <f t="array" ref="O41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411" t="s">
        <v>1195</v>
      </c>
      <c r="Q411" t="s">
        <v>2926</v>
      </c>
      <c r="R411" s="5">
        <v>30.44</v>
      </c>
      <c r="S411" s="5">
        <v>15.13</v>
      </c>
    </row>
    <row r="412" spans="1:19" x14ac:dyDescent="0.25">
      <c r="A412" t="s">
        <v>1426</v>
      </c>
      <c r="B412" t="s">
        <v>1293</v>
      </c>
      <c r="C412" t="s">
        <v>878</v>
      </c>
      <c r="D412" t="s">
        <v>51</v>
      </c>
      <c r="E412" t="s">
        <v>38</v>
      </c>
      <c r="F412">
        <v>67</v>
      </c>
      <c r="G412" t="s">
        <v>1427</v>
      </c>
      <c r="H412">
        <v>1</v>
      </c>
      <c r="I412">
        <v>24.1</v>
      </c>
      <c r="J412" s="2">
        <v>7.62</v>
      </c>
      <c r="K412" t="s">
        <v>19</v>
      </c>
      <c r="L412" s="3">
        <v>45414</v>
      </c>
      <c r="M412" t="s">
        <v>34</v>
      </c>
      <c r="N412" s="4">
        <v>67</v>
      </c>
      <c r="O412" t="str" cm="1">
        <f t="array" ref="O41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12" t="s">
        <v>1427</v>
      </c>
      <c r="Q412" t="s">
        <v>2925</v>
      </c>
      <c r="R412" s="5">
        <v>24.1</v>
      </c>
      <c r="S412" s="5">
        <v>7.62</v>
      </c>
    </row>
    <row r="413" spans="1:19" x14ac:dyDescent="0.25">
      <c r="A413" t="s">
        <v>1428</v>
      </c>
      <c r="B413" t="s">
        <v>1429</v>
      </c>
      <c r="C413" s="3">
        <v>44985</v>
      </c>
      <c r="D413" t="s">
        <v>51</v>
      </c>
      <c r="E413" t="s">
        <v>25</v>
      </c>
      <c r="F413">
        <v>71</v>
      </c>
      <c r="G413" t="s">
        <v>1430</v>
      </c>
      <c r="H413">
        <v>3</v>
      </c>
      <c r="I413" t="s">
        <v>1431</v>
      </c>
      <c r="J413">
        <v>28.46</v>
      </c>
      <c r="K413" t="s">
        <v>19</v>
      </c>
      <c r="L413" s="3">
        <v>44985</v>
      </c>
      <c r="M413" t="s">
        <v>20</v>
      </c>
      <c r="N413" s="4">
        <v>71</v>
      </c>
      <c r="O413" t="str" cm="1">
        <f t="array" ref="O41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13" t="s">
        <v>1430</v>
      </c>
      <c r="Q413" t="s">
        <v>2925</v>
      </c>
      <c r="R413" s="5">
        <v>128.30000000000001</v>
      </c>
      <c r="S413" s="5">
        <v>28.46</v>
      </c>
    </row>
    <row r="414" spans="1:19" x14ac:dyDescent="0.25">
      <c r="A414" t="s">
        <v>1432</v>
      </c>
      <c r="B414" t="s">
        <v>490</v>
      </c>
      <c r="C414" s="1">
        <v>45257</v>
      </c>
      <c r="D414" t="s">
        <v>51</v>
      </c>
      <c r="E414" t="s">
        <v>65</v>
      </c>
      <c r="F414">
        <v>17</v>
      </c>
      <c r="G414" t="s">
        <v>1433</v>
      </c>
      <c r="H414">
        <v>1</v>
      </c>
      <c r="I414">
        <v>28.18</v>
      </c>
      <c r="J414">
        <v>14.83</v>
      </c>
      <c r="K414" t="s">
        <v>19</v>
      </c>
      <c r="L414" s="3">
        <v>45257</v>
      </c>
      <c r="M414" t="s">
        <v>48</v>
      </c>
      <c r="N414" s="4">
        <v>17</v>
      </c>
      <c r="O414" t="str" cm="1">
        <f t="array" ref="O41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414" t="s">
        <v>1433</v>
      </c>
      <c r="Q414" t="s">
        <v>2932</v>
      </c>
      <c r="R414" s="5">
        <v>28.18</v>
      </c>
      <c r="S414" s="5">
        <v>14.83</v>
      </c>
    </row>
    <row r="415" spans="1:19" x14ac:dyDescent="0.25">
      <c r="A415" t="s">
        <v>1434</v>
      </c>
      <c r="B415" t="s">
        <v>566</v>
      </c>
      <c r="C415" s="1">
        <v>45616</v>
      </c>
      <c r="D415" t="s">
        <v>30</v>
      </c>
      <c r="E415" t="s">
        <v>60</v>
      </c>
      <c r="F415">
        <v>43</v>
      </c>
      <c r="G415" t="s">
        <v>1057</v>
      </c>
      <c r="H415">
        <v>2</v>
      </c>
      <c r="I415">
        <v>33.799999999999997</v>
      </c>
      <c r="J415">
        <v>13.81</v>
      </c>
      <c r="K415" t="s">
        <v>19</v>
      </c>
      <c r="L415" s="3">
        <v>45616</v>
      </c>
      <c r="M415" t="s">
        <v>48</v>
      </c>
      <c r="N415" s="4">
        <v>43</v>
      </c>
      <c r="O415" t="str" cm="1">
        <f t="array" ref="O41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15" t="s">
        <v>1057</v>
      </c>
      <c r="Q415" t="s">
        <v>2927</v>
      </c>
      <c r="R415" s="5">
        <v>33.799999999999997</v>
      </c>
      <c r="S415" s="5">
        <v>13.81</v>
      </c>
    </row>
    <row r="416" spans="1:19" x14ac:dyDescent="0.25">
      <c r="A416" t="s">
        <v>1435</v>
      </c>
      <c r="B416" t="s">
        <v>124</v>
      </c>
      <c r="C416" s="3">
        <v>45036</v>
      </c>
      <c r="D416" t="s">
        <v>129</v>
      </c>
      <c r="E416" t="s">
        <v>60</v>
      </c>
      <c r="F416">
        <v>30</v>
      </c>
      <c r="G416" t="s">
        <v>1436</v>
      </c>
      <c r="H416">
        <v>1</v>
      </c>
      <c r="I416">
        <v>9.8699999999999992</v>
      </c>
      <c r="J416">
        <v>3.36</v>
      </c>
      <c r="K416" t="s">
        <v>41</v>
      </c>
      <c r="L416" s="3">
        <v>45036</v>
      </c>
      <c r="M416" t="s">
        <v>48</v>
      </c>
      <c r="N416" s="4">
        <v>30</v>
      </c>
      <c r="O416" t="str" cm="1">
        <f t="array" ref="O41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16" t="s">
        <v>1881</v>
      </c>
      <c r="Q416" t="s">
        <v>2926</v>
      </c>
      <c r="R416" s="5">
        <v>9.8699999999999992</v>
      </c>
      <c r="S416" s="5">
        <v>3.36</v>
      </c>
    </row>
    <row r="417" spans="1:19" x14ac:dyDescent="0.25">
      <c r="A417" t="s">
        <v>1437</v>
      </c>
      <c r="B417" t="s">
        <v>1438</v>
      </c>
      <c r="C417" t="s">
        <v>1439</v>
      </c>
      <c r="D417" t="s">
        <v>51</v>
      </c>
      <c r="E417" t="s">
        <v>31</v>
      </c>
      <c r="F417">
        <v>28</v>
      </c>
      <c r="G417" t="s">
        <v>1440</v>
      </c>
      <c r="H417">
        <v>2</v>
      </c>
      <c r="I417">
        <v>72.12</v>
      </c>
      <c r="J417">
        <v>35.51</v>
      </c>
      <c r="K417" t="s">
        <v>19</v>
      </c>
      <c r="L417" s="3">
        <v>45022</v>
      </c>
      <c r="M417" t="s">
        <v>34</v>
      </c>
      <c r="N417" s="4">
        <v>28</v>
      </c>
      <c r="O417" t="str" cm="1">
        <f t="array" ref="O41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17" t="s">
        <v>1440</v>
      </c>
      <c r="Q417" t="s">
        <v>2929</v>
      </c>
      <c r="R417" s="5">
        <v>72.12</v>
      </c>
      <c r="S417" s="5">
        <v>35.51</v>
      </c>
    </row>
    <row r="418" spans="1:19" x14ac:dyDescent="0.25">
      <c r="A418" t="s">
        <v>1441</v>
      </c>
      <c r="B418" t="s">
        <v>521</v>
      </c>
      <c r="C418" s="1">
        <v>45361</v>
      </c>
      <c r="D418" t="s">
        <v>24</v>
      </c>
      <c r="E418" t="s">
        <v>38</v>
      </c>
      <c r="F418">
        <v>40</v>
      </c>
      <c r="G418" t="s">
        <v>1442</v>
      </c>
      <c r="H418">
        <v>4</v>
      </c>
      <c r="I418" s="2">
        <v>91.84</v>
      </c>
      <c r="J418">
        <v>56.39</v>
      </c>
      <c r="K418" t="s">
        <v>19</v>
      </c>
      <c r="L418" s="3">
        <v>45361</v>
      </c>
      <c r="M418" t="s">
        <v>34</v>
      </c>
      <c r="N418" s="4">
        <v>40</v>
      </c>
      <c r="O418" t="str" cm="1">
        <f t="array" ref="O41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18" t="s">
        <v>1442</v>
      </c>
      <c r="Q418" t="s">
        <v>2927</v>
      </c>
      <c r="R418" s="5">
        <v>91.84</v>
      </c>
      <c r="S418" s="5">
        <v>56.39</v>
      </c>
    </row>
    <row r="419" spans="1:19" x14ac:dyDescent="0.25">
      <c r="A419" t="s">
        <v>1443</v>
      </c>
      <c r="B419" t="s">
        <v>787</v>
      </c>
      <c r="C419" s="3">
        <v>44985</v>
      </c>
      <c r="D419" t="s">
        <v>129</v>
      </c>
      <c r="E419" t="s">
        <v>45</v>
      </c>
      <c r="F419">
        <v>30</v>
      </c>
      <c r="G419" t="s">
        <v>1444</v>
      </c>
      <c r="H419">
        <v>1</v>
      </c>
      <c r="I419">
        <v>10.87</v>
      </c>
      <c r="J419">
        <v>5.76</v>
      </c>
      <c r="K419" t="s">
        <v>41</v>
      </c>
      <c r="L419" s="3">
        <v>44985</v>
      </c>
      <c r="M419" t="s">
        <v>48</v>
      </c>
      <c r="N419" s="4">
        <v>30</v>
      </c>
      <c r="O419" t="str" cm="1">
        <f t="array" ref="O41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19" t="s">
        <v>1444</v>
      </c>
      <c r="Q419" t="s">
        <v>2928</v>
      </c>
      <c r="R419" s="5">
        <v>10.87</v>
      </c>
      <c r="S419" s="5">
        <v>5.76</v>
      </c>
    </row>
    <row r="420" spans="1:19" x14ac:dyDescent="0.25">
      <c r="A420" t="s">
        <v>1445</v>
      </c>
      <c r="B420" t="s">
        <v>1216</v>
      </c>
      <c r="C420" s="1">
        <v>45128</v>
      </c>
      <c r="D420" t="s">
        <v>129</v>
      </c>
      <c r="E420" t="s">
        <v>48</v>
      </c>
      <c r="F420">
        <v>45</v>
      </c>
      <c r="G420" t="s">
        <v>1446</v>
      </c>
      <c r="H420">
        <v>5</v>
      </c>
      <c r="I420" s="2">
        <v>63.49</v>
      </c>
      <c r="J420">
        <v>36.54</v>
      </c>
      <c r="K420" t="s">
        <v>19</v>
      </c>
      <c r="L420" s="3">
        <v>45128</v>
      </c>
      <c r="M420" t="s">
        <v>48</v>
      </c>
      <c r="N420" s="4">
        <v>45</v>
      </c>
      <c r="O420" t="str" cm="1">
        <f t="array" ref="O42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20" t="s">
        <v>1446</v>
      </c>
      <c r="Q420" t="s">
        <v>2926</v>
      </c>
      <c r="R420" s="5">
        <v>63.49</v>
      </c>
      <c r="S420" s="5">
        <v>36.54</v>
      </c>
    </row>
    <row r="421" spans="1:19" x14ac:dyDescent="0.25">
      <c r="A421" t="s">
        <v>1447</v>
      </c>
      <c r="B421" t="s">
        <v>1448</v>
      </c>
      <c r="C421" s="1">
        <v>45133</v>
      </c>
      <c r="D421" t="s">
        <v>30</v>
      </c>
      <c r="E421" t="s">
        <v>60</v>
      </c>
      <c r="F421">
        <v>64</v>
      </c>
      <c r="G421" t="s">
        <v>1449</v>
      </c>
      <c r="H421">
        <v>1</v>
      </c>
      <c r="I421" t="s">
        <v>1450</v>
      </c>
      <c r="J421" s="2">
        <v>5.61</v>
      </c>
      <c r="K421" t="s">
        <v>41</v>
      </c>
      <c r="L421" s="3">
        <v>45133</v>
      </c>
      <c r="M421" t="s">
        <v>48</v>
      </c>
      <c r="N421" s="4">
        <v>64</v>
      </c>
      <c r="O421" t="str" cm="1">
        <f t="array" ref="O42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21" t="s">
        <v>1449</v>
      </c>
      <c r="Q421" t="s">
        <v>2927</v>
      </c>
      <c r="R421" s="5">
        <v>18.670000000000002</v>
      </c>
      <c r="S421" s="5">
        <v>5.61</v>
      </c>
    </row>
    <row r="422" spans="1:19" x14ac:dyDescent="0.25">
      <c r="A422" t="s">
        <v>1451</v>
      </c>
      <c r="B422" t="s">
        <v>22</v>
      </c>
      <c r="C422" t="s">
        <v>1452</v>
      </c>
      <c r="D422" t="s">
        <v>30</v>
      </c>
      <c r="E422" t="s">
        <v>45</v>
      </c>
      <c r="F422">
        <v>41</v>
      </c>
      <c r="G422" t="s">
        <v>1453</v>
      </c>
      <c r="H422">
        <v>1</v>
      </c>
      <c r="I422">
        <v>48.14</v>
      </c>
      <c r="J422" s="2">
        <v>18.57</v>
      </c>
      <c r="K422" t="s">
        <v>41</v>
      </c>
      <c r="L422" s="3">
        <v>45319</v>
      </c>
      <c r="M422" t="s">
        <v>48</v>
      </c>
      <c r="N422" s="4">
        <v>41</v>
      </c>
      <c r="O422" t="str" cm="1">
        <f t="array" ref="O42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22" t="s">
        <v>1453</v>
      </c>
      <c r="Q422" t="s">
        <v>2929</v>
      </c>
      <c r="R422" s="5">
        <v>48.14</v>
      </c>
      <c r="S422" s="5">
        <v>18.57</v>
      </c>
    </row>
    <row r="423" spans="1:19" x14ac:dyDescent="0.25">
      <c r="A423" t="s">
        <v>1454</v>
      </c>
      <c r="B423" t="s">
        <v>335</v>
      </c>
      <c r="C423" s="1">
        <v>45600</v>
      </c>
      <c r="D423" t="s">
        <v>51</v>
      </c>
      <c r="E423" t="s">
        <v>45</v>
      </c>
      <c r="F423">
        <v>57</v>
      </c>
      <c r="G423" t="s">
        <v>320</v>
      </c>
      <c r="H423">
        <v>2</v>
      </c>
      <c r="I423" t="s">
        <v>1455</v>
      </c>
      <c r="J423" s="2">
        <v>9.07</v>
      </c>
      <c r="K423" t="s">
        <v>41</v>
      </c>
      <c r="L423" s="3">
        <v>45600</v>
      </c>
      <c r="M423" t="s">
        <v>48</v>
      </c>
      <c r="N423" s="4">
        <v>57</v>
      </c>
      <c r="O423" t="str" cm="1">
        <f t="array" ref="O42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23" t="s">
        <v>320</v>
      </c>
      <c r="Q423" t="s">
        <v>2926</v>
      </c>
      <c r="R423" s="5">
        <v>26.44</v>
      </c>
      <c r="S423" s="5">
        <v>9.07</v>
      </c>
    </row>
    <row r="424" spans="1:19" x14ac:dyDescent="0.25">
      <c r="A424" t="s">
        <v>1456</v>
      </c>
      <c r="B424" t="s">
        <v>1457</v>
      </c>
      <c r="C424" t="s">
        <v>1458</v>
      </c>
      <c r="D424" t="s">
        <v>51</v>
      </c>
      <c r="E424" t="s">
        <v>45</v>
      </c>
      <c r="F424">
        <v>36</v>
      </c>
      <c r="G424" t="s">
        <v>962</v>
      </c>
      <c r="H424">
        <v>-2</v>
      </c>
      <c r="I424" t="s">
        <v>1459</v>
      </c>
      <c r="J424">
        <v>-24.9</v>
      </c>
      <c r="K424" t="s">
        <v>41</v>
      </c>
      <c r="L424" s="3">
        <v>44934</v>
      </c>
      <c r="M424" t="s">
        <v>48</v>
      </c>
      <c r="N424" s="4">
        <v>36</v>
      </c>
      <c r="O424" t="str" cm="1">
        <f t="array" ref="O42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24" t="s">
        <v>962</v>
      </c>
      <c r="Q424" t="s">
        <v>2927</v>
      </c>
      <c r="R424" s="5">
        <v>-62.4</v>
      </c>
      <c r="S424" s="5">
        <v>-24.9</v>
      </c>
    </row>
    <row r="425" spans="1:19" x14ac:dyDescent="0.25">
      <c r="A425" t="s">
        <v>1460</v>
      </c>
      <c r="B425" t="s">
        <v>526</v>
      </c>
      <c r="C425" t="s">
        <v>1461</v>
      </c>
      <c r="D425" t="s">
        <v>129</v>
      </c>
      <c r="F425">
        <v>32</v>
      </c>
      <c r="G425" t="s">
        <v>1462</v>
      </c>
      <c r="H425">
        <v>2</v>
      </c>
      <c r="I425">
        <v>8.1300000000000008</v>
      </c>
      <c r="J425">
        <v>2.21</v>
      </c>
      <c r="K425" t="s">
        <v>41</v>
      </c>
      <c r="L425" s="3">
        <v>45507</v>
      </c>
      <c r="M425" t="s">
        <v>20</v>
      </c>
      <c r="N425" s="4">
        <v>32</v>
      </c>
      <c r="O425" t="str" cm="1">
        <f t="array" ref="O42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25" t="s">
        <v>1462</v>
      </c>
      <c r="Q425" t="s">
        <v>2926</v>
      </c>
      <c r="R425" s="5">
        <v>8.1300000000000008</v>
      </c>
      <c r="S425" s="5">
        <v>2.21</v>
      </c>
    </row>
    <row r="426" spans="1:19" x14ac:dyDescent="0.25">
      <c r="A426" t="s">
        <v>1463</v>
      </c>
      <c r="B426" t="s">
        <v>345</v>
      </c>
      <c r="C426" s="1">
        <v>45123</v>
      </c>
      <c r="D426" t="s">
        <v>30</v>
      </c>
      <c r="E426" t="s">
        <v>85</v>
      </c>
      <c r="F426">
        <v>35</v>
      </c>
      <c r="G426" t="s">
        <v>122</v>
      </c>
      <c r="H426">
        <v>1</v>
      </c>
      <c r="I426" s="2">
        <v>17.8</v>
      </c>
      <c r="J426" s="2">
        <v>7.75</v>
      </c>
      <c r="K426" t="s">
        <v>41</v>
      </c>
      <c r="L426" s="3">
        <v>45123</v>
      </c>
      <c r="M426" t="s">
        <v>34</v>
      </c>
      <c r="N426" s="4">
        <v>35</v>
      </c>
      <c r="O426" t="str" cm="1">
        <f t="array" ref="O42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26" t="s">
        <v>122</v>
      </c>
      <c r="Q426" t="s">
        <v>2929</v>
      </c>
      <c r="R426" s="5">
        <v>17.8</v>
      </c>
      <c r="S426" s="5">
        <v>7.75</v>
      </c>
    </row>
    <row r="427" spans="1:19" x14ac:dyDescent="0.25">
      <c r="A427" t="s">
        <v>1464</v>
      </c>
      <c r="B427" t="s">
        <v>510</v>
      </c>
      <c r="C427" s="1">
        <v>45034</v>
      </c>
      <c r="D427" t="s">
        <v>16</v>
      </c>
      <c r="E427" t="s">
        <v>65</v>
      </c>
      <c r="F427">
        <v>24</v>
      </c>
      <c r="G427" t="s">
        <v>1465</v>
      </c>
      <c r="H427">
        <v>1</v>
      </c>
      <c r="I427">
        <v>30.96</v>
      </c>
      <c r="J427" s="2">
        <v>15.23</v>
      </c>
      <c r="K427" t="s">
        <v>19</v>
      </c>
      <c r="L427" s="3">
        <v>45034</v>
      </c>
      <c r="M427" t="s">
        <v>48</v>
      </c>
      <c r="N427" s="4">
        <v>24</v>
      </c>
      <c r="O427" t="str" cm="1">
        <f t="array" ref="O42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427" t="s">
        <v>1465</v>
      </c>
      <c r="Q427" t="s">
        <v>2926</v>
      </c>
      <c r="R427" s="5">
        <v>30.96</v>
      </c>
      <c r="S427" s="5">
        <v>15.23</v>
      </c>
    </row>
    <row r="428" spans="1:19" x14ac:dyDescent="0.25">
      <c r="A428" t="s">
        <v>1466</v>
      </c>
      <c r="B428" t="s">
        <v>1457</v>
      </c>
      <c r="C428" t="s">
        <v>1467</v>
      </c>
      <c r="D428" t="s">
        <v>129</v>
      </c>
      <c r="E428" t="s">
        <v>31</v>
      </c>
      <c r="F428">
        <v>18</v>
      </c>
      <c r="G428" t="s">
        <v>1468</v>
      </c>
      <c r="H428">
        <v>2</v>
      </c>
      <c r="I428">
        <v>47.18</v>
      </c>
      <c r="J428" t="s">
        <v>1469</v>
      </c>
      <c r="K428" t="s">
        <v>41</v>
      </c>
      <c r="L428" s="3">
        <v>45287</v>
      </c>
      <c r="M428" t="s">
        <v>34</v>
      </c>
      <c r="N428" s="4">
        <v>18</v>
      </c>
      <c r="O428" t="str" cm="1">
        <f t="array" ref="O42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428" t="s">
        <v>1468</v>
      </c>
      <c r="Q428" t="s">
        <v>2926</v>
      </c>
      <c r="R428" s="5">
        <v>47.18</v>
      </c>
      <c r="S428" s="5">
        <v>18.63</v>
      </c>
    </row>
    <row r="429" spans="1:19" x14ac:dyDescent="0.25">
      <c r="A429" t="s">
        <v>1470</v>
      </c>
      <c r="B429" t="s">
        <v>473</v>
      </c>
      <c r="C429" s="1">
        <v>45511</v>
      </c>
      <c r="D429" t="s">
        <v>51</v>
      </c>
      <c r="E429" t="s">
        <v>48</v>
      </c>
      <c r="F429">
        <v>20</v>
      </c>
      <c r="G429" t="s">
        <v>1471</v>
      </c>
      <c r="H429">
        <v>1</v>
      </c>
      <c r="I429" s="2">
        <v>13.52</v>
      </c>
      <c r="J429">
        <v>3.61</v>
      </c>
      <c r="K429" t="s">
        <v>19</v>
      </c>
      <c r="L429" s="3">
        <v>45511</v>
      </c>
      <c r="M429" t="s">
        <v>48</v>
      </c>
      <c r="N429" s="4">
        <v>20</v>
      </c>
      <c r="O429" t="str" cm="1">
        <f t="array" ref="O42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429" t="s">
        <v>1471</v>
      </c>
      <c r="Q429" t="s">
        <v>2926</v>
      </c>
      <c r="R429" s="5">
        <v>13.52</v>
      </c>
      <c r="S429" s="5">
        <v>3.61</v>
      </c>
    </row>
    <row r="430" spans="1:19" x14ac:dyDescent="0.25">
      <c r="A430" t="s">
        <v>1472</v>
      </c>
      <c r="B430" t="s">
        <v>1473</v>
      </c>
      <c r="C430" s="3">
        <v>45228</v>
      </c>
      <c r="D430" t="s">
        <v>129</v>
      </c>
      <c r="E430" t="s">
        <v>31</v>
      </c>
      <c r="F430">
        <v>53</v>
      </c>
      <c r="G430" t="s">
        <v>1474</v>
      </c>
      <c r="H430">
        <v>1</v>
      </c>
      <c r="I430">
        <v>20.309999999999999</v>
      </c>
      <c r="J430">
        <v>4.57</v>
      </c>
      <c r="K430" t="s">
        <v>19</v>
      </c>
      <c r="L430" s="3">
        <v>45228</v>
      </c>
      <c r="M430" t="s">
        <v>34</v>
      </c>
      <c r="N430" s="4">
        <v>53</v>
      </c>
      <c r="O430" t="str" cm="1">
        <f t="array" ref="O43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30" t="s">
        <v>1474</v>
      </c>
      <c r="Q430" t="s">
        <v>2939</v>
      </c>
      <c r="R430" s="5">
        <v>20.309999999999999</v>
      </c>
      <c r="S430" s="5">
        <v>4.57</v>
      </c>
    </row>
    <row r="431" spans="1:19" x14ac:dyDescent="0.25">
      <c r="A431" t="s">
        <v>1475</v>
      </c>
      <c r="B431" t="s">
        <v>1476</v>
      </c>
      <c r="C431" t="s">
        <v>1477</v>
      </c>
      <c r="D431" t="s">
        <v>24</v>
      </c>
      <c r="E431" t="s">
        <v>25</v>
      </c>
      <c r="F431">
        <v>13</v>
      </c>
      <c r="G431" t="s">
        <v>1478</v>
      </c>
      <c r="H431">
        <v>2</v>
      </c>
      <c r="I431" t="s">
        <v>1479</v>
      </c>
      <c r="J431">
        <v>22.31</v>
      </c>
      <c r="K431" t="s">
        <v>41</v>
      </c>
      <c r="L431" s="3">
        <v>45199</v>
      </c>
      <c r="M431" t="s">
        <v>20</v>
      </c>
      <c r="N431" s="4">
        <v>13</v>
      </c>
      <c r="O431" t="str" cm="1">
        <f t="array" ref="O43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431" t="s">
        <v>1478</v>
      </c>
      <c r="Q431" t="s">
        <v>2926</v>
      </c>
      <c r="R431" s="5">
        <v>48.04</v>
      </c>
      <c r="S431" s="5">
        <v>22.31</v>
      </c>
    </row>
    <row r="432" spans="1:19" x14ac:dyDescent="0.25">
      <c r="A432" t="s">
        <v>1480</v>
      </c>
      <c r="B432" t="s">
        <v>194</v>
      </c>
      <c r="C432" t="s">
        <v>1481</v>
      </c>
      <c r="D432" t="s">
        <v>24</v>
      </c>
      <c r="E432" t="s">
        <v>34</v>
      </c>
      <c r="F432">
        <v>24</v>
      </c>
      <c r="G432" t="s">
        <v>1482</v>
      </c>
      <c r="H432">
        <v>1</v>
      </c>
      <c r="I432" s="2">
        <v>26.2</v>
      </c>
      <c r="J432" s="2">
        <v>11.45</v>
      </c>
      <c r="K432" t="s">
        <v>19</v>
      </c>
      <c r="L432" s="3">
        <v>45544</v>
      </c>
      <c r="M432" t="s">
        <v>34</v>
      </c>
      <c r="N432" s="4">
        <v>24</v>
      </c>
      <c r="O432" t="str" cm="1">
        <f t="array" ref="O43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432" t="s">
        <v>1482</v>
      </c>
      <c r="Q432" t="s">
        <v>2929</v>
      </c>
      <c r="R432" s="5">
        <v>26.2</v>
      </c>
      <c r="S432" s="5">
        <v>11.45</v>
      </c>
    </row>
    <row r="433" spans="1:19" x14ac:dyDescent="0.25">
      <c r="A433" t="s">
        <v>1483</v>
      </c>
      <c r="B433" t="s">
        <v>1484</v>
      </c>
      <c r="C433" s="1">
        <v>45106</v>
      </c>
      <c r="D433" t="s">
        <v>16</v>
      </c>
      <c r="E433" t="s">
        <v>38</v>
      </c>
      <c r="F433">
        <v>54</v>
      </c>
      <c r="G433" t="s">
        <v>1154</v>
      </c>
      <c r="H433">
        <v>3</v>
      </c>
      <c r="I433" t="s">
        <v>1485</v>
      </c>
      <c r="J433" t="s">
        <v>1486</v>
      </c>
      <c r="K433" t="s">
        <v>19</v>
      </c>
      <c r="L433" s="3">
        <v>45106</v>
      </c>
      <c r="M433" t="s">
        <v>34</v>
      </c>
      <c r="N433" s="4">
        <v>54</v>
      </c>
      <c r="O433" t="str" cm="1">
        <f t="array" ref="O43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33" t="s">
        <v>1154</v>
      </c>
      <c r="Q433" t="s">
        <v>2929</v>
      </c>
      <c r="R433" s="5">
        <v>50.85</v>
      </c>
      <c r="S433" s="5">
        <v>19.7</v>
      </c>
    </row>
    <row r="434" spans="1:19" x14ac:dyDescent="0.25">
      <c r="A434" t="s">
        <v>1487</v>
      </c>
      <c r="B434" t="s">
        <v>227</v>
      </c>
      <c r="C434" t="s">
        <v>1488</v>
      </c>
      <c r="D434" t="s">
        <v>16</v>
      </c>
      <c r="E434" t="s">
        <v>65</v>
      </c>
      <c r="F434">
        <v>60</v>
      </c>
      <c r="G434" t="s">
        <v>1489</v>
      </c>
      <c r="H434">
        <v>3</v>
      </c>
      <c r="I434">
        <v>59.85</v>
      </c>
      <c r="J434">
        <v>27.33</v>
      </c>
      <c r="K434" t="s">
        <v>19</v>
      </c>
      <c r="L434" s="3">
        <v>45323</v>
      </c>
      <c r="M434" t="s">
        <v>48</v>
      </c>
      <c r="N434" s="4">
        <v>60</v>
      </c>
      <c r="O434" t="str" cm="1">
        <f t="array" ref="O43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34" t="s">
        <v>2854</v>
      </c>
      <c r="Q434" t="s">
        <v>2926</v>
      </c>
      <c r="R434" s="5">
        <v>59.85</v>
      </c>
      <c r="S434" s="5">
        <v>27.33</v>
      </c>
    </row>
    <row r="435" spans="1:19" x14ac:dyDescent="0.25">
      <c r="A435" t="s">
        <v>1490</v>
      </c>
      <c r="B435" t="s">
        <v>297</v>
      </c>
      <c r="C435" s="1">
        <v>44952</v>
      </c>
      <c r="D435" t="s">
        <v>30</v>
      </c>
      <c r="E435" t="s">
        <v>85</v>
      </c>
      <c r="F435">
        <v>40</v>
      </c>
      <c r="G435" t="s">
        <v>1491</v>
      </c>
      <c r="H435">
        <v>1</v>
      </c>
      <c r="I435">
        <v>11.29</v>
      </c>
      <c r="J435">
        <v>4.5599999999999996</v>
      </c>
      <c r="K435" t="s">
        <v>19</v>
      </c>
      <c r="L435" s="3">
        <v>44952</v>
      </c>
      <c r="M435" t="s">
        <v>34</v>
      </c>
      <c r="N435" s="4">
        <v>40</v>
      </c>
      <c r="O435" t="str" cm="1">
        <f t="array" ref="O43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35" t="s">
        <v>1491</v>
      </c>
      <c r="Q435" t="s">
        <v>2929</v>
      </c>
      <c r="R435" s="5">
        <v>11.29</v>
      </c>
      <c r="S435" s="5">
        <v>4.5599999999999996</v>
      </c>
    </row>
    <row r="436" spans="1:19" x14ac:dyDescent="0.25">
      <c r="A436" t="s">
        <v>1492</v>
      </c>
      <c r="B436" t="s">
        <v>1493</v>
      </c>
      <c r="C436" t="s">
        <v>1494</v>
      </c>
      <c r="D436" t="s">
        <v>51</v>
      </c>
      <c r="E436" t="s">
        <v>48</v>
      </c>
      <c r="F436">
        <v>36</v>
      </c>
      <c r="G436" t="s">
        <v>1495</v>
      </c>
      <c r="H436">
        <v>1</v>
      </c>
      <c r="I436" s="2">
        <v>41.12</v>
      </c>
      <c r="J436">
        <v>14.27</v>
      </c>
      <c r="K436" t="s">
        <v>19</v>
      </c>
      <c r="L436" s="3">
        <v>45654</v>
      </c>
      <c r="M436" t="s">
        <v>48</v>
      </c>
      <c r="N436" s="4">
        <v>36</v>
      </c>
      <c r="O436" t="str" cm="1">
        <f t="array" ref="O43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36" t="s">
        <v>1495</v>
      </c>
      <c r="Q436" t="s">
        <v>2928</v>
      </c>
      <c r="R436" s="5">
        <v>41.12</v>
      </c>
      <c r="S436" s="5">
        <v>14.27</v>
      </c>
    </row>
    <row r="437" spans="1:19" x14ac:dyDescent="0.25">
      <c r="A437" t="s">
        <v>1496</v>
      </c>
      <c r="B437" t="s">
        <v>1497</v>
      </c>
      <c r="C437" t="s">
        <v>1498</v>
      </c>
      <c r="D437" t="s">
        <v>16</v>
      </c>
      <c r="E437" t="s">
        <v>34</v>
      </c>
      <c r="F437">
        <v>67</v>
      </c>
      <c r="G437" t="s">
        <v>1499</v>
      </c>
      <c r="H437">
        <v>1</v>
      </c>
      <c r="I437" t="s">
        <v>205</v>
      </c>
      <c r="J437">
        <v>8.4700000000000006</v>
      </c>
      <c r="K437" t="s">
        <v>19</v>
      </c>
      <c r="L437" s="3">
        <v>45089</v>
      </c>
      <c r="M437" t="s">
        <v>34</v>
      </c>
      <c r="N437" s="4">
        <v>67</v>
      </c>
      <c r="O437" t="str" cm="1">
        <f t="array" ref="O43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37" t="s">
        <v>1499</v>
      </c>
      <c r="Q437" t="s">
        <v>2929</v>
      </c>
      <c r="R437" s="5"/>
      <c r="S437" s="5">
        <v>8.4700000000000006</v>
      </c>
    </row>
    <row r="438" spans="1:19" x14ac:dyDescent="0.25">
      <c r="A438" t="s">
        <v>1500</v>
      </c>
      <c r="B438" t="s">
        <v>1290</v>
      </c>
      <c r="C438" s="3">
        <v>45397</v>
      </c>
      <c r="D438" t="s">
        <v>129</v>
      </c>
      <c r="E438" t="s">
        <v>48</v>
      </c>
      <c r="F438">
        <v>49</v>
      </c>
      <c r="G438" t="s">
        <v>1501</v>
      </c>
      <c r="H438">
        <v>1</v>
      </c>
      <c r="I438">
        <v>2.84</v>
      </c>
      <c r="J438">
        <v>0.67</v>
      </c>
      <c r="K438" t="s">
        <v>19</v>
      </c>
      <c r="L438" s="3">
        <v>45397</v>
      </c>
      <c r="M438" t="s">
        <v>48</v>
      </c>
      <c r="N438" s="4">
        <v>49</v>
      </c>
      <c r="O438" t="str" cm="1">
        <f t="array" ref="O43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38" t="s">
        <v>1501</v>
      </c>
      <c r="Q438" t="s">
        <v>2927</v>
      </c>
      <c r="R438" s="5">
        <v>2.84</v>
      </c>
      <c r="S438" s="5">
        <v>0.67</v>
      </c>
    </row>
    <row r="439" spans="1:19" x14ac:dyDescent="0.25">
      <c r="A439" t="s">
        <v>1502</v>
      </c>
      <c r="B439" t="s">
        <v>1503</v>
      </c>
      <c r="C439" t="s">
        <v>809</v>
      </c>
      <c r="D439" t="s">
        <v>51</v>
      </c>
      <c r="E439" t="s">
        <v>85</v>
      </c>
      <c r="F439">
        <v>64</v>
      </c>
      <c r="G439" t="s">
        <v>1504</v>
      </c>
      <c r="H439">
        <v>1</v>
      </c>
      <c r="I439">
        <v>15.82</v>
      </c>
      <c r="J439" t="s">
        <v>1505</v>
      </c>
      <c r="K439" t="s">
        <v>41</v>
      </c>
      <c r="L439" s="3">
        <v>45009</v>
      </c>
      <c r="M439" t="s">
        <v>34</v>
      </c>
      <c r="N439" s="4">
        <v>64</v>
      </c>
      <c r="O439" t="str" cm="1">
        <f t="array" ref="O43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39" t="s">
        <v>2951</v>
      </c>
      <c r="Q439" t="s">
        <v>2939</v>
      </c>
      <c r="R439" s="5">
        <v>15.82</v>
      </c>
      <c r="S439" s="5">
        <v>6.6</v>
      </c>
    </row>
    <row r="440" spans="1:19" x14ac:dyDescent="0.25">
      <c r="A440" t="s">
        <v>1506</v>
      </c>
      <c r="B440" t="s">
        <v>1507</v>
      </c>
      <c r="C440" t="s">
        <v>1248</v>
      </c>
      <c r="D440" t="s">
        <v>51</v>
      </c>
      <c r="E440" t="s">
        <v>31</v>
      </c>
      <c r="F440">
        <v>35</v>
      </c>
      <c r="G440" t="s">
        <v>1508</v>
      </c>
      <c r="H440">
        <v>2</v>
      </c>
      <c r="I440" s="2">
        <v>104.18</v>
      </c>
      <c r="J440">
        <v>18.440000000000001</v>
      </c>
      <c r="K440" t="s">
        <v>41</v>
      </c>
      <c r="L440" s="3">
        <v>45038</v>
      </c>
      <c r="M440" t="s">
        <v>34</v>
      </c>
      <c r="N440" s="4">
        <v>35</v>
      </c>
      <c r="O440" t="str" cm="1">
        <f t="array" ref="O44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40" t="s">
        <v>1508</v>
      </c>
      <c r="Q440" t="s">
        <v>2926</v>
      </c>
      <c r="R440" s="5">
        <v>104.18</v>
      </c>
      <c r="S440" s="5">
        <v>18.440000000000001</v>
      </c>
    </row>
    <row r="441" spans="1:19" x14ac:dyDescent="0.25">
      <c r="A441" t="s">
        <v>1509</v>
      </c>
      <c r="B441" t="s">
        <v>1080</v>
      </c>
      <c r="C441" t="s">
        <v>1510</v>
      </c>
      <c r="D441" t="s">
        <v>24</v>
      </c>
      <c r="E441" t="s">
        <v>85</v>
      </c>
      <c r="F441">
        <v>63</v>
      </c>
      <c r="G441" t="s">
        <v>1151</v>
      </c>
      <c r="H441">
        <v>2</v>
      </c>
      <c r="I441">
        <v>26.36</v>
      </c>
      <c r="J441">
        <v>7.53</v>
      </c>
      <c r="K441" t="s">
        <v>19</v>
      </c>
      <c r="L441" s="3">
        <v>45425</v>
      </c>
      <c r="M441" t="s">
        <v>34</v>
      </c>
      <c r="N441" s="4">
        <v>63</v>
      </c>
      <c r="O441" t="str" cm="1">
        <f t="array" ref="O44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41" t="s">
        <v>1151</v>
      </c>
      <c r="Q441" t="s">
        <v>2927</v>
      </c>
      <c r="R441" s="5">
        <v>26.36</v>
      </c>
      <c r="S441" s="5">
        <v>7.53</v>
      </c>
    </row>
    <row r="442" spans="1:19" x14ac:dyDescent="0.25">
      <c r="A442" t="s">
        <v>1511</v>
      </c>
      <c r="B442" t="s">
        <v>1252</v>
      </c>
      <c r="C442" s="3">
        <v>45182</v>
      </c>
      <c r="D442" t="s">
        <v>30</v>
      </c>
      <c r="E442" t="s">
        <v>31</v>
      </c>
      <c r="F442">
        <v>60</v>
      </c>
      <c r="G442" t="s">
        <v>1512</v>
      </c>
      <c r="H442">
        <v>2</v>
      </c>
      <c r="I442">
        <v>25.66</v>
      </c>
      <c r="J442" t="s">
        <v>1513</v>
      </c>
      <c r="K442" t="s">
        <v>19</v>
      </c>
      <c r="L442" s="3">
        <v>45182</v>
      </c>
      <c r="M442" t="s">
        <v>34</v>
      </c>
      <c r="N442" s="4">
        <v>60</v>
      </c>
      <c r="O442" t="str" cm="1">
        <f t="array" ref="O44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42" t="s">
        <v>1512</v>
      </c>
      <c r="Q442" t="s">
        <v>2928</v>
      </c>
      <c r="R442" s="5">
        <v>25.66</v>
      </c>
      <c r="S442" s="5">
        <v>15.86</v>
      </c>
    </row>
    <row r="443" spans="1:19" x14ac:dyDescent="0.25">
      <c r="A443" t="s">
        <v>1514</v>
      </c>
      <c r="B443" t="s">
        <v>803</v>
      </c>
      <c r="C443" t="s">
        <v>1515</v>
      </c>
      <c r="D443" t="s">
        <v>30</v>
      </c>
      <c r="E443" t="s">
        <v>65</v>
      </c>
      <c r="F443">
        <v>45</v>
      </c>
      <c r="G443" t="s">
        <v>1516</v>
      </c>
      <c r="H443">
        <v>1</v>
      </c>
      <c r="I443">
        <v>13.54</v>
      </c>
      <c r="J443" t="s">
        <v>1517</v>
      </c>
      <c r="K443" t="s">
        <v>19</v>
      </c>
      <c r="L443" s="3">
        <v>44949</v>
      </c>
      <c r="M443" t="s">
        <v>48</v>
      </c>
      <c r="N443" s="4">
        <v>45</v>
      </c>
      <c r="O443" t="str" cm="1">
        <f t="array" ref="O44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43" t="s">
        <v>1516</v>
      </c>
      <c r="Q443" t="s">
        <v>2927</v>
      </c>
      <c r="R443" s="5">
        <v>13.54</v>
      </c>
      <c r="S443" s="5">
        <v>8.24</v>
      </c>
    </row>
    <row r="444" spans="1:19" x14ac:dyDescent="0.25">
      <c r="A444" t="s">
        <v>1106</v>
      </c>
      <c r="B444" t="s">
        <v>387</v>
      </c>
      <c r="C444" t="s">
        <v>1107</v>
      </c>
      <c r="D444" t="s">
        <v>24</v>
      </c>
      <c r="E444" t="s">
        <v>60</v>
      </c>
      <c r="F444">
        <v>45</v>
      </c>
      <c r="G444" t="s">
        <v>1108</v>
      </c>
      <c r="H444">
        <v>1</v>
      </c>
      <c r="I444">
        <v>15.63</v>
      </c>
      <c r="J444" s="2">
        <v>7.12</v>
      </c>
      <c r="K444" t="s">
        <v>19</v>
      </c>
      <c r="L444" s="3">
        <v>45039</v>
      </c>
      <c r="M444" t="s">
        <v>48</v>
      </c>
      <c r="N444" s="4">
        <v>45</v>
      </c>
      <c r="O444" t="str" cm="1">
        <f t="array" ref="O44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44" t="s">
        <v>1108</v>
      </c>
      <c r="Q444" t="s">
        <v>2926</v>
      </c>
      <c r="R444" s="5">
        <v>15.63</v>
      </c>
      <c r="S444" s="5">
        <v>7.12</v>
      </c>
    </row>
    <row r="445" spans="1:19" x14ac:dyDescent="0.25">
      <c r="A445" t="s">
        <v>1518</v>
      </c>
      <c r="B445" t="s">
        <v>610</v>
      </c>
      <c r="C445" t="s">
        <v>1519</v>
      </c>
      <c r="D445" t="s">
        <v>30</v>
      </c>
      <c r="E445" t="s">
        <v>60</v>
      </c>
      <c r="F445">
        <v>59</v>
      </c>
      <c r="G445" t="s">
        <v>1520</v>
      </c>
      <c r="H445">
        <v>2</v>
      </c>
      <c r="I445">
        <v>65.03</v>
      </c>
      <c r="J445">
        <v>22.02</v>
      </c>
      <c r="K445" t="s">
        <v>19</v>
      </c>
      <c r="L445" s="3">
        <v>45059</v>
      </c>
      <c r="M445" t="s">
        <v>48</v>
      </c>
      <c r="N445" s="4">
        <v>59</v>
      </c>
      <c r="O445" t="str" cm="1">
        <f t="array" ref="O44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45" t="s">
        <v>1520</v>
      </c>
      <c r="Q445" t="s">
        <v>2931</v>
      </c>
      <c r="R445" s="5">
        <v>65.03</v>
      </c>
      <c r="S445" s="5">
        <v>22.02</v>
      </c>
    </row>
    <row r="446" spans="1:19" x14ac:dyDescent="0.25">
      <c r="A446" t="s">
        <v>1521</v>
      </c>
      <c r="B446" t="s">
        <v>1522</v>
      </c>
      <c r="C446" t="s">
        <v>1523</v>
      </c>
      <c r="D446" t="s">
        <v>16</v>
      </c>
      <c r="E446" t="s">
        <v>60</v>
      </c>
      <c r="F446">
        <v>56</v>
      </c>
      <c r="G446" t="s">
        <v>1524</v>
      </c>
      <c r="H446">
        <v>1</v>
      </c>
      <c r="I446">
        <v>21.98</v>
      </c>
      <c r="J446" t="s">
        <v>1525</v>
      </c>
      <c r="K446" t="s">
        <v>19</v>
      </c>
      <c r="L446" s="3">
        <v>44990</v>
      </c>
      <c r="M446" t="s">
        <v>48</v>
      </c>
      <c r="N446" s="4">
        <v>56</v>
      </c>
      <c r="O446" t="str" cm="1">
        <f t="array" ref="O44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46" t="s">
        <v>1524</v>
      </c>
      <c r="Q446" t="s">
        <v>2929</v>
      </c>
      <c r="R446" s="5">
        <v>21.98</v>
      </c>
      <c r="S446" s="5">
        <v>7.83</v>
      </c>
    </row>
    <row r="447" spans="1:19" x14ac:dyDescent="0.25">
      <c r="A447" t="s">
        <v>1526</v>
      </c>
      <c r="B447" t="s">
        <v>493</v>
      </c>
      <c r="C447" s="1">
        <v>45596</v>
      </c>
      <c r="D447" t="s">
        <v>129</v>
      </c>
      <c r="E447" t="s">
        <v>31</v>
      </c>
      <c r="F447">
        <v>23</v>
      </c>
      <c r="G447" t="s">
        <v>1527</v>
      </c>
      <c r="H447">
        <v>1</v>
      </c>
      <c r="J447">
        <v>7.2</v>
      </c>
      <c r="K447" t="s">
        <v>19</v>
      </c>
      <c r="L447" s="3">
        <v>45596</v>
      </c>
      <c r="M447" t="s">
        <v>34</v>
      </c>
      <c r="N447" s="4">
        <v>23</v>
      </c>
      <c r="O447" t="str" cm="1">
        <f t="array" ref="O44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447" t="s">
        <v>1527</v>
      </c>
      <c r="Q447" t="s">
        <v>2929</v>
      </c>
      <c r="R447" s="5"/>
      <c r="S447" s="5">
        <v>7.2</v>
      </c>
    </row>
    <row r="448" spans="1:19" x14ac:dyDescent="0.25">
      <c r="A448" t="s">
        <v>1528</v>
      </c>
      <c r="B448" t="s">
        <v>1344</v>
      </c>
      <c r="C448" s="1">
        <v>45311</v>
      </c>
      <c r="D448" t="s">
        <v>129</v>
      </c>
      <c r="E448" t="s">
        <v>31</v>
      </c>
      <c r="F448">
        <v>68</v>
      </c>
      <c r="G448" t="s">
        <v>1529</v>
      </c>
      <c r="H448">
        <v>2</v>
      </c>
      <c r="I448">
        <v>40.04</v>
      </c>
      <c r="J448">
        <v>20.8</v>
      </c>
      <c r="K448" t="s">
        <v>41</v>
      </c>
      <c r="L448" s="3">
        <v>45311</v>
      </c>
      <c r="M448" t="s">
        <v>34</v>
      </c>
      <c r="N448" s="4">
        <v>68</v>
      </c>
      <c r="O448" t="str" cm="1">
        <f t="array" ref="O44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48" t="s">
        <v>2703</v>
      </c>
      <c r="Q448" t="s">
        <v>2926</v>
      </c>
      <c r="R448" s="5">
        <v>40.04</v>
      </c>
      <c r="S448" s="5">
        <v>20.8</v>
      </c>
    </row>
    <row r="449" spans="1:19" x14ac:dyDescent="0.25">
      <c r="A449" t="s">
        <v>1530</v>
      </c>
      <c r="B449" t="s">
        <v>690</v>
      </c>
      <c r="C449" s="3">
        <v>45293</v>
      </c>
      <c r="D449" t="s">
        <v>16</v>
      </c>
      <c r="E449" t="s">
        <v>34</v>
      </c>
      <c r="F449">
        <v>44</v>
      </c>
      <c r="G449" t="s">
        <v>1531</v>
      </c>
      <c r="H449">
        <v>1</v>
      </c>
      <c r="I449">
        <v>25.12</v>
      </c>
      <c r="J449">
        <v>10.33</v>
      </c>
      <c r="K449" t="s">
        <v>19</v>
      </c>
      <c r="L449" s="3">
        <v>45293</v>
      </c>
      <c r="M449" t="s">
        <v>34</v>
      </c>
      <c r="N449" s="4">
        <v>44</v>
      </c>
      <c r="O449" t="str" cm="1">
        <f t="array" ref="O44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49" t="s">
        <v>1932</v>
      </c>
      <c r="Q449" t="s">
        <v>2926</v>
      </c>
      <c r="R449" s="5">
        <v>25.12</v>
      </c>
      <c r="S449" s="5">
        <v>10.33</v>
      </c>
    </row>
    <row r="450" spans="1:19" x14ac:dyDescent="0.25">
      <c r="A450" t="s">
        <v>1532</v>
      </c>
      <c r="B450" t="s">
        <v>840</v>
      </c>
      <c r="C450" s="1">
        <v>45097</v>
      </c>
      <c r="D450" t="s">
        <v>24</v>
      </c>
      <c r="E450" t="s">
        <v>48</v>
      </c>
      <c r="F450">
        <v>21</v>
      </c>
      <c r="G450" t="s">
        <v>1162</v>
      </c>
      <c r="H450">
        <v>1</v>
      </c>
      <c r="I450" s="2">
        <v>25.17</v>
      </c>
      <c r="J450">
        <v>8.7799999999999994</v>
      </c>
      <c r="K450" t="s">
        <v>19</v>
      </c>
      <c r="L450" s="3">
        <v>45097</v>
      </c>
      <c r="M450" t="s">
        <v>48</v>
      </c>
      <c r="N450" s="4">
        <v>21</v>
      </c>
      <c r="O450" t="str" cm="1">
        <f t="array" ref="O45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450" t="s">
        <v>1162</v>
      </c>
      <c r="Q450" t="s">
        <v>2926</v>
      </c>
      <c r="R450" s="5">
        <v>25.17</v>
      </c>
      <c r="S450" s="5">
        <v>8.7799999999999994</v>
      </c>
    </row>
    <row r="451" spans="1:19" x14ac:dyDescent="0.25">
      <c r="A451" t="s">
        <v>1533</v>
      </c>
      <c r="B451" t="s">
        <v>397</v>
      </c>
      <c r="C451" s="1">
        <v>45001</v>
      </c>
      <c r="D451" t="s">
        <v>51</v>
      </c>
      <c r="E451" t="s">
        <v>38</v>
      </c>
      <c r="F451">
        <v>20</v>
      </c>
      <c r="G451" t="s">
        <v>1534</v>
      </c>
      <c r="H451">
        <v>4</v>
      </c>
      <c r="I451" s="2">
        <v>165.62</v>
      </c>
      <c r="J451" t="s">
        <v>1535</v>
      </c>
      <c r="K451" t="s">
        <v>41</v>
      </c>
      <c r="L451" s="3">
        <v>45001</v>
      </c>
      <c r="M451" t="s">
        <v>34</v>
      </c>
      <c r="N451" s="4">
        <v>20</v>
      </c>
      <c r="O451" t="str" cm="1">
        <f t="array" ref="O45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451" t="s">
        <v>1534</v>
      </c>
      <c r="Q451" t="s">
        <v>2926</v>
      </c>
      <c r="R451" s="5">
        <v>165.62</v>
      </c>
      <c r="S451" s="5">
        <v>75.489999999999995</v>
      </c>
    </row>
    <row r="452" spans="1:19" x14ac:dyDescent="0.25">
      <c r="A452" t="s">
        <v>1536</v>
      </c>
      <c r="B452" t="s">
        <v>1537</v>
      </c>
      <c r="C452" t="s">
        <v>1538</v>
      </c>
      <c r="D452" t="s">
        <v>16</v>
      </c>
      <c r="E452" t="s">
        <v>48</v>
      </c>
      <c r="F452">
        <v>52</v>
      </c>
      <c r="G452" t="s">
        <v>1081</v>
      </c>
      <c r="H452">
        <v>1</v>
      </c>
      <c r="I452" t="s">
        <v>1539</v>
      </c>
      <c r="J452" t="s">
        <v>1540</v>
      </c>
      <c r="K452" t="s">
        <v>41</v>
      </c>
      <c r="L452" s="3">
        <v>45532</v>
      </c>
      <c r="M452" t="s">
        <v>48</v>
      </c>
      <c r="N452" s="4">
        <v>52</v>
      </c>
      <c r="O452" t="str" cm="1">
        <f t="array" ref="O45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52" t="s">
        <v>1081</v>
      </c>
      <c r="Q452" t="s">
        <v>2939</v>
      </c>
      <c r="R452" s="5">
        <v>13.45</v>
      </c>
      <c r="S452" s="5">
        <v>4.5599999999999996</v>
      </c>
    </row>
    <row r="453" spans="1:19" x14ac:dyDescent="0.25">
      <c r="A453" t="s">
        <v>884</v>
      </c>
      <c r="B453" t="s">
        <v>885</v>
      </c>
      <c r="C453" t="s">
        <v>886</v>
      </c>
      <c r="D453" t="s">
        <v>51</v>
      </c>
      <c r="E453" t="s">
        <v>70</v>
      </c>
      <c r="F453" t="s">
        <v>25</v>
      </c>
      <c r="G453" t="s">
        <v>887</v>
      </c>
      <c r="H453">
        <v>1</v>
      </c>
      <c r="I453" t="s">
        <v>888</v>
      </c>
      <c r="J453" s="2">
        <v>10.91</v>
      </c>
      <c r="K453" t="s">
        <v>41</v>
      </c>
      <c r="L453" s="3">
        <v>44998</v>
      </c>
      <c r="M453" t="s">
        <v>20</v>
      </c>
      <c r="N453" s="4"/>
      <c r="O453" t="str" cm="1">
        <f t="array" ref="O45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453" t="s">
        <v>887</v>
      </c>
      <c r="Q453" t="s">
        <v>2929</v>
      </c>
      <c r="R453" s="5">
        <v>20.09</v>
      </c>
      <c r="S453" s="5">
        <v>10.91</v>
      </c>
    </row>
    <row r="454" spans="1:19" x14ac:dyDescent="0.25">
      <c r="A454" t="s">
        <v>1541</v>
      </c>
      <c r="B454" t="s">
        <v>1542</v>
      </c>
      <c r="C454" s="1">
        <v>45336</v>
      </c>
      <c r="D454" t="s">
        <v>51</v>
      </c>
      <c r="E454" t="s">
        <v>65</v>
      </c>
      <c r="F454">
        <v>44</v>
      </c>
      <c r="G454" t="s">
        <v>1543</v>
      </c>
      <c r="H454">
        <v>1</v>
      </c>
      <c r="I454">
        <v>30.88</v>
      </c>
      <c r="J454" s="2">
        <v>12.14</v>
      </c>
      <c r="K454" t="s">
        <v>41</v>
      </c>
      <c r="L454" s="3">
        <v>45336</v>
      </c>
      <c r="M454" t="s">
        <v>48</v>
      </c>
      <c r="N454" s="4">
        <v>44</v>
      </c>
      <c r="O454" t="str" cm="1">
        <f t="array" ref="O45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54" t="s">
        <v>1543</v>
      </c>
      <c r="Q454" t="s">
        <v>2926</v>
      </c>
      <c r="R454" s="5">
        <v>30.88</v>
      </c>
      <c r="S454" s="5">
        <v>12.14</v>
      </c>
    </row>
    <row r="455" spans="1:19" x14ac:dyDescent="0.25">
      <c r="A455" t="s">
        <v>1544</v>
      </c>
      <c r="B455" t="s">
        <v>1545</v>
      </c>
      <c r="C455" s="1">
        <v>45010</v>
      </c>
      <c r="D455" t="s">
        <v>16</v>
      </c>
      <c r="E455" t="s">
        <v>45</v>
      </c>
      <c r="F455">
        <v>36</v>
      </c>
      <c r="G455" t="s">
        <v>1546</v>
      </c>
      <c r="H455">
        <v>1</v>
      </c>
      <c r="I455" s="2">
        <v>19.14</v>
      </c>
      <c r="J455" s="2">
        <v>6.07</v>
      </c>
      <c r="K455" t="s">
        <v>19</v>
      </c>
      <c r="L455" s="3">
        <v>45010</v>
      </c>
      <c r="M455" t="s">
        <v>48</v>
      </c>
      <c r="N455" s="4">
        <v>36</v>
      </c>
      <c r="O455" t="str" cm="1">
        <f t="array" ref="O45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55" t="s">
        <v>2952</v>
      </c>
      <c r="Q455" t="s">
        <v>2927</v>
      </c>
      <c r="R455" s="5">
        <v>19.14</v>
      </c>
      <c r="S455" s="5">
        <v>6.07</v>
      </c>
    </row>
    <row r="456" spans="1:19" x14ac:dyDescent="0.25">
      <c r="A456" t="s">
        <v>1547</v>
      </c>
      <c r="B456" t="s">
        <v>1548</v>
      </c>
      <c r="C456" t="s">
        <v>1549</v>
      </c>
      <c r="D456" t="s">
        <v>24</v>
      </c>
      <c r="E456" t="s">
        <v>38</v>
      </c>
      <c r="F456">
        <v>36</v>
      </c>
      <c r="G456" t="s">
        <v>1550</v>
      </c>
      <c r="H456">
        <v>1</v>
      </c>
      <c r="I456">
        <v>14.3</v>
      </c>
      <c r="J456">
        <v>8.7200000000000006</v>
      </c>
      <c r="K456" t="s">
        <v>19</v>
      </c>
      <c r="L456" s="3">
        <v>45446</v>
      </c>
      <c r="M456" t="s">
        <v>34</v>
      </c>
      <c r="N456" s="4">
        <v>36</v>
      </c>
      <c r="O456" t="str" cm="1">
        <f t="array" ref="O45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56" t="s">
        <v>1550</v>
      </c>
      <c r="Q456" t="s">
        <v>2925</v>
      </c>
      <c r="R456" s="5">
        <v>14.3</v>
      </c>
      <c r="S456" s="5">
        <v>8.7200000000000006</v>
      </c>
    </row>
    <row r="457" spans="1:19" x14ac:dyDescent="0.25">
      <c r="A457" t="s">
        <v>1551</v>
      </c>
      <c r="B457" t="s">
        <v>1552</v>
      </c>
      <c r="C457" s="1">
        <v>45264</v>
      </c>
      <c r="D457" t="s">
        <v>51</v>
      </c>
      <c r="E457" t="s">
        <v>60</v>
      </c>
      <c r="F457">
        <v>20</v>
      </c>
      <c r="G457" t="s">
        <v>1553</v>
      </c>
      <c r="H457">
        <v>1</v>
      </c>
      <c r="I457" t="s">
        <v>1554</v>
      </c>
      <c r="J457">
        <v>16.18</v>
      </c>
      <c r="K457" t="s">
        <v>19</v>
      </c>
      <c r="L457" s="3">
        <v>45264</v>
      </c>
      <c r="M457" t="s">
        <v>48</v>
      </c>
      <c r="N457" s="4">
        <v>20</v>
      </c>
      <c r="O457" t="str" cm="1">
        <f t="array" ref="O45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457" t="s">
        <v>1553</v>
      </c>
      <c r="Q457" t="s">
        <v>2929</v>
      </c>
      <c r="R457" s="5">
        <v>61.29</v>
      </c>
      <c r="S457" s="5">
        <v>16.18</v>
      </c>
    </row>
    <row r="458" spans="1:19" x14ac:dyDescent="0.25">
      <c r="A458" t="s">
        <v>1555</v>
      </c>
      <c r="B458" t="s">
        <v>1556</v>
      </c>
      <c r="C458" t="s">
        <v>1557</v>
      </c>
      <c r="D458" t="s">
        <v>51</v>
      </c>
      <c r="E458" t="s">
        <v>45</v>
      </c>
      <c r="F458">
        <v>17</v>
      </c>
      <c r="G458" t="s">
        <v>1558</v>
      </c>
      <c r="H458">
        <v>1</v>
      </c>
      <c r="I458" t="s">
        <v>1559</v>
      </c>
      <c r="J458">
        <v>6.87</v>
      </c>
      <c r="K458" t="s">
        <v>19</v>
      </c>
      <c r="L458" s="3">
        <v>44980</v>
      </c>
      <c r="M458" t="s">
        <v>48</v>
      </c>
      <c r="N458" s="4">
        <v>17</v>
      </c>
      <c r="O458" t="str" cm="1">
        <f t="array" ref="O45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458" t="s">
        <v>1524</v>
      </c>
      <c r="Q458" t="s">
        <v>2929</v>
      </c>
      <c r="R458" s="5">
        <v>21.21</v>
      </c>
      <c r="S458" s="5">
        <v>6.87</v>
      </c>
    </row>
    <row r="459" spans="1:19" x14ac:dyDescent="0.25">
      <c r="A459" t="s">
        <v>1560</v>
      </c>
      <c r="B459" t="s">
        <v>1199</v>
      </c>
      <c r="C459" t="s">
        <v>1561</v>
      </c>
      <c r="D459" t="s">
        <v>24</v>
      </c>
      <c r="E459" t="s">
        <v>45</v>
      </c>
      <c r="G459" t="s">
        <v>1151</v>
      </c>
      <c r="H459">
        <v>1</v>
      </c>
      <c r="I459">
        <v>13.04</v>
      </c>
      <c r="J459">
        <v>3.57</v>
      </c>
      <c r="K459" t="s">
        <v>19</v>
      </c>
      <c r="L459" s="3">
        <v>45342</v>
      </c>
      <c r="M459" t="s">
        <v>48</v>
      </c>
      <c r="N459" s="4"/>
      <c r="O459" t="str" cm="1">
        <f t="array" ref="O45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459" t="s">
        <v>1151</v>
      </c>
      <c r="Q459" t="s">
        <v>2927</v>
      </c>
      <c r="R459" s="5">
        <v>13.04</v>
      </c>
      <c r="S459" s="5">
        <v>3.57</v>
      </c>
    </row>
    <row r="460" spans="1:19" x14ac:dyDescent="0.25">
      <c r="A460" t="s">
        <v>1562</v>
      </c>
      <c r="B460" t="s">
        <v>242</v>
      </c>
      <c r="C460" t="s">
        <v>1563</v>
      </c>
      <c r="D460" t="s">
        <v>129</v>
      </c>
      <c r="E460" t="s">
        <v>60</v>
      </c>
      <c r="F460">
        <v>36</v>
      </c>
      <c r="G460" t="s">
        <v>1564</v>
      </c>
      <c r="H460">
        <v>2</v>
      </c>
      <c r="I460">
        <v>11.04</v>
      </c>
      <c r="J460">
        <v>3.78</v>
      </c>
      <c r="K460" t="s">
        <v>19</v>
      </c>
      <c r="L460" s="3">
        <v>45380</v>
      </c>
      <c r="M460" t="s">
        <v>48</v>
      </c>
      <c r="N460" s="4">
        <v>36</v>
      </c>
      <c r="O460" t="str" cm="1">
        <f t="array" ref="O46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60" t="s">
        <v>1564</v>
      </c>
      <c r="Q460" t="s">
        <v>2930</v>
      </c>
      <c r="R460" s="5">
        <v>11.04</v>
      </c>
      <c r="S460" s="5">
        <v>3.78</v>
      </c>
    </row>
    <row r="461" spans="1:19" x14ac:dyDescent="0.25">
      <c r="A461" t="s">
        <v>201</v>
      </c>
      <c r="B461" t="s">
        <v>202</v>
      </c>
      <c r="C461" t="s">
        <v>203</v>
      </c>
      <c r="D461" t="s">
        <v>30</v>
      </c>
      <c r="E461" t="s">
        <v>65</v>
      </c>
      <c r="F461">
        <v>42</v>
      </c>
      <c r="G461" t="s">
        <v>204</v>
      </c>
      <c r="H461">
        <v>1</v>
      </c>
      <c r="I461" t="s">
        <v>205</v>
      </c>
      <c r="J461" s="2">
        <v>6.7</v>
      </c>
      <c r="K461" t="s">
        <v>19</v>
      </c>
      <c r="L461" s="3">
        <v>45311</v>
      </c>
      <c r="M461" t="s">
        <v>48</v>
      </c>
      <c r="N461" s="4">
        <v>42</v>
      </c>
      <c r="O461" t="str" cm="1">
        <f t="array" ref="O46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61" t="s">
        <v>204</v>
      </c>
      <c r="Q461" t="s">
        <v>2929</v>
      </c>
      <c r="R461" s="5"/>
      <c r="S461" s="5">
        <v>6.7</v>
      </c>
    </row>
    <row r="462" spans="1:19" x14ac:dyDescent="0.25">
      <c r="A462" t="s">
        <v>1565</v>
      </c>
      <c r="B462" t="s">
        <v>121</v>
      </c>
      <c r="C462" s="1">
        <v>45037</v>
      </c>
      <c r="D462" t="s">
        <v>51</v>
      </c>
      <c r="E462" t="s">
        <v>31</v>
      </c>
      <c r="F462">
        <v>25</v>
      </c>
      <c r="G462" t="s">
        <v>1127</v>
      </c>
      <c r="H462">
        <v>1</v>
      </c>
      <c r="I462">
        <v>36.369999999999997</v>
      </c>
      <c r="J462">
        <v>16</v>
      </c>
      <c r="K462" t="s">
        <v>19</v>
      </c>
      <c r="L462" s="3">
        <v>45037</v>
      </c>
      <c r="M462" t="s">
        <v>34</v>
      </c>
      <c r="N462" s="4">
        <v>25</v>
      </c>
      <c r="O462" t="str" cm="1">
        <f t="array" ref="O46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62" t="s">
        <v>1127</v>
      </c>
      <c r="Q462" t="s">
        <v>2925</v>
      </c>
      <c r="R462" s="5">
        <v>36.369999999999997</v>
      </c>
      <c r="S462" s="5">
        <v>16</v>
      </c>
    </row>
    <row r="463" spans="1:19" x14ac:dyDescent="0.25">
      <c r="A463" t="s">
        <v>1566</v>
      </c>
      <c r="B463" t="s">
        <v>1567</v>
      </c>
      <c r="C463" s="1">
        <v>45108</v>
      </c>
      <c r="D463" t="s">
        <v>51</v>
      </c>
      <c r="E463" t="s">
        <v>70</v>
      </c>
      <c r="F463">
        <v>43</v>
      </c>
      <c r="G463" t="s">
        <v>1468</v>
      </c>
      <c r="H463">
        <v>-1</v>
      </c>
      <c r="I463">
        <v>-6.07</v>
      </c>
      <c r="J463">
        <v>-6.79</v>
      </c>
      <c r="K463" t="s">
        <v>19</v>
      </c>
      <c r="L463" s="3">
        <v>45108</v>
      </c>
      <c r="M463" t="s">
        <v>20</v>
      </c>
      <c r="N463" s="4">
        <v>43</v>
      </c>
      <c r="O463" t="str" cm="1">
        <f t="array" ref="O46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63" t="s">
        <v>1468</v>
      </c>
      <c r="Q463" t="s">
        <v>2926</v>
      </c>
      <c r="R463" s="5">
        <v>-6.07</v>
      </c>
      <c r="S463" s="5">
        <v>-6.79</v>
      </c>
    </row>
    <row r="464" spans="1:19" x14ac:dyDescent="0.25">
      <c r="A464" t="s">
        <v>1568</v>
      </c>
      <c r="B464" t="s">
        <v>1503</v>
      </c>
      <c r="C464" t="s">
        <v>1569</v>
      </c>
      <c r="D464" t="s">
        <v>51</v>
      </c>
      <c r="E464" t="s">
        <v>65</v>
      </c>
      <c r="F464">
        <v>49</v>
      </c>
      <c r="G464" t="s">
        <v>1570</v>
      </c>
      <c r="H464">
        <v>-1</v>
      </c>
      <c r="I464" t="s">
        <v>1571</v>
      </c>
      <c r="J464" s="2">
        <v>-4.7300000000000004</v>
      </c>
      <c r="K464" t="s">
        <v>19</v>
      </c>
      <c r="L464" s="3">
        <v>44972</v>
      </c>
      <c r="M464" t="s">
        <v>48</v>
      </c>
      <c r="N464" s="4">
        <v>49</v>
      </c>
      <c r="O464" t="str" cm="1">
        <f t="array" ref="O46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64" t="s">
        <v>1570</v>
      </c>
      <c r="Q464" t="s">
        <v>2925</v>
      </c>
      <c r="R464" s="5">
        <v>-8.2799999999999994</v>
      </c>
      <c r="S464" s="5">
        <v>-4.7300000000000004</v>
      </c>
    </row>
    <row r="465" spans="1:19" x14ac:dyDescent="0.25">
      <c r="A465" t="s">
        <v>1225</v>
      </c>
      <c r="B465" t="s">
        <v>1226</v>
      </c>
      <c r="C465" s="1">
        <v>45377</v>
      </c>
      <c r="D465" t="s">
        <v>129</v>
      </c>
      <c r="E465" t="s">
        <v>45</v>
      </c>
      <c r="F465">
        <v>32</v>
      </c>
      <c r="G465" t="s">
        <v>100</v>
      </c>
      <c r="H465">
        <v>1</v>
      </c>
      <c r="I465" t="s">
        <v>1227</v>
      </c>
      <c r="J465">
        <v>2.5099999999999998</v>
      </c>
      <c r="K465" t="s">
        <v>41</v>
      </c>
      <c r="L465" s="3">
        <v>45377</v>
      </c>
      <c r="M465" t="s">
        <v>48</v>
      </c>
      <c r="N465" s="4">
        <v>32</v>
      </c>
      <c r="O465" t="str" cm="1">
        <f t="array" ref="O46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65" t="s">
        <v>100</v>
      </c>
      <c r="Q465" t="s">
        <v>2926</v>
      </c>
      <c r="R465" s="5">
        <v>5.78</v>
      </c>
      <c r="S465" s="5">
        <v>2.5099999999999998</v>
      </c>
    </row>
    <row r="466" spans="1:19" x14ac:dyDescent="0.25">
      <c r="A466" t="s">
        <v>1572</v>
      </c>
      <c r="B466" t="s">
        <v>172</v>
      </c>
      <c r="C466" s="1">
        <v>45606</v>
      </c>
      <c r="D466" t="s">
        <v>129</v>
      </c>
      <c r="E466" t="s">
        <v>65</v>
      </c>
      <c r="F466">
        <v>53</v>
      </c>
      <c r="G466" t="s">
        <v>1424</v>
      </c>
      <c r="H466">
        <v>1</v>
      </c>
      <c r="I466">
        <v>3.52</v>
      </c>
      <c r="J466">
        <v>1.2</v>
      </c>
      <c r="K466" t="s">
        <v>41</v>
      </c>
      <c r="L466" s="3">
        <v>45606</v>
      </c>
      <c r="M466" t="s">
        <v>48</v>
      </c>
      <c r="N466" s="4">
        <v>53</v>
      </c>
      <c r="O466" t="str" cm="1">
        <f t="array" ref="O46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66" t="s">
        <v>1424</v>
      </c>
      <c r="Q466" t="s">
        <v>2929</v>
      </c>
      <c r="R466" s="5">
        <v>3.52</v>
      </c>
      <c r="S466" s="5">
        <v>1.2</v>
      </c>
    </row>
    <row r="467" spans="1:19" x14ac:dyDescent="0.25">
      <c r="A467" t="s">
        <v>1573</v>
      </c>
      <c r="B467" t="s">
        <v>1202</v>
      </c>
      <c r="C467" s="1">
        <v>45619</v>
      </c>
      <c r="D467" t="s">
        <v>24</v>
      </c>
      <c r="E467" t="s">
        <v>38</v>
      </c>
      <c r="F467">
        <v>56</v>
      </c>
      <c r="G467" t="s">
        <v>1574</v>
      </c>
      <c r="H467">
        <v>2</v>
      </c>
      <c r="I467" s="2">
        <v>50.27</v>
      </c>
      <c r="J467">
        <v>16.55</v>
      </c>
      <c r="K467" t="s">
        <v>19</v>
      </c>
      <c r="L467" s="3">
        <v>45619</v>
      </c>
      <c r="M467" t="s">
        <v>34</v>
      </c>
      <c r="N467" s="4">
        <v>56</v>
      </c>
      <c r="O467" t="str" cm="1">
        <f t="array" ref="O46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67" t="s">
        <v>1574</v>
      </c>
      <c r="Q467" t="s">
        <v>2928</v>
      </c>
      <c r="R467" s="5">
        <v>50.27</v>
      </c>
      <c r="S467" s="5">
        <v>16.55</v>
      </c>
    </row>
    <row r="468" spans="1:19" x14ac:dyDescent="0.25">
      <c r="A468" t="s">
        <v>1575</v>
      </c>
      <c r="B468" t="s">
        <v>924</v>
      </c>
      <c r="C468" t="s">
        <v>1576</v>
      </c>
      <c r="D468" t="s">
        <v>24</v>
      </c>
      <c r="E468" t="s">
        <v>85</v>
      </c>
      <c r="F468">
        <v>33</v>
      </c>
      <c r="G468" t="s">
        <v>1577</v>
      </c>
      <c r="H468">
        <v>2</v>
      </c>
      <c r="I468">
        <v>57.7</v>
      </c>
      <c r="J468" s="2">
        <v>17.91</v>
      </c>
      <c r="K468" t="s">
        <v>41</v>
      </c>
      <c r="L468" s="3">
        <v>45622</v>
      </c>
      <c r="M468" t="s">
        <v>34</v>
      </c>
      <c r="N468" s="4">
        <v>33</v>
      </c>
      <c r="O468" t="str" cm="1">
        <f t="array" ref="O46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68" t="s">
        <v>1577</v>
      </c>
      <c r="Q468" t="s">
        <v>2926</v>
      </c>
      <c r="R468" s="5">
        <v>57.7</v>
      </c>
      <c r="S468" s="5">
        <v>17.91</v>
      </c>
    </row>
    <row r="469" spans="1:19" x14ac:dyDescent="0.25">
      <c r="A469" t="s">
        <v>1578</v>
      </c>
      <c r="B469" t="s">
        <v>840</v>
      </c>
      <c r="C469" t="s">
        <v>1579</v>
      </c>
      <c r="D469" t="s">
        <v>24</v>
      </c>
      <c r="E469" t="s">
        <v>34</v>
      </c>
      <c r="F469">
        <v>33</v>
      </c>
      <c r="G469" t="s">
        <v>1580</v>
      </c>
      <c r="H469">
        <v>1</v>
      </c>
      <c r="I469">
        <v>25.8</v>
      </c>
      <c r="J469" t="s">
        <v>1581</v>
      </c>
      <c r="K469" t="s">
        <v>41</v>
      </c>
      <c r="L469" s="3">
        <v>45262</v>
      </c>
      <c r="M469" t="s">
        <v>34</v>
      </c>
      <c r="N469" s="4">
        <v>33</v>
      </c>
      <c r="O469" t="str" cm="1">
        <f t="array" ref="O46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69" t="s">
        <v>1580</v>
      </c>
      <c r="Q469" t="s">
        <v>2932</v>
      </c>
      <c r="R469" s="5">
        <v>25.8</v>
      </c>
      <c r="S469" s="5">
        <v>8.69</v>
      </c>
    </row>
    <row r="470" spans="1:19" x14ac:dyDescent="0.25">
      <c r="A470" t="s">
        <v>1582</v>
      </c>
      <c r="B470" t="s">
        <v>118</v>
      </c>
      <c r="C470" s="3">
        <v>45185</v>
      </c>
      <c r="D470" t="s">
        <v>51</v>
      </c>
      <c r="E470" t="s">
        <v>34</v>
      </c>
      <c r="F470">
        <v>68</v>
      </c>
      <c r="G470" t="s">
        <v>1583</v>
      </c>
      <c r="H470">
        <v>1</v>
      </c>
      <c r="I470">
        <v>38.03</v>
      </c>
      <c r="J470">
        <v>21.37</v>
      </c>
      <c r="K470" t="s">
        <v>19</v>
      </c>
      <c r="L470" s="3">
        <v>45185</v>
      </c>
      <c r="M470" t="s">
        <v>34</v>
      </c>
      <c r="N470" s="4">
        <v>68</v>
      </c>
      <c r="O470" t="str" cm="1">
        <f t="array" ref="O47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70" t="s">
        <v>1583</v>
      </c>
      <c r="Q470" t="s">
        <v>2926</v>
      </c>
      <c r="R470" s="5">
        <v>38.03</v>
      </c>
      <c r="S470" s="5">
        <v>21.37</v>
      </c>
    </row>
    <row r="471" spans="1:19" x14ac:dyDescent="0.25">
      <c r="A471" t="s">
        <v>1584</v>
      </c>
      <c r="B471" t="s">
        <v>1585</v>
      </c>
      <c r="C471" t="s">
        <v>1586</v>
      </c>
      <c r="D471" t="s">
        <v>24</v>
      </c>
      <c r="E471" t="s">
        <v>60</v>
      </c>
      <c r="F471">
        <v>46</v>
      </c>
      <c r="G471" t="s">
        <v>1587</v>
      </c>
      <c r="H471">
        <v>1</v>
      </c>
      <c r="I471" t="s">
        <v>1588</v>
      </c>
      <c r="J471" t="s">
        <v>1589</v>
      </c>
      <c r="K471" t="s">
        <v>19</v>
      </c>
      <c r="L471" s="3">
        <v>44947</v>
      </c>
      <c r="M471" t="s">
        <v>48</v>
      </c>
      <c r="N471" s="4">
        <v>46</v>
      </c>
      <c r="O471" t="str" cm="1">
        <f t="array" ref="O47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71" t="s">
        <v>1587</v>
      </c>
      <c r="Q471" t="s">
        <v>2939</v>
      </c>
      <c r="R471" s="5">
        <v>19.93</v>
      </c>
      <c r="S471" s="5">
        <v>4.46</v>
      </c>
    </row>
    <row r="472" spans="1:19" x14ac:dyDescent="0.25">
      <c r="A472" t="s">
        <v>1590</v>
      </c>
      <c r="B472" t="s">
        <v>93</v>
      </c>
      <c r="C472" s="3">
        <v>45125</v>
      </c>
      <c r="D472" t="s">
        <v>24</v>
      </c>
      <c r="E472" t="s">
        <v>60</v>
      </c>
      <c r="F472">
        <v>38</v>
      </c>
      <c r="G472" t="s">
        <v>1254</v>
      </c>
      <c r="H472">
        <v>1</v>
      </c>
      <c r="I472" t="s">
        <v>1591</v>
      </c>
      <c r="J472">
        <v>12.47</v>
      </c>
      <c r="K472" t="s">
        <v>19</v>
      </c>
      <c r="L472" s="3">
        <v>45125</v>
      </c>
      <c r="M472" t="s">
        <v>48</v>
      </c>
      <c r="N472" s="4">
        <v>38</v>
      </c>
      <c r="O472" t="str" cm="1">
        <f t="array" ref="O47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72" t="s">
        <v>1254</v>
      </c>
      <c r="Q472" t="s">
        <v>2925</v>
      </c>
      <c r="R472" s="5">
        <v>28.4</v>
      </c>
      <c r="S472" s="5">
        <v>12.47</v>
      </c>
    </row>
    <row r="473" spans="1:19" x14ac:dyDescent="0.25">
      <c r="A473" t="s">
        <v>1592</v>
      </c>
      <c r="B473" t="s">
        <v>1226</v>
      </c>
      <c r="C473" s="1">
        <v>45379</v>
      </c>
      <c r="D473" t="s">
        <v>129</v>
      </c>
      <c r="E473" t="s">
        <v>25</v>
      </c>
      <c r="F473">
        <v>40</v>
      </c>
      <c r="G473" t="s">
        <v>1593</v>
      </c>
      <c r="H473">
        <v>2</v>
      </c>
      <c r="I473" s="2">
        <v>13.11</v>
      </c>
      <c r="J473" s="2">
        <v>5.61</v>
      </c>
      <c r="K473" t="s">
        <v>19</v>
      </c>
      <c r="L473" s="3">
        <v>45379</v>
      </c>
      <c r="M473" t="s">
        <v>20</v>
      </c>
      <c r="N473" s="4">
        <v>40</v>
      </c>
      <c r="O473" t="str" cm="1">
        <f t="array" ref="O47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73" t="s">
        <v>100</v>
      </c>
      <c r="Q473" t="s">
        <v>2926</v>
      </c>
      <c r="R473" s="5">
        <v>13.11</v>
      </c>
      <c r="S473" s="5">
        <v>5.61</v>
      </c>
    </row>
    <row r="474" spans="1:19" x14ac:dyDescent="0.25">
      <c r="A474" t="s">
        <v>1594</v>
      </c>
      <c r="B474" t="s">
        <v>497</v>
      </c>
      <c r="C474" s="1">
        <v>45205</v>
      </c>
      <c r="D474" t="s">
        <v>16</v>
      </c>
      <c r="E474" t="s">
        <v>38</v>
      </c>
      <c r="F474">
        <v>32</v>
      </c>
      <c r="G474" t="s">
        <v>1595</v>
      </c>
      <c r="H474">
        <v>1</v>
      </c>
      <c r="I474" t="s">
        <v>1596</v>
      </c>
      <c r="J474">
        <v>5.91</v>
      </c>
      <c r="K474" t="s">
        <v>19</v>
      </c>
      <c r="L474" s="3">
        <v>45205</v>
      </c>
      <c r="M474" t="s">
        <v>34</v>
      </c>
      <c r="N474" s="4">
        <v>32</v>
      </c>
      <c r="O474" t="str" cm="1">
        <f t="array" ref="O47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74" t="s">
        <v>2953</v>
      </c>
      <c r="Q474" t="s">
        <v>2926</v>
      </c>
      <c r="R474" s="5">
        <v>15.1</v>
      </c>
      <c r="S474" s="5">
        <v>5.91</v>
      </c>
    </row>
    <row r="475" spans="1:19" x14ac:dyDescent="0.25">
      <c r="A475" t="s">
        <v>1597</v>
      </c>
      <c r="B475" t="s">
        <v>1103</v>
      </c>
      <c r="C475" t="s">
        <v>1598</v>
      </c>
      <c r="D475" t="s">
        <v>16</v>
      </c>
      <c r="E475" t="s">
        <v>85</v>
      </c>
      <c r="F475">
        <v>69</v>
      </c>
      <c r="G475" t="s">
        <v>91</v>
      </c>
      <c r="H475">
        <v>1</v>
      </c>
      <c r="I475">
        <v>16.28</v>
      </c>
      <c r="J475" s="2">
        <v>3.76</v>
      </c>
      <c r="K475" t="s">
        <v>19</v>
      </c>
      <c r="L475" s="3">
        <v>45168</v>
      </c>
      <c r="M475" t="s">
        <v>34</v>
      </c>
      <c r="N475" s="4">
        <v>69</v>
      </c>
      <c r="O475" t="str" cm="1">
        <f t="array" ref="O47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75" t="s">
        <v>91</v>
      </c>
      <c r="Q475" t="s">
        <v>2926</v>
      </c>
      <c r="R475" s="5">
        <v>16.28</v>
      </c>
      <c r="S475" s="5">
        <v>3.76</v>
      </c>
    </row>
    <row r="476" spans="1:19" x14ac:dyDescent="0.25">
      <c r="A476" t="s">
        <v>1599</v>
      </c>
      <c r="B476" t="s">
        <v>642</v>
      </c>
      <c r="C476" s="1">
        <v>45152</v>
      </c>
      <c r="D476" t="s">
        <v>24</v>
      </c>
      <c r="E476" t="s">
        <v>31</v>
      </c>
      <c r="F476">
        <v>17</v>
      </c>
      <c r="G476" t="s">
        <v>1600</v>
      </c>
      <c r="H476">
        <v>1</v>
      </c>
      <c r="I476">
        <v>19.87</v>
      </c>
      <c r="J476">
        <v>10.25</v>
      </c>
      <c r="K476" t="s">
        <v>19</v>
      </c>
      <c r="L476" s="3">
        <v>45152</v>
      </c>
      <c r="M476" t="s">
        <v>34</v>
      </c>
      <c r="N476" s="4">
        <v>17</v>
      </c>
      <c r="O476" t="str" cm="1">
        <f t="array" ref="O47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476" t="s">
        <v>2954</v>
      </c>
      <c r="Q476" t="s">
        <v>2929</v>
      </c>
      <c r="R476" s="5">
        <v>19.87</v>
      </c>
      <c r="S476" s="5">
        <v>10.25</v>
      </c>
    </row>
    <row r="477" spans="1:19" x14ac:dyDescent="0.25">
      <c r="A477" t="s">
        <v>1272</v>
      </c>
      <c r="B477" t="s">
        <v>1273</v>
      </c>
      <c r="C477" s="1">
        <v>45081</v>
      </c>
      <c r="D477" t="s">
        <v>30</v>
      </c>
      <c r="E477" t="s">
        <v>65</v>
      </c>
      <c r="F477" t="s">
        <v>25</v>
      </c>
      <c r="G477" t="s">
        <v>1274</v>
      </c>
      <c r="H477">
        <v>-1</v>
      </c>
      <c r="I477">
        <v>-17.34</v>
      </c>
      <c r="J477">
        <v>-9.01</v>
      </c>
      <c r="K477" t="s">
        <v>41</v>
      </c>
      <c r="L477" s="3">
        <v>45081</v>
      </c>
      <c r="M477" t="s">
        <v>48</v>
      </c>
      <c r="N477" s="4"/>
      <c r="O477" t="str" cm="1">
        <f t="array" ref="O47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477" t="s">
        <v>2949</v>
      </c>
      <c r="Q477" t="s">
        <v>2932</v>
      </c>
      <c r="R477" s="5">
        <v>-17.34</v>
      </c>
      <c r="S477" s="5">
        <v>-9.01</v>
      </c>
    </row>
    <row r="478" spans="1:19" x14ac:dyDescent="0.25">
      <c r="A478" t="s">
        <v>1601</v>
      </c>
      <c r="B478" t="s">
        <v>882</v>
      </c>
      <c r="C478" s="1">
        <v>45493</v>
      </c>
      <c r="D478" t="s">
        <v>16</v>
      </c>
      <c r="E478" t="s">
        <v>38</v>
      </c>
      <c r="F478">
        <v>55</v>
      </c>
      <c r="G478" t="s">
        <v>115</v>
      </c>
      <c r="H478">
        <v>3</v>
      </c>
      <c r="I478" s="2">
        <v>57.01</v>
      </c>
      <c r="J478">
        <v>24.54</v>
      </c>
      <c r="K478" t="s">
        <v>41</v>
      </c>
      <c r="L478" s="3">
        <v>45493</v>
      </c>
      <c r="M478" t="s">
        <v>34</v>
      </c>
      <c r="N478" s="4">
        <v>55</v>
      </c>
      <c r="O478" t="str" cm="1">
        <f t="array" ref="O47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78" t="s">
        <v>115</v>
      </c>
      <c r="Q478" t="s">
        <v>2927</v>
      </c>
      <c r="R478" s="5">
        <v>57.01</v>
      </c>
      <c r="S478" s="5">
        <v>24.54</v>
      </c>
    </row>
    <row r="479" spans="1:19" x14ac:dyDescent="0.25">
      <c r="A479" t="s">
        <v>1602</v>
      </c>
      <c r="B479" t="s">
        <v>1336</v>
      </c>
      <c r="C479" s="1">
        <v>45306</v>
      </c>
      <c r="D479" t="s">
        <v>30</v>
      </c>
      <c r="F479">
        <v>20</v>
      </c>
      <c r="G479" t="s">
        <v>1603</v>
      </c>
      <c r="H479">
        <v>1</v>
      </c>
      <c r="I479">
        <v>42.24</v>
      </c>
      <c r="J479">
        <v>14.87</v>
      </c>
      <c r="K479" t="s">
        <v>19</v>
      </c>
      <c r="L479" s="3">
        <v>45306</v>
      </c>
      <c r="M479" t="s">
        <v>20</v>
      </c>
      <c r="N479" s="4">
        <v>20</v>
      </c>
      <c r="O479" t="str" cm="1">
        <f t="array" ref="O47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479" t="s">
        <v>2955</v>
      </c>
      <c r="Q479" t="s">
        <v>2929</v>
      </c>
      <c r="R479" s="5">
        <v>42.24</v>
      </c>
      <c r="S479" s="5">
        <v>14.87</v>
      </c>
    </row>
    <row r="480" spans="1:19" x14ac:dyDescent="0.25">
      <c r="A480" t="s">
        <v>1604</v>
      </c>
      <c r="B480" t="s">
        <v>1605</v>
      </c>
      <c r="C480" t="s">
        <v>1606</v>
      </c>
      <c r="D480" t="s">
        <v>16</v>
      </c>
      <c r="E480" t="s">
        <v>38</v>
      </c>
      <c r="F480">
        <v>44</v>
      </c>
      <c r="G480" t="s">
        <v>324</v>
      </c>
      <c r="H480">
        <v>2</v>
      </c>
      <c r="I480">
        <v>19.52</v>
      </c>
      <c r="K480" t="s">
        <v>41</v>
      </c>
      <c r="L480" s="3">
        <v>45292</v>
      </c>
      <c r="M480" t="s">
        <v>34</v>
      </c>
      <c r="N480" s="4">
        <v>44</v>
      </c>
      <c r="O480" t="str" cm="1">
        <f t="array" ref="O48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80" t="s">
        <v>324</v>
      </c>
      <c r="Q480" t="s">
        <v>2927</v>
      </c>
      <c r="R480" s="5">
        <v>19.52</v>
      </c>
      <c r="S480" s="5"/>
    </row>
    <row r="481" spans="1:19" x14ac:dyDescent="0.25">
      <c r="A481" t="s">
        <v>1607</v>
      </c>
      <c r="B481" t="s">
        <v>924</v>
      </c>
      <c r="C481" t="s">
        <v>1608</v>
      </c>
      <c r="D481" t="s">
        <v>129</v>
      </c>
      <c r="E481" t="s">
        <v>65</v>
      </c>
      <c r="F481">
        <v>70</v>
      </c>
      <c r="G481" t="s">
        <v>917</v>
      </c>
      <c r="H481">
        <v>2</v>
      </c>
      <c r="I481">
        <v>11.02</v>
      </c>
      <c r="J481">
        <v>5.09</v>
      </c>
      <c r="K481" t="s">
        <v>41</v>
      </c>
      <c r="L481" s="3">
        <v>45609</v>
      </c>
      <c r="M481" t="s">
        <v>48</v>
      </c>
      <c r="N481" s="4">
        <v>70</v>
      </c>
      <c r="O481" t="str" cm="1">
        <f t="array" ref="O48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81" t="s">
        <v>917</v>
      </c>
      <c r="Q481" t="s">
        <v>2926</v>
      </c>
      <c r="R481" s="5">
        <v>11.02</v>
      </c>
      <c r="S481" s="5">
        <v>5.09</v>
      </c>
    </row>
    <row r="482" spans="1:19" x14ac:dyDescent="0.25">
      <c r="A482" t="s">
        <v>1609</v>
      </c>
      <c r="B482" t="s">
        <v>1610</v>
      </c>
      <c r="C482" t="s">
        <v>1611</v>
      </c>
      <c r="D482" t="s">
        <v>16</v>
      </c>
      <c r="E482" t="s">
        <v>70</v>
      </c>
      <c r="F482">
        <v>28</v>
      </c>
      <c r="G482" t="s">
        <v>1612</v>
      </c>
      <c r="H482">
        <v>3</v>
      </c>
      <c r="I482">
        <v>55.51</v>
      </c>
      <c r="J482">
        <v>24.35</v>
      </c>
      <c r="K482" t="s">
        <v>19</v>
      </c>
      <c r="L482" s="3">
        <v>45148</v>
      </c>
      <c r="M482" t="s">
        <v>20</v>
      </c>
      <c r="N482" s="4">
        <v>28</v>
      </c>
      <c r="O482" t="str" cm="1">
        <f t="array" ref="O48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82" t="s">
        <v>1612</v>
      </c>
      <c r="Q482" t="s">
        <v>2926</v>
      </c>
      <c r="R482" s="5">
        <v>55.51</v>
      </c>
      <c r="S482" s="5">
        <v>24.35</v>
      </c>
    </row>
    <row r="483" spans="1:19" x14ac:dyDescent="0.25">
      <c r="A483" t="s">
        <v>1613</v>
      </c>
      <c r="B483" t="s">
        <v>1344</v>
      </c>
      <c r="C483" s="3">
        <v>45106</v>
      </c>
      <c r="D483" t="s">
        <v>129</v>
      </c>
      <c r="E483" t="s">
        <v>48</v>
      </c>
      <c r="F483">
        <v>42</v>
      </c>
      <c r="G483" t="s">
        <v>1368</v>
      </c>
      <c r="H483">
        <v>4</v>
      </c>
      <c r="I483" t="s">
        <v>1614</v>
      </c>
      <c r="J483" t="s">
        <v>1615</v>
      </c>
      <c r="K483" t="s">
        <v>41</v>
      </c>
      <c r="L483" s="3">
        <v>45106</v>
      </c>
      <c r="M483" t="s">
        <v>48</v>
      </c>
      <c r="N483" s="4">
        <v>42</v>
      </c>
      <c r="O483" t="str" cm="1">
        <f t="array" ref="O48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83" t="s">
        <v>1368</v>
      </c>
      <c r="Q483" t="s">
        <v>2926</v>
      </c>
      <c r="R483" s="5">
        <v>78.28</v>
      </c>
      <c r="S483" s="5">
        <v>28.73</v>
      </c>
    </row>
    <row r="484" spans="1:19" x14ac:dyDescent="0.25">
      <c r="A484" t="s">
        <v>1616</v>
      </c>
      <c r="B484" t="s">
        <v>610</v>
      </c>
      <c r="C484" t="s">
        <v>1617</v>
      </c>
      <c r="D484" t="s">
        <v>16</v>
      </c>
      <c r="E484" t="s">
        <v>45</v>
      </c>
      <c r="F484">
        <v>37</v>
      </c>
      <c r="G484" t="s">
        <v>1618</v>
      </c>
      <c r="H484">
        <v>2</v>
      </c>
      <c r="I484">
        <v>59.73</v>
      </c>
      <c r="J484">
        <v>31.45</v>
      </c>
      <c r="K484" t="s">
        <v>41</v>
      </c>
      <c r="L484" s="3">
        <v>44935</v>
      </c>
      <c r="M484" t="s">
        <v>48</v>
      </c>
      <c r="N484" s="4">
        <v>37</v>
      </c>
      <c r="O484" t="str" cm="1">
        <f t="array" ref="O48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84" t="s">
        <v>2956</v>
      </c>
      <c r="Q484" t="s">
        <v>2926</v>
      </c>
      <c r="R484" s="5">
        <v>59.73</v>
      </c>
      <c r="S484" s="5">
        <v>31.45</v>
      </c>
    </row>
    <row r="485" spans="1:19" x14ac:dyDescent="0.25">
      <c r="A485" t="s">
        <v>1619</v>
      </c>
      <c r="B485" t="s">
        <v>1620</v>
      </c>
      <c r="C485" s="3">
        <v>45269</v>
      </c>
      <c r="D485" t="s">
        <v>24</v>
      </c>
      <c r="E485" t="s">
        <v>85</v>
      </c>
      <c r="F485">
        <v>22</v>
      </c>
      <c r="G485" t="s">
        <v>1621</v>
      </c>
      <c r="H485">
        <v>1</v>
      </c>
      <c r="I485">
        <v>27.58</v>
      </c>
      <c r="J485">
        <v>10.57</v>
      </c>
      <c r="K485" t="s">
        <v>41</v>
      </c>
      <c r="L485" s="3">
        <v>45269</v>
      </c>
      <c r="M485" t="s">
        <v>34</v>
      </c>
      <c r="N485" s="4">
        <v>22</v>
      </c>
      <c r="O485" t="str" cm="1">
        <f t="array" ref="O48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485" t="s">
        <v>1621</v>
      </c>
      <c r="Q485" t="s">
        <v>2930</v>
      </c>
      <c r="R485" s="5">
        <v>27.58</v>
      </c>
      <c r="S485" s="5">
        <v>10.57</v>
      </c>
    </row>
    <row r="486" spans="1:19" x14ac:dyDescent="0.25">
      <c r="A486" t="s">
        <v>1622</v>
      </c>
      <c r="B486" t="s">
        <v>56</v>
      </c>
      <c r="C486" s="1">
        <v>45156</v>
      </c>
      <c r="D486" t="s">
        <v>51</v>
      </c>
      <c r="E486" t="s">
        <v>85</v>
      </c>
      <c r="F486">
        <v>46</v>
      </c>
      <c r="G486" t="s">
        <v>1623</v>
      </c>
      <c r="H486">
        <v>2</v>
      </c>
      <c r="I486" t="s">
        <v>1624</v>
      </c>
      <c r="J486" s="2">
        <v>9.3800000000000008</v>
      </c>
      <c r="K486" t="s">
        <v>41</v>
      </c>
      <c r="L486" s="3">
        <v>45156</v>
      </c>
      <c r="M486" t="s">
        <v>34</v>
      </c>
      <c r="N486" s="4">
        <v>46</v>
      </c>
      <c r="O486" t="str" cm="1">
        <f t="array" ref="O48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86" t="s">
        <v>1623</v>
      </c>
      <c r="Q486" t="s">
        <v>2926</v>
      </c>
      <c r="R486" s="5">
        <v>24.37</v>
      </c>
      <c r="S486" s="5">
        <v>9.3800000000000008</v>
      </c>
    </row>
    <row r="487" spans="1:19" x14ac:dyDescent="0.25">
      <c r="A487" t="s">
        <v>1625</v>
      </c>
      <c r="B487" t="s">
        <v>1626</v>
      </c>
      <c r="C487" t="s">
        <v>1627</v>
      </c>
      <c r="D487" t="s">
        <v>129</v>
      </c>
      <c r="E487" t="s">
        <v>38</v>
      </c>
      <c r="F487">
        <v>43</v>
      </c>
      <c r="G487" t="s">
        <v>1628</v>
      </c>
      <c r="H487">
        <v>2</v>
      </c>
      <c r="I487" s="2">
        <v>12.05</v>
      </c>
      <c r="J487">
        <v>4.08</v>
      </c>
      <c r="K487" t="s">
        <v>19</v>
      </c>
      <c r="L487" s="3">
        <v>45404</v>
      </c>
      <c r="M487" t="s">
        <v>34</v>
      </c>
      <c r="N487" s="4">
        <v>43</v>
      </c>
      <c r="O487" t="str" cm="1">
        <f t="array" ref="O48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87" t="s">
        <v>1628</v>
      </c>
      <c r="Q487" t="s">
        <v>2930</v>
      </c>
      <c r="R487" s="5">
        <v>12.05</v>
      </c>
      <c r="S487" s="5">
        <v>4.08</v>
      </c>
    </row>
    <row r="488" spans="1:19" x14ac:dyDescent="0.25">
      <c r="A488" t="s">
        <v>1629</v>
      </c>
      <c r="B488" t="s">
        <v>457</v>
      </c>
      <c r="C488" s="1">
        <v>45617</v>
      </c>
      <c r="D488" t="s">
        <v>129</v>
      </c>
      <c r="E488" t="s">
        <v>48</v>
      </c>
      <c r="F488">
        <v>63</v>
      </c>
      <c r="G488" t="s">
        <v>1630</v>
      </c>
      <c r="H488">
        <v>2</v>
      </c>
      <c r="I488" t="s">
        <v>1631</v>
      </c>
      <c r="J488" s="2">
        <v>17.75</v>
      </c>
      <c r="K488" t="s">
        <v>41</v>
      </c>
      <c r="L488" s="3">
        <v>45617</v>
      </c>
      <c r="M488" t="s">
        <v>48</v>
      </c>
      <c r="N488" s="4">
        <v>63</v>
      </c>
      <c r="O488" t="str" cm="1">
        <f t="array" ref="O48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88" t="s">
        <v>1630</v>
      </c>
      <c r="Q488" t="s">
        <v>2929</v>
      </c>
      <c r="R488" s="5">
        <v>34.159999999999997</v>
      </c>
      <c r="S488" s="5">
        <v>17.75</v>
      </c>
    </row>
    <row r="489" spans="1:19" x14ac:dyDescent="0.25">
      <c r="A489" t="s">
        <v>1632</v>
      </c>
      <c r="B489" t="s">
        <v>1633</v>
      </c>
      <c r="C489" s="3">
        <v>45239</v>
      </c>
      <c r="D489" t="s">
        <v>30</v>
      </c>
      <c r="E489" t="s">
        <v>38</v>
      </c>
      <c r="F489">
        <v>15</v>
      </c>
      <c r="G489" t="s">
        <v>1634</v>
      </c>
      <c r="H489">
        <v>1</v>
      </c>
      <c r="I489">
        <v>28.35</v>
      </c>
      <c r="J489">
        <v>11.95</v>
      </c>
      <c r="K489" t="s">
        <v>41</v>
      </c>
      <c r="L489" s="3">
        <v>45239</v>
      </c>
      <c r="M489" t="s">
        <v>34</v>
      </c>
      <c r="N489" s="4">
        <v>15</v>
      </c>
      <c r="O489" t="str" cm="1">
        <f t="array" ref="O48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489" t="s">
        <v>1634</v>
      </c>
      <c r="Q489" t="s">
        <v>2926</v>
      </c>
      <c r="R489" s="5">
        <v>28.35</v>
      </c>
      <c r="S489" s="5">
        <v>11.95</v>
      </c>
    </row>
    <row r="490" spans="1:19" x14ac:dyDescent="0.25">
      <c r="A490" t="s">
        <v>1635</v>
      </c>
      <c r="B490" t="s">
        <v>445</v>
      </c>
      <c r="C490" s="3">
        <v>45117</v>
      </c>
      <c r="D490" t="s">
        <v>30</v>
      </c>
      <c r="E490" t="s">
        <v>25</v>
      </c>
      <c r="F490">
        <v>71</v>
      </c>
      <c r="G490" t="s">
        <v>1636</v>
      </c>
      <c r="H490">
        <v>1</v>
      </c>
      <c r="I490">
        <v>32.14</v>
      </c>
      <c r="J490" s="2">
        <v>16.350000000000001</v>
      </c>
      <c r="K490" t="s">
        <v>19</v>
      </c>
      <c r="L490" s="3">
        <v>45117</v>
      </c>
      <c r="M490" t="s">
        <v>20</v>
      </c>
      <c r="N490" s="4">
        <v>71</v>
      </c>
      <c r="O490" t="str" cm="1">
        <f t="array" ref="O49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90" t="s">
        <v>1636</v>
      </c>
      <c r="Q490" t="s">
        <v>2927</v>
      </c>
      <c r="R490" s="5">
        <v>32.14</v>
      </c>
      <c r="S490" s="5">
        <v>16.350000000000001</v>
      </c>
    </row>
    <row r="491" spans="1:19" x14ac:dyDescent="0.25">
      <c r="A491" t="s">
        <v>1637</v>
      </c>
      <c r="B491" t="s">
        <v>792</v>
      </c>
      <c r="C491" s="1">
        <v>45630</v>
      </c>
      <c r="D491" t="s">
        <v>24</v>
      </c>
      <c r="E491" t="s">
        <v>48</v>
      </c>
      <c r="F491">
        <v>65</v>
      </c>
      <c r="G491" t="s">
        <v>1638</v>
      </c>
      <c r="H491">
        <v>1</v>
      </c>
      <c r="I491">
        <v>33.81</v>
      </c>
      <c r="J491">
        <v>11.75</v>
      </c>
      <c r="K491" t="s">
        <v>19</v>
      </c>
      <c r="L491" s="3">
        <v>45630</v>
      </c>
      <c r="M491" t="s">
        <v>48</v>
      </c>
      <c r="N491" s="4">
        <v>65</v>
      </c>
      <c r="O491" t="str" cm="1">
        <f t="array" ref="O49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91" t="s">
        <v>1638</v>
      </c>
      <c r="Q491" t="s">
        <v>2931</v>
      </c>
      <c r="R491" s="5">
        <v>33.81</v>
      </c>
      <c r="S491" s="5">
        <v>11.75</v>
      </c>
    </row>
    <row r="492" spans="1:19" x14ac:dyDescent="0.25">
      <c r="A492" t="s">
        <v>1639</v>
      </c>
      <c r="B492" t="s">
        <v>1640</v>
      </c>
      <c r="C492" t="s">
        <v>1641</v>
      </c>
      <c r="D492" t="s">
        <v>129</v>
      </c>
      <c r="E492" t="s">
        <v>60</v>
      </c>
      <c r="F492">
        <v>31</v>
      </c>
      <c r="G492" t="s">
        <v>635</v>
      </c>
      <c r="H492">
        <v>1</v>
      </c>
      <c r="I492" s="2">
        <v>3.94</v>
      </c>
      <c r="J492">
        <v>1.99</v>
      </c>
      <c r="K492" t="s">
        <v>41</v>
      </c>
      <c r="L492" s="3">
        <v>45640</v>
      </c>
      <c r="M492" t="s">
        <v>48</v>
      </c>
      <c r="N492" s="4">
        <v>31</v>
      </c>
      <c r="O492" t="str" cm="1">
        <f t="array" ref="O49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92" t="s">
        <v>635</v>
      </c>
      <c r="Q492" t="s">
        <v>2927</v>
      </c>
      <c r="R492" s="5">
        <v>3.94</v>
      </c>
      <c r="S492" s="5">
        <v>1.99</v>
      </c>
    </row>
    <row r="493" spans="1:19" x14ac:dyDescent="0.25">
      <c r="A493" t="s">
        <v>1642</v>
      </c>
      <c r="B493" t="s">
        <v>483</v>
      </c>
      <c r="C493" t="s">
        <v>1643</v>
      </c>
      <c r="D493" t="s">
        <v>16</v>
      </c>
      <c r="E493" t="s">
        <v>31</v>
      </c>
      <c r="F493">
        <v>46</v>
      </c>
      <c r="G493" t="s">
        <v>192</v>
      </c>
      <c r="H493">
        <v>1</v>
      </c>
      <c r="I493" t="s">
        <v>1644</v>
      </c>
      <c r="J493" t="s">
        <v>25</v>
      </c>
      <c r="K493" t="s">
        <v>19</v>
      </c>
      <c r="L493" s="3">
        <v>44953</v>
      </c>
      <c r="M493" t="s">
        <v>34</v>
      </c>
      <c r="N493" s="4">
        <v>46</v>
      </c>
      <c r="O493" t="str" cm="1">
        <f t="array" ref="O49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493" t="s">
        <v>192</v>
      </c>
      <c r="Q493" t="s">
        <v>2929</v>
      </c>
      <c r="R493" s="5">
        <v>20.420000000000002</v>
      </c>
      <c r="S493" s="5"/>
    </row>
    <row r="494" spans="1:19" x14ac:dyDescent="0.25">
      <c r="A494" t="s">
        <v>1645</v>
      </c>
      <c r="B494" t="s">
        <v>848</v>
      </c>
      <c r="C494" t="s">
        <v>1646</v>
      </c>
      <c r="D494" t="s">
        <v>30</v>
      </c>
      <c r="E494" t="s">
        <v>31</v>
      </c>
      <c r="F494">
        <v>27</v>
      </c>
      <c r="G494" t="s">
        <v>1647</v>
      </c>
      <c r="H494">
        <v>1</v>
      </c>
      <c r="I494" s="2">
        <v>9.42</v>
      </c>
      <c r="J494">
        <v>3.28</v>
      </c>
      <c r="K494" t="s">
        <v>41</v>
      </c>
      <c r="L494" s="3">
        <v>45352</v>
      </c>
      <c r="M494" t="s">
        <v>34</v>
      </c>
      <c r="N494" s="4">
        <v>27</v>
      </c>
      <c r="O494" t="str" cm="1">
        <f t="array" ref="O49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94" t="s">
        <v>1647</v>
      </c>
      <c r="Q494" t="s">
        <v>2929</v>
      </c>
      <c r="R494" s="5">
        <v>9.42</v>
      </c>
      <c r="S494" s="5">
        <v>3.28</v>
      </c>
    </row>
    <row r="495" spans="1:19" x14ac:dyDescent="0.25">
      <c r="A495" t="s">
        <v>1648</v>
      </c>
      <c r="B495" t="s">
        <v>1121</v>
      </c>
      <c r="C495" t="s">
        <v>1649</v>
      </c>
      <c r="D495" t="s">
        <v>16</v>
      </c>
      <c r="E495" t="s">
        <v>25</v>
      </c>
      <c r="F495">
        <v>29</v>
      </c>
      <c r="G495" t="s">
        <v>1650</v>
      </c>
      <c r="H495">
        <v>1</v>
      </c>
      <c r="I495" t="s">
        <v>1651</v>
      </c>
      <c r="J495">
        <v>4.9000000000000004</v>
      </c>
      <c r="K495" t="s">
        <v>41</v>
      </c>
      <c r="L495" s="3">
        <v>45234</v>
      </c>
      <c r="M495" t="s">
        <v>20</v>
      </c>
      <c r="N495" s="4">
        <v>29</v>
      </c>
      <c r="O495" t="str" cm="1">
        <f t="array" ref="O49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95" t="s">
        <v>1650</v>
      </c>
      <c r="Q495" t="s">
        <v>2926</v>
      </c>
      <c r="R495" s="5">
        <v>10.32</v>
      </c>
      <c r="S495" s="5">
        <v>4.9000000000000004</v>
      </c>
    </row>
    <row r="496" spans="1:19" x14ac:dyDescent="0.25">
      <c r="A496" t="s">
        <v>1652</v>
      </c>
      <c r="B496" t="s">
        <v>1653</v>
      </c>
      <c r="C496" t="s">
        <v>1654</v>
      </c>
      <c r="D496" t="s">
        <v>24</v>
      </c>
      <c r="E496" t="s">
        <v>48</v>
      </c>
      <c r="F496">
        <v>26</v>
      </c>
      <c r="G496" t="s">
        <v>1655</v>
      </c>
      <c r="H496">
        <v>1</v>
      </c>
      <c r="I496">
        <v>27.91</v>
      </c>
      <c r="J496" t="s">
        <v>1656</v>
      </c>
      <c r="K496" t="s">
        <v>41</v>
      </c>
      <c r="L496" s="3">
        <v>45611</v>
      </c>
      <c r="M496" t="s">
        <v>48</v>
      </c>
      <c r="N496" s="4">
        <v>26</v>
      </c>
      <c r="O496" t="str" cm="1">
        <f t="array" ref="O49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496" t="s">
        <v>1655</v>
      </c>
      <c r="Q496" t="s">
        <v>2926</v>
      </c>
      <c r="R496" s="5">
        <v>27.91</v>
      </c>
      <c r="S496" s="5">
        <v>14.08</v>
      </c>
    </row>
    <row r="497" spans="1:19" x14ac:dyDescent="0.25">
      <c r="A497" t="s">
        <v>1657</v>
      </c>
      <c r="B497" t="s">
        <v>477</v>
      </c>
      <c r="C497" t="s">
        <v>1658</v>
      </c>
      <c r="D497" t="s">
        <v>24</v>
      </c>
      <c r="E497" t="s">
        <v>48</v>
      </c>
      <c r="F497">
        <v>73</v>
      </c>
      <c r="G497" t="s">
        <v>523</v>
      </c>
      <c r="H497">
        <v>1</v>
      </c>
      <c r="I497" t="s">
        <v>1659</v>
      </c>
      <c r="J497">
        <v>6.42</v>
      </c>
      <c r="K497" t="s">
        <v>19</v>
      </c>
      <c r="L497" s="3">
        <v>45529</v>
      </c>
      <c r="M497" t="s">
        <v>48</v>
      </c>
      <c r="N497" s="4">
        <v>73</v>
      </c>
      <c r="O497" t="str" cm="1">
        <f t="array" ref="O49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97" t="s">
        <v>523</v>
      </c>
      <c r="Q497" t="s">
        <v>2927</v>
      </c>
      <c r="R497" s="5">
        <v>12.93</v>
      </c>
      <c r="S497" s="5">
        <v>6.42</v>
      </c>
    </row>
    <row r="498" spans="1:19" x14ac:dyDescent="0.25">
      <c r="A498" t="s">
        <v>1660</v>
      </c>
      <c r="B498" t="s">
        <v>79</v>
      </c>
      <c r="C498" s="1">
        <v>45040</v>
      </c>
      <c r="D498" t="s">
        <v>129</v>
      </c>
      <c r="E498" t="s">
        <v>65</v>
      </c>
      <c r="F498">
        <v>68</v>
      </c>
      <c r="G498" t="s">
        <v>1661</v>
      </c>
      <c r="H498">
        <v>1</v>
      </c>
      <c r="I498" t="s">
        <v>1662</v>
      </c>
      <c r="J498">
        <v>6.71</v>
      </c>
      <c r="K498" t="s">
        <v>41</v>
      </c>
      <c r="L498" s="3">
        <v>45040</v>
      </c>
      <c r="M498" t="s">
        <v>48</v>
      </c>
      <c r="N498" s="4">
        <v>68</v>
      </c>
      <c r="O498" t="str" cm="1">
        <f t="array" ref="O49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98" t="s">
        <v>1661</v>
      </c>
      <c r="Q498" t="s">
        <v>2925</v>
      </c>
      <c r="R498" s="5">
        <v>13.94</v>
      </c>
      <c r="S498" s="5">
        <v>6.71</v>
      </c>
    </row>
    <row r="499" spans="1:19" x14ac:dyDescent="0.25">
      <c r="A499" t="s">
        <v>1663</v>
      </c>
      <c r="B499" t="s">
        <v>1664</v>
      </c>
      <c r="C499" t="s">
        <v>1665</v>
      </c>
      <c r="D499" t="s">
        <v>24</v>
      </c>
      <c r="E499" t="s">
        <v>65</v>
      </c>
      <c r="F499">
        <v>60</v>
      </c>
      <c r="G499" t="s">
        <v>1666</v>
      </c>
      <c r="H499">
        <v>1</v>
      </c>
      <c r="I499">
        <v>28.4</v>
      </c>
      <c r="J499">
        <v>8.64</v>
      </c>
      <c r="K499" t="s">
        <v>41</v>
      </c>
      <c r="L499" s="3">
        <v>45163</v>
      </c>
      <c r="M499" t="s">
        <v>48</v>
      </c>
      <c r="N499" s="4">
        <v>60</v>
      </c>
      <c r="O499" t="str" cm="1">
        <f t="array" ref="O49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499" t="s">
        <v>1666</v>
      </c>
      <c r="Q499" t="s">
        <v>2926</v>
      </c>
      <c r="R499" s="5">
        <v>28.4</v>
      </c>
      <c r="S499" s="5">
        <v>8.64</v>
      </c>
    </row>
    <row r="500" spans="1:19" x14ac:dyDescent="0.25">
      <c r="A500" t="s">
        <v>1667</v>
      </c>
      <c r="B500" t="s">
        <v>1668</v>
      </c>
      <c r="C500" t="s">
        <v>1669</v>
      </c>
      <c r="D500" t="s">
        <v>30</v>
      </c>
      <c r="E500" t="s">
        <v>70</v>
      </c>
      <c r="F500" t="s">
        <v>25</v>
      </c>
      <c r="G500" t="s">
        <v>1670</v>
      </c>
      <c r="H500">
        <v>5</v>
      </c>
      <c r="I500" t="s">
        <v>25</v>
      </c>
      <c r="J500">
        <v>47.74</v>
      </c>
      <c r="K500" t="s">
        <v>19</v>
      </c>
      <c r="L500" s="3">
        <v>45070</v>
      </c>
      <c r="M500" t="s">
        <v>20</v>
      </c>
      <c r="N500" s="4"/>
      <c r="O500" t="str" cm="1">
        <f t="array" ref="O50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500" t="s">
        <v>1670</v>
      </c>
      <c r="Q500" t="s">
        <v>2927</v>
      </c>
      <c r="R500" s="5"/>
      <c r="S500" s="5">
        <v>47.74</v>
      </c>
    </row>
    <row r="501" spans="1:19" x14ac:dyDescent="0.25">
      <c r="A501" t="s">
        <v>1671</v>
      </c>
      <c r="B501" t="s">
        <v>1066</v>
      </c>
      <c r="C501" s="3">
        <v>45371</v>
      </c>
      <c r="D501" t="s">
        <v>129</v>
      </c>
      <c r="E501" t="s">
        <v>34</v>
      </c>
      <c r="F501">
        <v>67</v>
      </c>
      <c r="G501" t="s">
        <v>1320</v>
      </c>
      <c r="H501">
        <v>2</v>
      </c>
      <c r="I501">
        <v>30.32</v>
      </c>
      <c r="J501">
        <v>15.24</v>
      </c>
      <c r="K501" t="s">
        <v>19</v>
      </c>
      <c r="L501" s="3">
        <v>45371</v>
      </c>
      <c r="M501" t="s">
        <v>34</v>
      </c>
      <c r="N501" s="4">
        <v>67</v>
      </c>
      <c r="O501" t="str" cm="1">
        <f t="array" ref="O50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01" t="s">
        <v>1320</v>
      </c>
      <c r="Q501" t="s">
        <v>2927</v>
      </c>
      <c r="R501" s="5">
        <v>30.32</v>
      </c>
      <c r="S501" s="5">
        <v>15.24</v>
      </c>
    </row>
    <row r="502" spans="1:19" x14ac:dyDescent="0.25">
      <c r="A502" t="s">
        <v>1672</v>
      </c>
      <c r="B502" t="s">
        <v>1269</v>
      </c>
      <c r="C502" s="3">
        <v>44938</v>
      </c>
      <c r="D502" t="s">
        <v>24</v>
      </c>
      <c r="E502" t="s">
        <v>25</v>
      </c>
      <c r="F502">
        <v>65</v>
      </c>
      <c r="G502" t="s">
        <v>1673</v>
      </c>
      <c r="H502">
        <v>2</v>
      </c>
      <c r="I502">
        <v>25.75</v>
      </c>
      <c r="J502" t="s">
        <v>1674</v>
      </c>
      <c r="K502" t="s">
        <v>41</v>
      </c>
      <c r="L502" s="3">
        <v>44938</v>
      </c>
      <c r="M502" t="s">
        <v>20</v>
      </c>
      <c r="N502" s="4">
        <v>65</v>
      </c>
      <c r="O502" t="str" cm="1">
        <f t="array" ref="O50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02" t="s">
        <v>1673</v>
      </c>
      <c r="Q502" t="s">
        <v>2925</v>
      </c>
      <c r="R502" s="5">
        <v>25.75</v>
      </c>
      <c r="S502" s="5">
        <v>14.15</v>
      </c>
    </row>
    <row r="503" spans="1:19" x14ac:dyDescent="0.25">
      <c r="A503" t="s">
        <v>1675</v>
      </c>
      <c r="B503" t="s">
        <v>176</v>
      </c>
      <c r="C503" t="s">
        <v>1676</v>
      </c>
      <c r="D503" t="s">
        <v>51</v>
      </c>
      <c r="E503" t="s">
        <v>45</v>
      </c>
      <c r="F503">
        <v>25</v>
      </c>
      <c r="G503" t="s">
        <v>1677</v>
      </c>
      <c r="H503">
        <v>1</v>
      </c>
      <c r="I503">
        <v>25.12</v>
      </c>
      <c r="J503">
        <v>14.29</v>
      </c>
      <c r="K503" t="s">
        <v>41</v>
      </c>
      <c r="L503" s="3">
        <v>45225</v>
      </c>
      <c r="M503" t="s">
        <v>48</v>
      </c>
      <c r="N503" s="4">
        <v>25</v>
      </c>
      <c r="O503" t="str" cm="1">
        <f t="array" ref="O50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03" t="s">
        <v>1677</v>
      </c>
      <c r="Q503" t="s">
        <v>2926</v>
      </c>
      <c r="R503" s="5">
        <v>25.12</v>
      </c>
      <c r="S503" s="5">
        <v>14.29</v>
      </c>
    </row>
    <row r="504" spans="1:19" x14ac:dyDescent="0.25">
      <c r="A504" t="s">
        <v>1678</v>
      </c>
      <c r="B504" t="s">
        <v>1448</v>
      </c>
      <c r="C504" s="1">
        <v>45644</v>
      </c>
      <c r="D504" t="s">
        <v>129</v>
      </c>
      <c r="E504" t="s">
        <v>38</v>
      </c>
      <c r="F504">
        <v>34</v>
      </c>
      <c r="G504" t="s">
        <v>1679</v>
      </c>
      <c r="H504">
        <v>3</v>
      </c>
      <c r="I504" t="s">
        <v>1680</v>
      </c>
      <c r="J504" t="s">
        <v>1681</v>
      </c>
      <c r="K504" t="s">
        <v>41</v>
      </c>
      <c r="L504" s="3">
        <v>45644</v>
      </c>
      <c r="M504" t="s">
        <v>34</v>
      </c>
      <c r="N504" s="4">
        <v>34</v>
      </c>
      <c r="O504" t="str" cm="1">
        <f t="array" ref="O50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04" t="s">
        <v>1679</v>
      </c>
      <c r="Q504" t="s">
        <v>2928</v>
      </c>
      <c r="R504" s="5">
        <v>29.24</v>
      </c>
      <c r="S504" s="5">
        <v>15.23</v>
      </c>
    </row>
    <row r="505" spans="1:19" x14ac:dyDescent="0.25">
      <c r="A505" t="s">
        <v>1682</v>
      </c>
      <c r="B505" t="s">
        <v>551</v>
      </c>
      <c r="C505" t="s">
        <v>1683</v>
      </c>
      <c r="D505" t="s">
        <v>30</v>
      </c>
      <c r="E505" t="s">
        <v>60</v>
      </c>
      <c r="F505">
        <v>44</v>
      </c>
      <c r="G505" t="s">
        <v>1684</v>
      </c>
      <c r="H505">
        <v>2</v>
      </c>
      <c r="I505" t="s">
        <v>1685</v>
      </c>
      <c r="J505" s="2">
        <v>12.37</v>
      </c>
      <c r="K505" t="s">
        <v>41</v>
      </c>
      <c r="L505" s="3">
        <v>45088</v>
      </c>
      <c r="M505" t="s">
        <v>48</v>
      </c>
      <c r="N505" s="4">
        <v>44</v>
      </c>
      <c r="O505" t="str" cm="1">
        <f t="array" ref="O50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05" t="s">
        <v>2957</v>
      </c>
      <c r="Q505" t="s">
        <v>2939</v>
      </c>
      <c r="R505" s="5">
        <v>48.98</v>
      </c>
      <c r="S505" s="5">
        <v>12.37</v>
      </c>
    </row>
    <row r="506" spans="1:19" x14ac:dyDescent="0.25">
      <c r="A506" t="s">
        <v>1686</v>
      </c>
      <c r="B506" t="s">
        <v>1687</v>
      </c>
      <c r="C506" t="s">
        <v>1688</v>
      </c>
      <c r="D506" t="s">
        <v>30</v>
      </c>
      <c r="E506" t="s">
        <v>31</v>
      </c>
      <c r="F506">
        <v>64</v>
      </c>
      <c r="G506" t="s">
        <v>1689</v>
      </c>
      <c r="H506">
        <v>1</v>
      </c>
      <c r="I506" s="2">
        <v>23.72</v>
      </c>
      <c r="J506">
        <v>8.51</v>
      </c>
      <c r="K506" t="s">
        <v>19</v>
      </c>
      <c r="L506" s="3">
        <v>44986</v>
      </c>
      <c r="M506" t="s">
        <v>34</v>
      </c>
      <c r="N506" s="4">
        <v>64</v>
      </c>
      <c r="O506" t="str" cm="1">
        <f t="array" ref="O50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06" t="s">
        <v>1689</v>
      </c>
      <c r="Q506" t="s">
        <v>2927</v>
      </c>
      <c r="R506" s="5">
        <v>23.72</v>
      </c>
      <c r="S506" s="5">
        <v>8.51</v>
      </c>
    </row>
    <row r="507" spans="1:19" x14ac:dyDescent="0.25">
      <c r="A507" t="s">
        <v>1316</v>
      </c>
      <c r="B507" t="s">
        <v>487</v>
      </c>
      <c r="C507" s="1">
        <v>45401</v>
      </c>
      <c r="D507" t="s">
        <v>129</v>
      </c>
      <c r="E507" t="s">
        <v>31</v>
      </c>
      <c r="F507">
        <v>27</v>
      </c>
      <c r="G507" t="s">
        <v>887</v>
      </c>
      <c r="H507">
        <v>1</v>
      </c>
      <c r="I507">
        <v>15.8</v>
      </c>
      <c r="J507" t="s">
        <v>1317</v>
      </c>
      <c r="K507" t="s">
        <v>19</v>
      </c>
      <c r="L507" s="3">
        <v>45401</v>
      </c>
      <c r="M507" t="s">
        <v>34</v>
      </c>
      <c r="N507" s="4">
        <v>27</v>
      </c>
      <c r="O507" t="str" cm="1">
        <f t="array" ref="O50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07" t="s">
        <v>887</v>
      </c>
      <c r="Q507" t="s">
        <v>2929</v>
      </c>
      <c r="R507" s="5">
        <v>15.8</v>
      </c>
      <c r="S507" s="5">
        <v>5.6</v>
      </c>
    </row>
    <row r="508" spans="1:19" x14ac:dyDescent="0.25">
      <c r="A508" t="s">
        <v>1690</v>
      </c>
      <c r="B508" t="s">
        <v>1691</v>
      </c>
      <c r="C508" t="s">
        <v>1692</v>
      </c>
      <c r="D508" t="s">
        <v>129</v>
      </c>
      <c r="E508" t="s">
        <v>38</v>
      </c>
      <c r="F508">
        <v>45</v>
      </c>
      <c r="G508" t="s">
        <v>1693</v>
      </c>
      <c r="H508">
        <v>4</v>
      </c>
      <c r="I508" t="s">
        <v>1694</v>
      </c>
      <c r="J508">
        <v>38.96</v>
      </c>
      <c r="K508" t="s">
        <v>19</v>
      </c>
      <c r="L508" s="3">
        <v>45650</v>
      </c>
      <c r="M508" t="s">
        <v>34</v>
      </c>
      <c r="N508" s="4">
        <v>45</v>
      </c>
      <c r="O508" t="str" cm="1">
        <f t="array" ref="O50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08" t="s">
        <v>1693</v>
      </c>
      <c r="Q508" t="s">
        <v>2925</v>
      </c>
      <c r="R508" s="5">
        <v>85.17</v>
      </c>
      <c r="S508" s="5">
        <v>38.96</v>
      </c>
    </row>
    <row r="509" spans="1:19" x14ac:dyDescent="0.25">
      <c r="A509" t="s">
        <v>1695</v>
      </c>
      <c r="B509" t="s">
        <v>742</v>
      </c>
      <c r="C509" t="s">
        <v>1696</v>
      </c>
      <c r="D509" t="s">
        <v>16</v>
      </c>
      <c r="E509" t="s">
        <v>25</v>
      </c>
      <c r="F509">
        <v>73</v>
      </c>
      <c r="G509" t="s">
        <v>1697</v>
      </c>
      <c r="H509">
        <v>6</v>
      </c>
      <c r="I509">
        <v>176.41</v>
      </c>
      <c r="J509">
        <v>56.19</v>
      </c>
      <c r="K509" t="s">
        <v>19</v>
      </c>
      <c r="L509" s="3">
        <v>45626</v>
      </c>
      <c r="M509" t="s">
        <v>20</v>
      </c>
      <c r="N509" s="4">
        <v>73</v>
      </c>
      <c r="O509" t="str" cm="1">
        <f t="array" ref="O50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09" t="s">
        <v>1697</v>
      </c>
      <c r="Q509" t="s">
        <v>2925</v>
      </c>
      <c r="R509" s="5">
        <v>176.41</v>
      </c>
      <c r="S509" s="5">
        <v>56.19</v>
      </c>
    </row>
    <row r="510" spans="1:19" x14ac:dyDescent="0.25">
      <c r="A510" t="s">
        <v>502</v>
      </c>
      <c r="B510" t="s">
        <v>503</v>
      </c>
      <c r="C510" t="s">
        <v>398</v>
      </c>
      <c r="D510" t="s">
        <v>129</v>
      </c>
      <c r="E510" t="s">
        <v>38</v>
      </c>
      <c r="F510">
        <v>63</v>
      </c>
      <c r="G510" t="s">
        <v>409</v>
      </c>
      <c r="H510">
        <v>1</v>
      </c>
      <c r="I510" s="2">
        <v>13.61</v>
      </c>
      <c r="J510">
        <v>6.78</v>
      </c>
      <c r="K510" t="s">
        <v>41</v>
      </c>
      <c r="L510" s="3">
        <v>45037</v>
      </c>
      <c r="M510" t="s">
        <v>34</v>
      </c>
      <c r="N510" s="4">
        <v>63</v>
      </c>
      <c r="O510" t="str" cm="1">
        <f t="array" ref="O51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10" t="s">
        <v>409</v>
      </c>
      <c r="Q510" t="s">
        <v>2926</v>
      </c>
      <c r="R510" s="5">
        <v>13.61</v>
      </c>
      <c r="S510" s="5">
        <v>6.78</v>
      </c>
    </row>
    <row r="511" spans="1:19" x14ac:dyDescent="0.25">
      <c r="A511" t="s">
        <v>1698</v>
      </c>
      <c r="B511" t="s">
        <v>657</v>
      </c>
      <c r="C511" t="s">
        <v>1699</v>
      </c>
      <c r="D511" t="s">
        <v>16</v>
      </c>
      <c r="E511" t="s">
        <v>48</v>
      </c>
      <c r="F511">
        <v>13</v>
      </c>
      <c r="G511" t="s">
        <v>1700</v>
      </c>
      <c r="H511">
        <v>3</v>
      </c>
      <c r="I511">
        <v>34.770000000000003</v>
      </c>
      <c r="J511">
        <v>10.99</v>
      </c>
      <c r="K511" t="s">
        <v>41</v>
      </c>
      <c r="L511" s="3">
        <v>45238</v>
      </c>
      <c r="M511" t="s">
        <v>48</v>
      </c>
      <c r="N511" s="4">
        <v>13</v>
      </c>
      <c r="O511" t="str" cm="1">
        <f t="array" ref="O51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511" t="s">
        <v>1700</v>
      </c>
      <c r="Q511" t="s">
        <v>2929</v>
      </c>
      <c r="R511" s="5">
        <v>34.770000000000003</v>
      </c>
      <c r="S511" s="5">
        <v>10.99</v>
      </c>
    </row>
    <row r="512" spans="1:19" x14ac:dyDescent="0.25">
      <c r="A512" t="s">
        <v>1701</v>
      </c>
      <c r="B512" t="s">
        <v>157</v>
      </c>
      <c r="C512" s="1">
        <v>45560</v>
      </c>
      <c r="D512" t="s">
        <v>24</v>
      </c>
      <c r="E512" t="s">
        <v>38</v>
      </c>
      <c r="F512">
        <v>57</v>
      </c>
      <c r="G512" t="s">
        <v>1142</v>
      </c>
      <c r="H512">
        <v>3</v>
      </c>
      <c r="I512">
        <v>21.98</v>
      </c>
      <c r="J512">
        <v>10.88</v>
      </c>
      <c r="K512" t="s">
        <v>19</v>
      </c>
      <c r="L512" s="3">
        <v>45560</v>
      </c>
      <c r="M512" t="s">
        <v>34</v>
      </c>
      <c r="N512" s="4">
        <v>57</v>
      </c>
      <c r="O512" t="str" cm="1">
        <f t="array" ref="O51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12" t="s">
        <v>1142</v>
      </c>
      <c r="Q512" t="s">
        <v>2926</v>
      </c>
      <c r="R512" s="5">
        <v>21.98</v>
      </c>
      <c r="S512" s="5">
        <v>10.88</v>
      </c>
    </row>
    <row r="513" spans="1:19" x14ac:dyDescent="0.25">
      <c r="A513" t="s">
        <v>1702</v>
      </c>
      <c r="B513" t="s">
        <v>1703</v>
      </c>
      <c r="C513" s="1">
        <v>44938</v>
      </c>
      <c r="D513" t="s">
        <v>30</v>
      </c>
      <c r="E513" t="s">
        <v>34</v>
      </c>
      <c r="F513">
        <v>46</v>
      </c>
      <c r="G513" t="s">
        <v>1704</v>
      </c>
      <c r="H513">
        <v>5</v>
      </c>
      <c r="I513">
        <v>75.66</v>
      </c>
      <c r="J513" s="2">
        <v>32.770000000000003</v>
      </c>
      <c r="K513" t="s">
        <v>19</v>
      </c>
      <c r="L513" s="3">
        <v>44938</v>
      </c>
      <c r="M513" t="s">
        <v>34</v>
      </c>
      <c r="N513" s="4">
        <v>46</v>
      </c>
      <c r="O513" t="str" cm="1">
        <f t="array" ref="O51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13" t="s">
        <v>1704</v>
      </c>
      <c r="Q513" t="s">
        <v>2927</v>
      </c>
      <c r="R513" s="5">
        <v>75.66</v>
      </c>
      <c r="S513" s="5">
        <v>32.770000000000003</v>
      </c>
    </row>
    <row r="514" spans="1:19" x14ac:dyDescent="0.25">
      <c r="A514" t="s">
        <v>1705</v>
      </c>
      <c r="B514" t="s">
        <v>279</v>
      </c>
      <c r="C514" s="3">
        <v>45372</v>
      </c>
      <c r="D514" t="s">
        <v>16</v>
      </c>
      <c r="E514" t="s">
        <v>60</v>
      </c>
      <c r="F514">
        <v>65</v>
      </c>
      <c r="G514" t="s">
        <v>1706</v>
      </c>
      <c r="H514">
        <v>4</v>
      </c>
      <c r="I514">
        <v>46.62</v>
      </c>
      <c r="J514" t="s">
        <v>1707</v>
      </c>
      <c r="K514" t="s">
        <v>19</v>
      </c>
      <c r="L514" s="3">
        <v>45372</v>
      </c>
      <c r="M514" t="s">
        <v>48</v>
      </c>
      <c r="N514" s="4">
        <v>65</v>
      </c>
      <c r="O514" t="str" cm="1">
        <f t="array" ref="O51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14" t="s">
        <v>2958</v>
      </c>
      <c r="Q514" t="s">
        <v>2926</v>
      </c>
      <c r="R514" s="5">
        <v>46.62</v>
      </c>
      <c r="S514" s="5">
        <v>22.49</v>
      </c>
    </row>
    <row r="515" spans="1:19" x14ac:dyDescent="0.25">
      <c r="A515" t="s">
        <v>1708</v>
      </c>
      <c r="B515" t="s">
        <v>483</v>
      </c>
      <c r="C515" t="s">
        <v>1709</v>
      </c>
      <c r="D515" t="s">
        <v>16</v>
      </c>
      <c r="E515" t="s">
        <v>85</v>
      </c>
      <c r="F515">
        <v>48</v>
      </c>
      <c r="G515" t="s">
        <v>1710</v>
      </c>
      <c r="H515">
        <v>1</v>
      </c>
      <c r="I515" s="2">
        <v>26.96</v>
      </c>
      <c r="J515" t="s">
        <v>1711</v>
      </c>
      <c r="K515" t="s">
        <v>19</v>
      </c>
      <c r="L515" s="3">
        <v>45081</v>
      </c>
      <c r="M515" t="s">
        <v>34</v>
      </c>
      <c r="N515" s="4">
        <v>48</v>
      </c>
      <c r="O515" t="str" cm="1">
        <f t="array" ref="O51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15" t="s">
        <v>1710</v>
      </c>
      <c r="Q515" t="s">
        <v>2926</v>
      </c>
      <c r="R515" s="5">
        <v>26.96</v>
      </c>
      <c r="S515" s="5">
        <v>9.36</v>
      </c>
    </row>
    <row r="516" spans="1:19" x14ac:dyDescent="0.25">
      <c r="A516" t="s">
        <v>1712</v>
      </c>
      <c r="B516" t="s">
        <v>1293</v>
      </c>
      <c r="C516" s="1">
        <v>45409</v>
      </c>
      <c r="D516" t="s">
        <v>24</v>
      </c>
      <c r="E516" t="s">
        <v>65</v>
      </c>
      <c r="F516">
        <v>32</v>
      </c>
      <c r="G516" t="s">
        <v>1677</v>
      </c>
      <c r="H516">
        <v>1</v>
      </c>
      <c r="I516" s="2">
        <v>28.96</v>
      </c>
      <c r="J516">
        <v>15.79</v>
      </c>
      <c r="K516" t="s">
        <v>41</v>
      </c>
      <c r="L516" s="3">
        <v>45409</v>
      </c>
      <c r="M516" t="s">
        <v>48</v>
      </c>
      <c r="N516" s="4">
        <v>32</v>
      </c>
      <c r="O516" t="str" cm="1">
        <f t="array" ref="O51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16" t="s">
        <v>1677</v>
      </c>
      <c r="Q516" t="s">
        <v>2926</v>
      </c>
      <c r="R516" s="5">
        <v>28.96</v>
      </c>
      <c r="S516" s="5">
        <v>15.79</v>
      </c>
    </row>
    <row r="517" spans="1:19" x14ac:dyDescent="0.25">
      <c r="A517" t="s">
        <v>1713</v>
      </c>
      <c r="B517" t="s">
        <v>490</v>
      </c>
      <c r="C517" t="s">
        <v>1714</v>
      </c>
      <c r="D517" t="s">
        <v>129</v>
      </c>
      <c r="E517" t="s">
        <v>85</v>
      </c>
      <c r="F517">
        <v>58</v>
      </c>
      <c r="G517" t="s">
        <v>1715</v>
      </c>
      <c r="H517">
        <v>2</v>
      </c>
      <c r="I517" s="2">
        <v>19.21</v>
      </c>
      <c r="J517" t="s">
        <v>1716</v>
      </c>
      <c r="K517" t="s">
        <v>19</v>
      </c>
      <c r="L517" s="3">
        <v>44992</v>
      </c>
      <c r="M517" t="s">
        <v>34</v>
      </c>
      <c r="N517" s="4">
        <v>58</v>
      </c>
      <c r="O517" t="str" cm="1">
        <f t="array" ref="O51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17" t="s">
        <v>1715</v>
      </c>
      <c r="Q517" t="s">
        <v>2926</v>
      </c>
      <c r="R517" s="5">
        <v>19.21</v>
      </c>
      <c r="S517" s="5">
        <v>8.83</v>
      </c>
    </row>
    <row r="518" spans="1:19" x14ac:dyDescent="0.25">
      <c r="A518" t="s">
        <v>1717</v>
      </c>
      <c r="B518" t="s">
        <v>1718</v>
      </c>
      <c r="C518" s="1">
        <v>45342</v>
      </c>
      <c r="D518" t="s">
        <v>30</v>
      </c>
      <c r="E518" t="s">
        <v>65</v>
      </c>
      <c r="F518">
        <v>53</v>
      </c>
      <c r="G518" t="s">
        <v>1719</v>
      </c>
      <c r="H518">
        <v>3</v>
      </c>
      <c r="I518" t="s">
        <v>1720</v>
      </c>
      <c r="J518">
        <v>30.08</v>
      </c>
      <c r="K518" t="s">
        <v>41</v>
      </c>
      <c r="L518" s="3">
        <v>45342</v>
      </c>
      <c r="M518" t="s">
        <v>48</v>
      </c>
      <c r="N518" s="4">
        <v>53</v>
      </c>
      <c r="O518" t="str" cm="1">
        <f t="array" ref="O51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18" t="s">
        <v>2959</v>
      </c>
      <c r="Q518" t="s">
        <v>2929</v>
      </c>
      <c r="R518" s="5">
        <v>80.739999999999995</v>
      </c>
      <c r="S518" s="5">
        <v>30.08</v>
      </c>
    </row>
    <row r="519" spans="1:19" x14ac:dyDescent="0.25">
      <c r="A519" t="s">
        <v>1721</v>
      </c>
      <c r="B519" t="s">
        <v>1722</v>
      </c>
      <c r="C519" t="s">
        <v>1723</v>
      </c>
      <c r="D519" t="s">
        <v>30</v>
      </c>
      <c r="E519" t="s">
        <v>65</v>
      </c>
      <c r="F519">
        <v>27</v>
      </c>
      <c r="G519" t="s">
        <v>1724</v>
      </c>
      <c r="H519">
        <v>4</v>
      </c>
      <c r="I519">
        <v>36.74</v>
      </c>
      <c r="J519">
        <v>18.59</v>
      </c>
      <c r="K519" t="s">
        <v>41</v>
      </c>
      <c r="L519" s="3">
        <v>45552</v>
      </c>
      <c r="M519" t="s">
        <v>48</v>
      </c>
      <c r="N519" s="4">
        <v>27</v>
      </c>
      <c r="O519" t="str" cm="1">
        <f t="array" ref="O51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19" t="s">
        <v>1724</v>
      </c>
      <c r="Q519" t="s">
        <v>2929</v>
      </c>
      <c r="R519" s="5">
        <v>36.74</v>
      </c>
      <c r="S519" s="5">
        <v>18.59</v>
      </c>
    </row>
    <row r="520" spans="1:19" x14ac:dyDescent="0.25">
      <c r="A520" t="s">
        <v>1725</v>
      </c>
      <c r="B520" t="s">
        <v>1238</v>
      </c>
      <c r="C520" s="3">
        <v>44985</v>
      </c>
      <c r="D520" t="s">
        <v>30</v>
      </c>
      <c r="E520" t="s">
        <v>132</v>
      </c>
      <c r="F520">
        <v>31</v>
      </c>
      <c r="G520" t="s">
        <v>553</v>
      </c>
      <c r="H520">
        <v>1</v>
      </c>
      <c r="I520" s="2">
        <v>16.84</v>
      </c>
      <c r="J520">
        <v>7.11</v>
      </c>
      <c r="K520" t="s">
        <v>41</v>
      </c>
      <c r="L520" s="3">
        <v>44985</v>
      </c>
      <c r="M520" t="s">
        <v>132</v>
      </c>
      <c r="N520" s="4">
        <v>31</v>
      </c>
      <c r="O520" t="str" cm="1">
        <f t="array" ref="O52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20" t="s">
        <v>553</v>
      </c>
      <c r="Q520" t="s">
        <v>2926</v>
      </c>
      <c r="R520" s="5">
        <v>16.84</v>
      </c>
      <c r="S520" s="5">
        <v>7.11</v>
      </c>
    </row>
    <row r="521" spans="1:19" x14ac:dyDescent="0.25">
      <c r="A521" t="s">
        <v>1726</v>
      </c>
      <c r="B521" t="s">
        <v>1011</v>
      </c>
      <c r="C521" t="s">
        <v>1727</v>
      </c>
      <c r="D521" t="s">
        <v>30</v>
      </c>
      <c r="E521" t="s">
        <v>48</v>
      </c>
      <c r="F521">
        <v>47</v>
      </c>
      <c r="G521" t="s">
        <v>1728</v>
      </c>
      <c r="H521">
        <v>2</v>
      </c>
      <c r="I521">
        <v>60.25</v>
      </c>
      <c r="J521" t="s">
        <v>1729</v>
      </c>
      <c r="K521" t="s">
        <v>19</v>
      </c>
      <c r="L521" s="3">
        <v>45320</v>
      </c>
      <c r="M521" t="s">
        <v>48</v>
      </c>
      <c r="N521" s="4">
        <v>47</v>
      </c>
      <c r="O521" t="str" cm="1">
        <f t="array" ref="O52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21" t="s">
        <v>1728</v>
      </c>
      <c r="Q521" t="s">
        <v>2927</v>
      </c>
      <c r="R521" s="5">
        <v>60.25</v>
      </c>
      <c r="S521" s="5">
        <v>27.61</v>
      </c>
    </row>
    <row r="522" spans="1:19" x14ac:dyDescent="0.25">
      <c r="A522" t="s">
        <v>1730</v>
      </c>
      <c r="B522" t="s">
        <v>202</v>
      </c>
      <c r="C522" t="s">
        <v>1731</v>
      </c>
      <c r="D522" t="s">
        <v>51</v>
      </c>
      <c r="E522" t="s">
        <v>48</v>
      </c>
      <c r="F522">
        <v>44</v>
      </c>
      <c r="G522" t="s">
        <v>778</v>
      </c>
      <c r="H522">
        <v>2</v>
      </c>
      <c r="I522">
        <v>58.97</v>
      </c>
      <c r="J522">
        <v>23.74</v>
      </c>
      <c r="K522" t="s">
        <v>41</v>
      </c>
      <c r="L522" s="3">
        <v>45147</v>
      </c>
      <c r="M522" t="s">
        <v>48</v>
      </c>
      <c r="N522" s="4">
        <v>44</v>
      </c>
      <c r="O522" t="str" cm="1">
        <f t="array" ref="O52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22" t="s">
        <v>778</v>
      </c>
      <c r="Q522" t="s">
        <v>2931</v>
      </c>
      <c r="R522" s="5">
        <v>58.97</v>
      </c>
      <c r="S522" s="5">
        <v>23.74</v>
      </c>
    </row>
    <row r="523" spans="1:19" x14ac:dyDescent="0.25">
      <c r="A523" t="s">
        <v>1732</v>
      </c>
      <c r="B523" t="s">
        <v>408</v>
      </c>
      <c r="C523" s="1">
        <v>45034</v>
      </c>
      <c r="D523" t="s">
        <v>51</v>
      </c>
      <c r="E523" t="s">
        <v>85</v>
      </c>
      <c r="F523">
        <v>29</v>
      </c>
      <c r="G523" t="s">
        <v>1733</v>
      </c>
      <c r="H523">
        <v>-2</v>
      </c>
      <c r="I523" s="2">
        <v>-15.55</v>
      </c>
      <c r="J523" t="s">
        <v>1734</v>
      </c>
      <c r="K523" t="s">
        <v>41</v>
      </c>
      <c r="L523" s="3">
        <v>45034</v>
      </c>
      <c r="M523" t="s">
        <v>34</v>
      </c>
      <c r="N523" s="4">
        <v>29</v>
      </c>
      <c r="O523" t="str" cm="1">
        <f t="array" ref="O52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23" t="s">
        <v>1733</v>
      </c>
      <c r="Q523" t="s">
        <v>2930</v>
      </c>
      <c r="R523" s="5">
        <v>-15.55</v>
      </c>
      <c r="S523" s="5">
        <v>-23.03</v>
      </c>
    </row>
    <row r="524" spans="1:19" x14ac:dyDescent="0.25">
      <c r="A524" t="s">
        <v>1735</v>
      </c>
      <c r="B524" t="s">
        <v>1736</v>
      </c>
      <c r="C524" s="1">
        <v>45154</v>
      </c>
      <c r="D524" t="s">
        <v>30</v>
      </c>
      <c r="E524" t="s">
        <v>31</v>
      </c>
      <c r="F524">
        <v>16</v>
      </c>
      <c r="G524" t="s">
        <v>1737</v>
      </c>
      <c r="H524">
        <v>5</v>
      </c>
      <c r="I524">
        <v>131.86000000000001</v>
      </c>
      <c r="J524" s="2">
        <v>24.47</v>
      </c>
      <c r="K524" t="s">
        <v>41</v>
      </c>
      <c r="L524" s="3">
        <v>45154</v>
      </c>
      <c r="M524" t="s">
        <v>34</v>
      </c>
      <c r="N524" s="4">
        <v>16</v>
      </c>
      <c r="O524" t="str" cm="1">
        <f t="array" ref="O52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524" t="s">
        <v>1737</v>
      </c>
      <c r="Q524" t="s">
        <v>2926</v>
      </c>
      <c r="R524" s="5">
        <v>131.86000000000001</v>
      </c>
      <c r="S524" s="5">
        <v>24.47</v>
      </c>
    </row>
    <row r="525" spans="1:19" x14ac:dyDescent="0.25">
      <c r="A525" t="s">
        <v>1738</v>
      </c>
      <c r="B525" t="s">
        <v>36</v>
      </c>
      <c r="C525" t="s">
        <v>1739</v>
      </c>
      <c r="D525" t="s">
        <v>129</v>
      </c>
      <c r="E525" t="s">
        <v>48</v>
      </c>
      <c r="F525">
        <v>69</v>
      </c>
      <c r="G525" t="s">
        <v>428</v>
      </c>
      <c r="H525">
        <v>1</v>
      </c>
      <c r="I525">
        <v>6.98</v>
      </c>
      <c r="J525" s="2">
        <v>2.5499999999999998</v>
      </c>
      <c r="K525" t="s">
        <v>19</v>
      </c>
      <c r="L525" s="3">
        <v>45146</v>
      </c>
      <c r="M525" t="s">
        <v>48</v>
      </c>
      <c r="N525" s="4">
        <v>69</v>
      </c>
      <c r="O525" t="str" cm="1">
        <f t="array" ref="O52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25" t="s">
        <v>428</v>
      </c>
      <c r="Q525" t="s">
        <v>2927</v>
      </c>
      <c r="R525" s="5">
        <v>6.98</v>
      </c>
      <c r="S525" s="5">
        <v>2.5499999999999998</v>
      </c>
    </row>
    <row r="526" spans="1:19" x14ac:dyDescent="0.25">
      <c r="A526" t="s">
        <v>1740</v>
      </c>
      <c r="B526" t="s">
        <v>589</v>
      </c>
      <c r="C526" s="1">
        <v>45621</v>
      </c>
      <c r="D526" t="s">
        <v>30</v>
      </c>
      <c r="E526" t="s">
        <v>85</v>
      </c>
      <c r="F526">
        <v>37</v>
      </c>
      <c r="G526" t="s">
        <v>1741</v>
      </c>
      <c r="H526">
        <v>1</v>
      </c>
      <c r="I526">
        <v>33.979999999999997</v>
      </c>
      <c r="J526" s="2">
        <v>16.45</v>
      </c>
      <c r="K526" t="s">
        <v>41</v>
      </c>
      <c r="L526" s="3">
        <v>45621</v>
      </c>
      <c r="M526" t="s">
        <v>34</v>
      </c>
      <c r="N526" s="4">
        <v>37</v>
      </c>
      <c r="O526" t="str" cm="1">
        <f t="array" ref="O52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26" t="s">
        <v>1741</v>
      </c>
      <c r="Q526" t="s">
        <v>2929</v>
      </c>
      <c r="R526" s="5">
        <v>33.979999999999997</v>
      </c>
      <c r="S526" s="5">
        <v>16.45</v>
      </c>
    </row>
    <row r="527" spans="1:19" x14ac:dyDescent="0.25">
      <c r="A527" t="s">
        <v>1742</v>
      </c>
      <c r="B527" t="s">
        <v>64</v>
      </c>
      <c r="C527" t="s">
        <v>1743</v>
      </c>
      <c r="D527" t="s">
        <v>51</v>
      </c>
      <c r="E527" t="s">
        <v>34</v>
      </c>
      <c r="F527">
        <v>19</v>
      </c>
      <c r="G527" t="s">
        <v>1744</v>
      </c>
      <c r="H527">
        <v>-2</v>
      </c>
      <c r="I527">
        <v>-15.81</v>
      </c>
      <c r="J527" s="2">
        <v>-1.63</v>
      </c>
      <c r="K527" t="s">
        <v>41</v>
      </c>
      <c r="L527" s="3">
        <v>45201</v>
      </c>
      <c r="M527" t="s">
        <v>34</v>
      </c>
      <c r="N527" s="4">
        <v>19</v>
      </c>
      <c r="O527" t="str" cm="1">
        <f t="array" ref="O52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527" t="s">
        <v>1744</v>
      </c>
      <c r="Q527" t="s">
        <v>2927</v>
      </c>
      <c r="R527" s="5">
        <v>-15.81</v>
      </c>
      <c r="S527" s="5">
        <v>-1.63</v>
      </c>
    </row>
    <row r="528" spans="1:19" x14ac:dyDescent="0.25">
      <c r="A528" t="s">
        <v>1745</v>
      </c>
      <c r="B528" t="s">
        <v>717</v>
      </c>
      <c r="C528" s="3">
        <v>45440</v>
      </c>
      <c r="D528" t="s">
        <v>30</v>
      </c>
      <c r="E528" t="s">
        <v>31</v>
      </c>
      <c r="F528">
        <v>35</v>
      </c>
      <c r="G528" t="s">
        <v>1746</v>
      </c>
      <c r="H528">
        <v>2</v>
      </c>
      <c r="I528" s="2">
        <v>55.82</v>
      </c>
      <c r="J528" s="2">
        <v>19.59</v>
      </c>
      <c r="K528" t="s">
        <v>19</v>
      </c>
      <c r="L528" s="3">
        <v>45440</v>
      </c>
      <c r="M528" t="s">
        <v>34</v>
      </c>
      <c r="N528" s="4">
        <v>35</v>
      </c>
      <c r="O528" t="str" cm="1">
        <f t="array" ref="O52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28" t="s">
        <v>1746</v>
      </c>
      <c r="Q528" t="s">
        <v>2925</v>
      </c>
      <c r="R528" s="5">
        <v>55.82</v>
      </c>
      <c r="S528" s="5">
        <v>19.59</v>
      </c>
    </row>
    <row r="529" spans="1:19" x14ac:dyDescent="0.25">
      <c r="A529" t="s">
        <v>1747</v>
      </c>
      <c r="B529" t="s">
        <v>1367</v>
      </c>
      <c r="C529" t="s">
        <v>1748</v>
      </c>
      <c r="D529" t="s">
        <v>30</v>
      </c>
      <c r="E529" t="s">
        <v>48</v>
      </c>
      <c r="F529">
        <v>25</v>
      </c>
      <c r="G529" t="s">
        <v>1749</v>
      </c>
      <c r="H529">
        <v>2</v>
      </c>
      <c r="I529" s="2">
        <v>20.059999999999999</v>
      </c>
      <c r="J529">
        <v>8.91</v>
      </c>
      <c r="K529" t="s">
        <v>19</v>
      </c>
      <c r="L529" s="3">
        <v>45354</v>
      </c>
      <c r="M529" t="s">
        <v>48</v>
      </c>
      <c r="N529" s="4">
        <v>25</v>
      </c>
      <c r="O529" t="str" cm="1">
        <f t="array" ref="O52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29" t="s">
        <v>1749</v>
      </c>
      <c r="Q529" t="s">
        <v>2929</v>
      </c>
      <c r="R529" s="5">
        <v>20.059999999999999</v>
      </c>
      <c r="S529" s="5">
        <v>8.91</v>
      </c>
    </row>
    <row r="530" spans="1:19" x14ac:dyDescent="0.25">
      <c r="A530" t="s">
        <v>1750</v>
      </c>
      <c r="B530" t="s">
        <v>1687</v>
      </c>
      <c r="C530" t="s">
        <v>1751</v>
      </c>
      <c r="D530" t="s">
        <v>16</v>
      </c>
      <c r="E530" t="s">
        <v>34</v>
      </c>
      <c r="F530">
        <v>27</v>
      </c>
      <c r="G530" t="s">
        <v>395</v>
      </c>
      <c r="H530">
        <v>1</v>
      </c>
      <c r="I530">
        <v>28.89</v>
      </c>
      <c r="J530" t="s">
        <v>723</v>
      </c>
      <c r="K530" t="s">
        <v>19</v>
      </c>
      <c r="L530" s="3">
        <v>44956</v>
      </c>
      <c r="M530" t="s">
        <v>34</v>
      </c>
      <c r="N530" s="4">
        <v>27</v>
      </c>
      <c r="O530" t="str" cm="1">
        <f t="array" ref="O53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30" t="s">
        <v>395</v>
      </c>
      <c r="Q530" t="s">
        <v>2925</v>
      </c>
      <c r="R530" s="5">
        <v>28.89</v>
      </c>
      <c r="S530" s="5">
        <v>10.91</v>
      </c>
    </row>
    <row r="531" spans="1:19" x14ac:dyDescent="0.25">
      <c r="A531" t="s">
        <v>1752</v>
      </c>
      <c r="B531" t="s">
        <v>1476</v>
      </c>
      <c r="C531" t="s">
        <v>1753</v>
      </c>
      <c r="D531" t="s">
        <v>30</v>
      </c>
      <c r="E531" t="s">
        <v>85</v>
      </c>
      <c r="F531">
        <v>14</v>
      </c>
      <c r="G531" t="s">
        <v>1754</v>
      </c>
      <c r="H531">
        <v>2</v>
      </c>
      <c r="I531">
        <v>66.86</v>
      </c>
      <c r="J531">
        <v>26.02</v>
      </c>
      <c r="K531" t="s">
        <v>19</v>
      </c>
      <c r="L531" s="3">
        <v>45247</v>
      </c>
      <c r="M531" t="s">
        <v>34</v>
      </c>
      <c r="N531" s="4">
        <v>14</v>
      </c>
      <c r="O531" t="str" cm="1">
        <f t="array" ref="O53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531" t="s">
        <v>1754</v>
      </c>
      <c r="Q531" t="s">
        <v>2925</v>
      </c>
      <c r="R531" s="5">
        <v>66.86</v>
      </c>
      <c r="S531" s="5">
        <v>26.02</v>
      </c>
    </row>
    <row r="532" spans="1:19" x14ac:dyDescent="0.25">
      <c r="A532" t="s">
        <v>1755</v>
      </c>
      <c r="B532" t="s">
        <v>165</v>
      </c>
      <c r="C532" s="1">
        <v>45431</v>
      </c>
      <c r="D532" t="s">
        <v>30</v>
      </c>
      <c r="E532" t="s">
        <v>34</v>
      </c>
      <c r="F532">
        <v>25</v>
      </c>
      <c r="G532" t="s">
        <v>1756</v>
      </c>
      <c r="H532">
        <v>4</v>
      </c>
      <c r="I532" s="2">
        <v>148.38999999999999</v>
      </c>
      <c r="J532" s="2">
        <v>57.58</v>
      </c>
      <c r="K532" t="s">
        <v>41</v>
      </c>
      <c r="L532" s="3">
        <v>45431</v>
      </c>
      <c r="M532" t="s">
        <v>34</v>
      </c>
      <c r="N532" s="4">
        <v>25</v>
      </c>
      <c r="O532" t="str" cm="1">
        <f t="array" ref="O53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32" t="s">
        <v>1756</v>
      </c>
      <c r="Q532" t="s">
        <v>2927</v>
      </c>
      <c r="R532" s="5">
        <v>148.38999999999999</v>
      </c>
      <c r="S532" s="5">
        <v>57.58</v>
      </c>
    </row>
    <row r="533" spans="1:19" x14ac:dyDescent="0.25">
      <c r="A533" t="s">
        <v>1757</v>
      </c>
      <c r="B533" t="s">
        <v>1758</v>
      </c>
      <c r="C533" t="s">
        <v>1759</v>
      </c>
      <c r="D533" t="s">
        <v>16</v>
      </c>
      <c r="E533" t="s">
        <v>45</v>
      </c>
      <c r="F533">
        <v>44</v>
      </c>
      <c r="G533" t="s">
        <v>1760</v>
      </c>
      <c r="H533">
        <v>-3</v>
      </c>
      <c r="I533" s="2">
        <v>-28.45</v>
      </c>
      <c r="J533">
        <v>-10.43</v>
      </c>
      <c r="K533" t="s">
        <v>19</v>
      </c>
      <c r="L533" s="3">
        <v>44933</v>
      </c>
      <c r="M533" t="s">
        <v>48</v>
      </c>
      <c r="N533" s="4">
        <v>44</v>
      </c>
      <c r="O533" t="str" cm="1">
        <f t="array" ref="O53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33" t="s">
        <v>1760</v>
      </c>
      <c r="Q533" t="s">
        <v>2926</v>
      </c>
      <c r="R533" s="5">
        <v>-28.45</v>
      </c>
      <c r="S533" s="5">
        <v>-10.43</v>
      </c>
    </row>
    <row r="534" spans="1:19" x14ac:dyDescent="0.25">
      <c r="A534" t="s">
        <v>1761</v>
      </c>
      <c r="B534" t="s">
        <v>1762</v>
      </c>
      <c r="C534" s="3">
        <v>45329</v>
      </c>
      <c r="D534" t="s">
        <v>129</v>
      </c>
      <c r="E534" t="s">
        <v>31</v>
      </c>
      <c r="F534">
        <v>67</v>
      </c>
      <c r="G534" t="s">
        <v>158</v>
      </c>
      <c r="H534">
        <v>1</v>
      </c>
      <c r="I534" t="s">
        <v>1763</v>
      </c>
      <c r="J534">
        <v>7.34</v>
      </c>
      <c r="K534" t="s">
        <v>41</v>
      </c>
      <c r="L534" s="3">
        <v>45329</v>
      </c>
      <c r="M534" t="s">
        <v>34</v>
      </c>
      <c r="N534" s="4">
        <v>67</v>
      </c>
      <c r="O534" t="str" cm="1">
        <f t="array" ref="O53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34" t="s">
        <v>158</v>
      </c>
      <c r="Q534" t="s">
        <v>2926</v>
      </c>
      <c r="R534" s="5">
        <v>16.22</v>
      </c>
      <c r="S534" s="5">
        <v>7.34</v>
      </c>
    </row>
    <row r="535" spans="1:19" x14ac:dyDescent="0.25">
      <c r="A535" t="s">
        <v>1764</v>
      </c>
      <c r="B535" t="s">
        <v>660</v>
      </c>
      <c r="C535" t="s">
        <v>1765</v>
      </c>
      <c r="D535" t="s">
        <v>24</v>
      </c>
      <c r="E535" t="s">
        <v>38</v>
      </c>
      <c r="F535">
        <v>18</v>
      </c>
      <c r="G535" t="s">
        <v>1766</v>
      </c>
      <c r="H535">
        <v>1</v>
      </c>
      <c r="I535">
        <v>25.9</v>
      </c>
      <c r="J535">
        <v>9.1300000000000008</v>
      </c>
      <c r="K535" t="s">
        <v>19</v>
      </c>
      <c r="L535" s="3">
        <v>45486</v>
      </c>
      <c r="M535" t="s">
        <v>34</v>
      </c>
      <c r="N535" s="4">
        <v>18</v>
      </c>
      <c r="O535" t="str" cm="1">
        <f t="array" ref="O53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535" t="s">
        <v>2960</v>
      </c>
      <c r="Q535" t="s">
        <v>2927</v>
      </c>
      <c r="R535" s="5">
        <v>25.9</v>
      </c>
      <c r="S535" s="5">
        <v>9.1300000000000008</v>
      </c>
    </row>
    <row r="536" spans="1:19" x14ac:dyDescent="0.25">
      <c r="A536" t="s">
        <v>1767</v>
      </c>
      <c r="B536" t="s">
        <v>1199</v>
      </c>
      <c r="C536" s="3">
        <v>45012</v>
      </c>
      <c r="D536" t="s">
        <v>24</v>
      </c>
      <c r="E536" t="s">
        <v>48</v>
      </c>
      <c r="F536">
        <v>58</v>
      </c>
      <c r="G536" t="s">
        <v>1768</v>
      </c>
      <c r="H536">
        <v>6</v>
      </c>
      <c r="I536">
        <v>79</v>
      </c>
      <c r="J536">
        <v>45.57</v>
      </c>
      <c r="K536" t="s">
        <v>41</v>
      </c>
      <c r="L536" s="3">
        <v>45012</v>
      </c>
      <c r="M536" t="s">
        <v>48</v>
      </c>
      <c r="N536" s="4">
        <v>58</v>
      </c>
      <c r="O536" t="str" cm="1">
        <f t="array" ref="O53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36" t="s">
        <v>1768</v>
      </c>
      <c r="Q536" t="s">
        <v>2926</v>
      </c>
      <c r="R536" s="5">
        <v>79</v>
      </c>
      <c r="S536" s="5">
        <v>45.57</v>
      </c>
    </row>
    <row r="537" spans="1:19" x14ac:dyDescent="0.25">
      <c r="A537" t="s">
        <v>1769</v>
      </c>
      <c r="B537" t="s">
        <v>1770</v>
      </c>
      <c r="C537" t="s">
        <v>1771</v>
      </c>
      <c r="D537" t="s">
        <v>30</v>
      </c>
      <c r="E537" t="s">
        <v>45</v>
      </c>
      <c r="F537">
        <v>29</v>
      </c>
      <c r="G537" t="s">
        <v>1772</v>
      </c>
      <c r="H537">
        <v>1</v>
      </c>
      <c r="I537">
        <v>31.58</v>
      </c>
      <c r="J537" s="2">
        <v>15.84</v>
      </c>
      <c r="K537" t="s">
        <v>19</v>
      </c>
      <c r="L537" s="3">
        <v>45104</v>
      </c>
      <c r="M537" t="s">
        <v>48</v>
      </c>
      <c r="N537" s="4">
        <v>29</v>
      </c>
      <c r="O537" t="str" cm="1">
        <f t="array" ref="O53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37" t="s">
        <v>1772</v>
      </c>
      <c r="Q537" t="s">
        <v>2926</v>
      </c>
      <c r="R537" s="5">
        <v>31.58</v>
      </c>
      <c r="S537" s="5">
        <v>15.84</v>
      </c>
    </row>
    <row r="538" spans="1:19" x14ac:dyDescent="0.25">
      <c r="A538" t="s">
        <v>1773</v>
      </c>
      <c r="B538" t="s">
        <v>394</v>
      </c>
      <c r="C538" t="s">
        <v>1774</v>
      </c>
      <c r="D538" t="s">
        <v>51</v>
      </c>
      <c r="E538" t="s">
        <v>31</v>
      </c>
      <c r="F538">
        <v>19</v>
      </c>
      <c r="G538" t="s">
        <v>1775</v>
      </c>
      <c r="H538">
        <v>1</v>
      </c>
      <c r="I538">
        <v>65.400000000000006</v>
      </c>
      <c r="J538">
        <v>28.36</v>
      </c>
      <c r="K538" t="s">
        <v>19</v>
      </c>
      <c r="L538" s="3">
        <v>45613</v>
      </c>
      <c r="M538" t="s">
        <v>34</v>
      </c>
      <c r="N538" s="4">
        <v>19</v>
      </c>
      <c r="O538" t="str" cm="1">
        <f t="array" ref="O53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538" t="s">
        <v>1775</v>
      </c>
      <c r="Q538" t="s">
        <v>2926</v>
      </c>
      <c r="R538" s="5">
        <v>65.400000000000006</v>
      </c>
      <c r="S538" s="5">
        <v>28.36</v>
      </c>
    </row>
    <row r="539" spans="1:19" x14ac:dyDescent="0.25">
      <c r="A539" t="s">
        <v>1776</v>
      </c>
      <c r="B539" t="s">
        <v>1777</v>
      </c>
      <c r="C539" t="s">
        <v>1778</v>
      </c>
      <c r="D539" t="s">
        <v>51</v>
      </c>
      <c r="E539" t="s">
        <v>31</v>
      </c>
      <c r="F539">
        <v>41</v>
      </c>
      <c r="G539" t="s">
        <v>1779</v>
      </c>
      <c r="H539">
        <v>2</v>
      </c>
      <c r="I539" t="s">
        <v>1780</v>
      </c>
      <c r="J539">
        <v>22.43</v>
      </c>
      <c r="K539" t="s">
        <v>41</v>
      </c>
      <c r="L539" s="3">
        <v>45611</v>
      </c>
      <c r="M539" t="s">
        <v>34</v>
      </c>
      <c r="N539" s="4">
        <v>41</v>
      </c>
      <c r="O539" t="str" cm="1">
        <f t="array" ref="O53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39" t="s">
        <v>1779</v>
      </c>
      <c r="Q539" t="s">
        <v>2926</v>
      </c>
      <c r="R539" s="5">
        <v>54.67</v>
      </c>
      <c r="S539" s="5">
        <v>22.43</v>
      </c>
    </row>
    <row r="540" spans="1:19" x14ac:dyDescent="0.25">
      <c r="A540" t="s">
        <v>1781</v>
      </c>
      <c r="B540" t="s">
        <v>487</v>
      </c>
      <c r="C540" s="3">
        <v>45268</v>
      </c>
      <c r="D540" t="s">
        <v>51</v>
      </c>
      <c r="E540" t="s">
        <v>60</v>
      </c>
      <c r="F540">
        <v>57</v>
      </c>
      <c r="G540" t="s">
        <v>1782</v>
      </c>
      <c r="H540">
        <v>2</v>
      </c>
      <c r="I540">
        <v>28.92</v>
      </c>
      <c r="J540" t="s">
        <v>1783</v>
      </c>
      <c r="K540" t="s">
        <v>19</v>
      </c>
      <c r="L540" s="3">
        <v>45268</v>
      </c>
      <c r="M540" t="s">
        <v>48</v>
      </c>
      <c r="N540" s="4">
        <v>57</v>
      </c>
      <c r="O540" t="str" cm="1">
        <f t="array" ref="O54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40" t="s">
        <v>2961</v>
      </c>
      <c r="Q540" t="s">
        <v>2926</v>
      </c>
      <c r="R540" s="5">
        <v>28.92</v>
      </c>
      <c r="S540" s="5">
        <v>12.35</v>
      </c>
    </row>
    <row r="541" spans="1:19" x14ac:dyDescent="0.25">
      <c r="A541" t="s">
        <v>1784</v>
      </c>
      <c r="B541" t="s">
        <v>453</v>
      </c>
      <c r="C541" t="s">
        <v>1785</v>
      </c>
      <c r="D541" t="s">
        <v>51</v>
      </c>
      <c r="E541" t="s">
        <v>38</v>
      </c>
      <c r="F541">
        <v>29</v>
      </c>
      <c r="G541" t="s">
        <v>1786</v>
      </c>
      <c r="H541">
        <v>1</v>
      </c>
      <c r="I541">
        <v>31.88</v>
      </c>
      <c r="J541" s="2">
        <v>16.5</v>
      </c>
      <c r="K541" t="s">
        <v>41</v>
      </c>
      <c r="L541" s="3">
        <v>45290</v>
      </c>
      <c r="M541" t="s">
        <v>34</v>
      </c>
      <c r="N541" s="4">
        <v>29</v>
      </c>
      <c r="O541" t="str" cm="1">
        <f t="array" ref="O54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41" t="s">
        <v>1786</v>
      </c>
      <c r="Q541" t="s">
        <v>2926</v>
      </c>
      <c r="R541" s="5">
        <v>31.88</v>
      </c>
      <c r="S541" s="5">
        <v>16.5</v>
      </c>
    </row>
    <row r="542" spans="1:19" x14ac:dyDescent="0.25">
      <c r="A542" t="s">
        <v>1787</v>
      </c>
      <c r="B542" t="s">
        <v>1788</v>
      </c>
      <c r="C542" t="s">
        <v>1789</v>
      </c>
      <c r="D542" t="s">
        <v>30</v>
      </c>
      <c r="E542" t="s">
        <v>60</v>
      </c>
      <c r="F542">
        <v>70</v>
      </c>
      <c r="G542" t="s">
        <v>1790</v>
      </c>
      <c r="H542">
        <v>4</v>
      </c>
      <c r="I542" t="s">
        <v>1791</v>
      </c>
      <c r="J542">
        <v>31.05</v>
      </c>
      <c r="K542" t="s">
        <v>19</v>
      </c>
      <c r="L542" s="3">
        <v>45048</v>
      </c>
      <c r="M542" t="s">
        <v>48</v>
      </c>
      <c r="N542" s="4">
        <v>70</v>
      </c>
      <c r="O542" t="str" cm="1">
        <f t="array" ref="O54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42" t="s">
        <v>1790</v>
      </c>
      <c r="Q542" t="s">
        <v>2926</v>
      </c>
      <c r="R542" s="5">
        <v>68.92</v>
      </c>
      <c r="S542" s="5">
        <v>31.05</v>
      </c>
    </row>
    <row r="543" spans="1:19" x14ac:dyDescent="0.25">
      <c r="A543" t="s">
        <v>1792</v>
      </c>
      <c r="B543" t="s">
        <v>466</v>
      </c>
      <c r="C543" t="s">
        <v>1793</v>
      </c>
      <c r="D543" t="s">
        <v>30</v>
      </c>
      <c r="E543" t="s">
        <v>60</v>
      </c>
      <c r="F543">
        <v>54</v>
      </c>
      <c r="G543" t="s">
        <v>1794</v>
      </c>
      <c r="H543">
        <v>1</v>
      </c>
      <c r="I543">
        <v>22.66</v>
      </c>
      <c r="J543">
        <v>6.6</v>
      </c>
      <c r="K543" t="s">
        <v>19</v>
      </c>
      <c r="L543" s="3">
        <v>44991</v>
      </c>
      <c r="M543" t="s">
        <v>48</v>
      </c>
      <c r="N543" s="4">
        <v>54</v>
      </c>
      <c r="O543" t="str" cm="1">
        <f t="array" ref="O54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43" t="s">
        <v>1794</v>
      </c>
      <c r="Q543" t="s">
        <v>2931</v>
      </c>
      <c r="R543" s="5">
        <v>22.66</v>
      </c>
      <c r="S543" s="5">
        <v>6.6</v>
      </c>
    </row>
    <row r="544" spans="1:19" x14ac:dyDescent="0.25">
      <c r="A544" t="s">
        <v>1795</v>
      </c>
      <c r="B544" t="s">
        <v>1121</v>
      </c>
      <c r="C544" t="s">
        <v>1796</v>
      </c>
      <c r="D544" t="s">
        <v>30</v>
      </c>
      <c r="E544" t="s">
        <v>31</v>
      </c>
      <c r="F544">
        <v>28</v>
      </c>
      <c r="G544" t="s">
        <v>1797</v>
      </c>
      <c r="H544">
        <v>3</v>
      </c>
      <c r="I544" t="s">
        <v>1798</v>
      </c>
      <c r="J544">
        <v>16.829999999999998</v>
      </c>
      <c r="K544" t="s">
        <v>41</v>
      </c>
      <c r="L544" s="3">
        <v>45127</v>
      </c>
      <c r="M544" t="s">
        <v>34</v>
      </c>
      <c r="N544" s="4">
        <v>28</v>
      </c>
      <c r="O544" t="str" cm="1">
        <f t="array" ref="O54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44" t="s">
        <v>1797</v>
      </c>
      <c r="Q544" t="s">
        <v>2927</v>
      </c>
      <c r="R544" s="5">
        <v>58.96</v>
      </c>
      <c r="S544" s="5">
        <v>16.829999999999998</v>
      </c>
    </row>
    <row r="545" spans="1:19" x14ac:dyDescent="0.25">
      <c r="A545" t="s">
        <v>1799</v>
      </c>
      <c r="B545" t="s">
        <v>558</v>
      </c>
      <c r="C545" s="1">
        <v>44991</v>
      </c>
      <c r="D545" t="s">
        <v>129</v>
      </c>
      <c r="E545" t="s">
        <v>132</v>
      </c>
      <c r="F545">
        <v>65</v>
      </c>
      <c r="G545" t="s">
        <v>1482</v>
      </c>
      <c r="H545">
        <v>1</v>
      </c>
      <c r="I545" t="s">
        <v>1800</v>
      </c>
      <c r="J545">
        <v>6.2</v>
      </c>
      <c r="K545" t="s">
        <v>19</v>
      </c>
      <c r="L545" s="3">
        <v>44991</v>
      </c>
      <c r="M545" t="s">
        <v>132</v>
      </c>
      <c r="N545" s="4">
        <v>65</v>
      </c>
      <c r="O545" t="str" cm="1">
        <f t="array" ref="O54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45" t="s">
        <v>1482</v>
      </c>
      <c r="Q545" t="s">
        <v>2929</v>
      </c>
      <c r="R545" s="5">
        <v>14.64</v>
      </c>
      <c r="S545" s="5">
        <v>6.2</v>
      </c>
    </row>
    <row r="546" spans="1:19" x14ac:dyDescent="0.25">
      <c r="A546" t="s">
        <v>1801</v>
      </c>
      <c r="B546" t="s">
        <v>1199</v>
      </c>
      <c r="C546" s="3">
        <v>45220</v>
      </c>
      <c r="D546" t="s">
        <v>16</v>
      </c>
      <c r="E546" t="s">
        <v>34</v>
      </c>
      <c r="F546">
        <v>34</v>
      </c>
      <c r="G546" t="s">
        <v>1260</v>
      </c>
      <c r="H546">
        <v>1</v>
      </c>
      <c r="I546" t="s">
        <v>1802</v>
      </c>
      <c r="J546">
        <v>2.82</v>
      </c>
      <c r="K546" t="s">
        <v>41</v>
      </c>
      <c r="L546" s="3">
        <v>45220</v>
      </c>
      <c r="M546" t="s">
        <v>34</v>
      </c>
      <c r="N546" s="4">
        <v>34</v>
      </c>
      <c r="O546" t="str" cm="1">
        <f t="array" ref="O54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46" t="s">
        <v>1260</v>
      </c>
      <c r="Q546" t="s">
        <v>2925</v>
      </c>
      <c r="R546" s="5">
        <v>5.87</v>
      </c>
      <c r="S546" s="5">
        <v>2.82</v>
      </c>
    </row>
    <row r="547" spans="1:19" x14ac:dyDescent="0.25">
      <c r="A547" t="s">
        <v>1803</v>
      </c>
      <c r="B547" t="s">
        <v>1804</v>
      </c>
      <c r="C547" t="s">
        <v>1805</v>
      </c>
      <c r="D547" t="s">
        <v>24</v>
      </c>
      <c r="E547" t="s">
        <v>45</v>
      </c>
      <c r="F547">
        <v>72</v>
      </c>
      <c r="G547" t="s">
        <v>299</v>
      </c>
      <c r="H547">
        <v>1</v>
      </c>
      <c r="I547">
        <v>9.3699999999999992</v>
      </c>
      <c r="J547">
        <v>2.5499999999999998</v>
      </c>
      <c r="K547" t="s">
        <v>19</v>
      </c>
      <c r="L547" s="3">
        <v>45041</v>
      </c>
      <c r="M547" t="s">
        <v>48</v>
      </c>
      <c r="N547" s="4">
        <v>72</v>
      </c>
      <c r="O547" t="str" cm="1">
        <f t="array" ref="O54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47" t="s">
        <v>299</v>
      </c>
      <c r="Q547" t="s">
        <v>2926</v>
      </c>
      <c r="R547" s="5">
        <v>9.3699999999999992</v>
      </c>
      <c r="S547" s="5">
        <v>2.5499999999999998</v>
      </c>
    </row>
    <row r="548" spans="1:19" x14ac:dyDescent="0.25">
      <c r="A548" t="s">
        <v>1806</v>
      </c>
      <c r="B548" t="s">
        <v>118</v>
      </c>
      <c r="C548" s="3">
        <v>45390</v>
      </c>
      <c r="D548" t="s">
        <v>16</v>
      </c>
      <c r="F548">
        <v>60</v>
      </c>
      <c r="G548" t="s">
        <v>1807</v>
      </c>
      <c r="H548">
        <v>2</v>
      </c>
      <c r="I548">
        <v>48.05</v>
      </c>
      <c r="J548">
        <v>11.93</v>
      </c>
      <c r="K548" t="s">
        <v>41</v>
      </c>
      <c r="L548" s="3">
        <v>45390</v>
      </c>
      <c r="M548" t="s">
        <v>20</v>
      </c>
      <c r="N548" s="4">
        <v>60</v>
      </c>
      <c r="O548" t="str" cm="1">
        <f t="array" ref="O54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48" t="s">
        <v>872</v>
      </c>
      <c r="Q548" t="s">
        <v>2927</v>
      </c>
      <c r="R548" s="5">
        <v>48.05</v>
      </c>
      <c r="S548" s="5">
        <v>11.93</v>
      </c>
    </row>
    <row r="549" spans="1:19" x14ac:dyDescent="0.25">
      <c r="A549" t="s">
        <v>1808</v>
      </c>
      <c r="B549" t="s">
        <v>102</v>
      </c>
      <c r="C549" s="1">
        <v>45579</v>
      </c>
      <c r="D549" t="s">
        <v>24</v>
      </c>
      <c r="E549" t="s">
        <v>25</v>
      </c>
      <c r="F549" t="s">
        <v>25</v>
      </c>
      <c r="G549" t="s">
        <v>574</v>
      </c>
      <c r="H549">
        <v>1</v>
      </c>
      <c r="I549" s="2">
        <v>10.77</v>
      </c>
      <c r="J549">
        <v>5.38</v>
      </c>
      <c r="K549" t="s">
        <v>41</v>
      </c>
      <c r="L549" s="3">
        <v>45579</v>
      </c>
      <c r="M549" t="s">
        <v>20</v>
      </c>
      <c r="N549" s="4"/>
      <c r="O549" t="str" cm="1">
        <f t="array" ref="O54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549" t="s">
        <v>574</v>
      </c>
      <c r="Q549" t="s">
        <v>2926</v>
      </c>
      <c r="R549" s="5">
        <v>10.77</v>
      </c>
      <c r="S549" s="5">
        <v>5.38</v>
      </c>
    </row>
    <row r="550" spans="1:19" x14ac:dyDescent="0.25">
      <c r="A550" t="s">
        <v>362</v>
      </c>
      <c r="B550" t="s">
        <v>1269</v>
      </c>
      <c r="C550" t="s">
        <v>364</v>
      </c>
      <c r="D550" t="s">
        <v>24</v>
      </c>
      <c r="E550" t="s">
        <v>65</v>
      </c>
      <c r="F550">
        <v>49</v>
      </c>
      <c r="G550" t="s">
        <v>1809</v>
      </c>
      <c r="H550">
        <v>2</v>
      </c>
      <c r="I550">
        <v>26.81</v>
      </c>
      <c r="J550">
        <v>13.33</v>
      </c>
      <c r="K550" t="s">
        <v>19</v>
      </c>
      <c r="L550" s="3">
        <v>45463</v>
      </c>
      <c r="M550" t="s">
        <v>48</v>
      </c>
      <c r="N550" s="4">
        <v>49</v>
      </c>
      <c r="O550" t="str" cm="1">
        <f t="array" ref="O55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50" t="s">
        <v>1809</v>
      </c>
      <c r="Q550" t="s">
        <v>2926</v>
      </c>
      <c r="R550" s="5">
        <v>26.81</v>
      </c>
      <c r="S550" s="5">
        <v>13.33</v>
      </c>
    </row>
    <row r="551" spans="1:19" x14ac:dyDescent="0.25">
      <c r="A551" t="s">
        <v>1810</v>
      </c>
      <c r="B551" t="s">
        <v>1811</v>
      </c>
      <c r="C551" s="3">
        <v>45363</v>
      </c>
      <c r="D551" t="s">
        <v>16</v>
      </c>
      <c r="E551" t="s">
        <v>34</v>
      </c>
      <c r="F551">
        <v>20</v>
      </c>
      <c r="G551" t="s">
        <v>1812</v>
      </c>
      <c r="H551">
        <v>1</v>
      </c>
      <c r="I551">
        <v>9.58</v>
      </c>
      <c r="K551" t="s">
        <v>19</v>
      </c>
      <c r="L551" s="3">
        <v>45363</v>
      </c>
      <c r="M551" t="s">
        <v>34</v>
      </c>
      <c r="N551" s="4">
        <v>20</v>
      </c>
      <c r="O551" t="str" cm="1">
        <f t="array" ref="O55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551" t="s">
        <v>1812</v>
      </c>
      <c r="Q551" t="s">
        <v>2927</v>
      </c>
      <c r="R551" s="5">
        <v>9.58</v>
      </c>
      <c r="S551" s="5"/>
    </row>
    <row r="552" spans="1:19" x14ac:dyDescent="0.25">
      <c r="A552" t="s">
        <v>1813</v>
      </c>
      <c r="B552" t="s">
        <v>430</v>
      </c>
      <c r="C552" t="s">
        <v>1814</v>
      </c>
      <c r="D552" t="s">
        <v>16</v>
      </c>
      <c r="E552" t="s">
        <v>85</v>
      </c>
      <c r="F552">
        <v>28</v>
      </c>
      <c r="G552" t="s">
        <v>630</v>
      </c>
      <c r="H552">
        <v>2</v>
      </c>
      <c r="I552">
        <v>43.41</v>
      </c>
      <c r="J552">
        <v>22.31</v>
      </c>
      <c r="K552" t="s">
        <v>41</v>
      </c>
      <c r="L552" s="3">
        <v>45280</v>
      </c>
      <c r="M552" t="s">
        <v>34</v>
      </c>
      <c r="N552" s="4">
        <v>28</v>
      </c>
      <c r="O552" t="str" cm="1">
        <f t="array" ref="O55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52" t="s">
        <v>630</v>
      </c>
      <c r="Q552" t="s">
        <v>2927</v>
      </c>
      <c r="R552" s="5">
        <v>43.41</v>
      </c>
      <c r="S552" s="5">
        <v>22.31</v>
      </c>
    </row>
    <row r="553" spans="1:19" x14ac:dyDescent="0.25">
      <c r="A553" t="s">
        <v>1815</v>
      </c>
      <c r="B553" t="s">
        <v>50</v>
      </c>
      <c r="C553" t="s">
        <v>1816</v>
      </c>
      <c r="D553" t="s">
        <v>129</v>
      </c>
      <c r="E553" t="s">
        <v>48</v>
      </c>
      <c r="F553">
        <v>46</v>
      </c>
      <c r="G553" t="s">
        <v>1151</v>
      </c>
      <c r="H553">
        <v>1</v>
      </c>
      <c r="I553" t="s">
        <v>1817</v>
      </c>
      <c r="J553">
        <v>1.9</v>
      </c>
      <c r="K553" t="s">
        <v>41</v>
      </c>
      <c r="L553" s="3">
        <v>45512</v>
      </c>
      <c r="M553" t="s">
        <v>48</v>
      </c>
      <c r="N553" s="4">
        <v>46</v>
      </c>
      <c r="O553" t="str" cm="1">
        <f t="array" ref="O55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53" t="s">
        <v>1151</v>
      </c>
      <c r="Q553" t="s">
        <v>2927</v>
      </c>
      <c r="R553" s="5">
        <v>7.88</v>
      </c>
      <c r="S553" s="5">
        <v>1.9</v>
      </c>
    </row>
    <row r="554" spans="1:19" x14ac:dyDescent="0.25">
      <c r="A554" t="s">
        <v>1818</v>
      </c>
      <c r="B554" t="s">
        <v>816</v>
      </c>
      <c r="C554" s="1">
        <v>45316</v>
      </c>
      <c r="D554" t="s">
        <v>24</v>
      </c>
      <c r="E554" t="s">
        <v>65</v>
      </c>
      <c r="F554">
        <v>69</v>
      </c>
      <c r="G554" t="s">
        <v>1819</v>
      </c>
      <c r="H554">
        <v>2</v>
      </c>
      <c r="I554" t="s">
        <v>1820</v>
      </c>
      <c r="J554">
        <v>28.94</v>
      </c>
      <c r="K554" t="s">
        <v>41</v>
      </c>
      <c r="L554" s="3">
        <v>45316</v>
      </c>
      <c r="M554" t="s">
        <v>48</v>
      </c>
      <c r="N554" s="4">
        <v>69</v>
      </c>
      <c r="O554" t="str" cm="1">
        <f t="array" ref="O55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54" t="s">
        <v>1819</v>
      </c>
      <c r="Q554" t="s">
        <v>2927</v>
      </c>
      <c r="R554" s="5">
        <v>49.99</v>
      </c>
      <c r="S554" s="5">
        <v>28.94</v>
      </c>
    </row>
    <row r="555" spans="1:19" x14ac:dyDescent="0.25">
      <c r="A555" t="s">
        <v>1821</v>
      </c>
      <c r="B555" t="s">
        <v>1703</v>
      </c>
      <c r="C555" s="1">
        <v>45587</v>
      </c>
      <c r="D555" t="s">
        <v>24</v>
      </c>
      <c r="E555" t="s">
        <v>65</v>
      </c>
      <c r="F555">
        <v>19</v>
      </c>
      <c r="G555" t="s">
        <v>1822</v>
      </c>
      <c r="H555">
        <v>2</v>
      </c>
      <c r="I555">
        <v>31.71</v>
      </c>
      <c r="J555" t="s">
        <v>1823</v>
      </c>
      <c r="K555" t="s">
        <v>19</v>
      </c>
      <c r="L555" s="3">
        <v>45587</v>
      </c>
      <c r="M555" t="s">
        <v>48</v>
      </c>
      <c r="N555" s="4">
        <v>19</v>
      </c>
      <c r="O555" t="str" cm="1">
        <f t="array" ref="O55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555" t="s">
        <v>1822</v>
      </c>
      <c r="Q555" t="s">
        <v>2925</v>
      </c>
      <c r="R555" s="5">
        <v>31.71</v>
      </c>
      <c r="S555" s="5">
        <v>16.579999999999998</v>
      </c>
    </row>
    <row r="556" spans="1:19" x14ac:dyDescent="0.25">
      <c r="A556" t="s">
        <v>1824</v>
      </c>
      <c r="B556" t="s">
        <v>422</v>
      </c>
      <c r="C556" t="s">
        <v>1825</v>
      </c>
      <c r="D556" t="s">
        <v>24</v>
      </c>
      <c r="F556">
        <v>50</v>
      </c>
      <c r="G556" t="s">
        <v>1826</v>
      </c>
      <c r="H556">
        <v>2</v>
      </c>
      <c r="I556">
        <v>11.55</v>
      </c>
      <c r="J556">
        <v>2.85</v>
      </c>
      <c r="K556" t="s">
        <v>19</v>
      </c>
      <c r="L556" s="3">
        <v>45391</v>
      </c>
      <c r="M556" t="s">
        <v>20</v>
      </c>
      <c r="N556" s="4">
        <v>50</v>
      </c>
      <c r="O556" t="str" cm="1">
        <f t="array" ref="O55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56" t="s">
        <v>1826</v>
      </c>
      <c r="Q556" t="s">
        <v>2926</v>
      </c>
      <c r="R556" s="5">
        <v>11.55</v>
      </c>
      <c r="S556" s="5">
        <v>2.85</v>
      </c>
    </row>
    <row r="557" spans="1:19" x14ac:dyDescent="0.25">
      <c r="A557" t="s">
        <v>1827</v>
      </c>
      <c r="B557" t="s">
        <v>1288</v>
      </c>
      <c r="C557" t="s">
        <v>1828</v>
      </c>
      <c r="D557" t="s">
        <v>51</v>
      </c>
      <c r="F557">
        <v>24</v>
      </c>
      <c r="G557" t="s">
        <v>1689</v>
      </c>
      <c r="H557">
        <v>3</v>
      </c>
      <c r="I557">
        <v>107.58</v>
      </c>
      <c r="J557">
        <v>35.39</v>
      </c>
      <c r="K557" t="s">
        <v>41</v>
      </c>
      <c r="L557" s="3">
        <v>45593</v>
      </c>
      <c r="M557" t="s">
        <v>20</v>
      </c>
      <c r="N557" s="4">
        <v>24</v>
      </c>
      <c r="O557" t="str" cm="1">
        <f t="array" ref="O55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557" t="s">
        <v>1689</v>
      </c>
      <c r="Q557" t="s">
        <v>2927</v>
      </c>
      <c r="R557" s="5">
        <v>107.58</v>
      </c>
      <c r="S557" s="5">
        <v>35.39</v>
      </c>
    </row>
    <row r="558" spans="1:19" x14ac:dyDescent="0.25">
      <c r="A558" t="s">
        <v>1829</v>
      </c>
      <c r="B558" t="s">
        <v>679</v>
      </c>
      <c r="C558" s="1">
        <v>45020</v>
      </c>
      <c r="D558" t="s">
        <v>30</v>
      </c>
      <c r="E558" t="s">
        <v>38</v>
      </c>
      <c r="F558">
        <v>46</v>
      </c>
      <c r="G558" t="s">
        <v>872</v>
      </c>
      <c r="H558">
        <v>6</v>
      </c>
      <c r="I558">
        <v>189.93</v>
      </c>
      <c r="J558" t="s">
        <v>1830</v>
      </c>
      <c r="K558" t="s">
        <v>41</v>
      </c>
      <c r="L558" s="3">
        <v>45020</v>
      </c>
      <c r="M558" t="s">
        <v>34</v>
      </c>
      <c r="N558" s="4">
        <v>46</v>
      </c>
      <c r="O558" t="str" cm="1">
        <f t="array" ref="O55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58" t="s">
        <v>872</v>
      </c>
      <c r="Q558" t="s">
        <v>2927</v>
      </c>
      <c r="R558" s="5">
        <v>189.93</v>
      </c>
      <c r="S558" s="5">
        <v>74.75</v>
      </c>
    </row>
    <row r="559" spans="1:19" x14ac:dyDescent="0.25">
      <c r="A559" t="s">
        <v>1831</v>
      </c>
      <c r="B559" t="s">
        <v>668</v>
      </c>
      <c r="C559" s="1">
        <v>45538</v>
      </c>
      <c r="D559" t="s">
        <v>51</v>
      </c>
      <c r="E559" t="s">
        <v>85</v>
      </c>
      <c r="F559">
        <v>71</v>
      </c>
      <c r="G559" t="s">
        <v>962</v>
      </c>
      <c r="H559">
        <v>1</v>
      </c>
      <c r="I559">
        <v>37.08</v>
      </c>
      <c r="J559">
        <v>18.91</v>
      </c>
      <c r="K559" t="s">
        <v>19</v>
      </c>
      <c r="L559" s="3">
        <v>45538</v>
      </c>
      <c r="M559" t="s">
        <v>34</v>
      </c>
      <c r="N559" s="4">
        <v>71</v>
      </c>
      <c r="O559" t="str" cm="1">
        <f t="array" ref="O55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59" t="s">
        <v>962</v>
      </c>
      <c r="Q559" t="s">
        <v>2927</v>
      </c>
      <c r="R559" s="5">
        <v>37.08</v>
      </c>
      <c r="S559" s="5">
        <v>18.91</v>
      </c>
    </row>
    <row r="560" spans="1:19" x14ac:dyDescent="0.25">
      <c r="A560" t="s">
        <v>1832</v>
      </c>
      <c r="B560" t="s">
        <v>1833</v>
      </c>
      <c r="C560" t="s">
        <v>1834</v>
      </c>
      <c r="D560" t="s">
        <v>24</v>
      </c>
      <c r="E560" t="s">
        <v>34</v>
      </c>
      <c r="F560">
        <v>75</v>
      </c>
      <c r="G560" t="s">
        <v>1835</v>
      </c>
      <c r="H560">
        <v>1</v>
      </c>
      <c r="I560" t="s">
        <v>1836</v>
      </c>
      <c r="J560">
        <v>18.96</v>
      </c>
      <c r="K560" t="s">
        <v>41</v>
      </c>
      <c r="L560" s="3">
        <v>45272</v>
      </c>
      <c r="M560" t="s">
        <v>34</v>
      </c>
      <c r="N560" s="4">
        <v>75</v>
      </c>
      <c r="O560" t="str" cm="1">
        <f t="array" ref="O56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60" t="s">
        <v>1835</v>
      </c>
      <c r="Q560" t="s">
        <v>2925</v>
      </c>
      <c r="R560" s="5">
        <v>35.82</v>
      </c>
      <c r="S560" s="5">
        <v>18.96</v>
      </c>
    </row>
    <row r="561" spans="1:19" x14ac:dyDescent="0.25">
      <c r="A561" t="s">
        <v>1837</v>
      </c>
      <c r="B561" t="s">
        <v>1838</v>
      </c>
      <c r="C561" t="s">
        <v>1839</v>
      </c>
      <c r="D561" t="s">
        <v>30</v>
      </c>
      <c r="F561">
        <v>33</v>
      </c>
      <c r="G561" t="s">
        <v>1840</v>
      </c>
      <c r="H561">
        <v>1</v>
      </c>
      <c r="I561">
        <v>20.41</v>
      </c>
      <c r="J561">
        <v>9.6199999999999992</v>
      </c>
      <c r="K561" t="s">
        <v>41</v>
      </c>
      <c r="L561" s="3">
        <v>45365</v>
      </c>
      <c r="M561" t="s">
        <v>20</v>
      </c>
      <c r="N561" s="4">
        <v>33</v>
      </c>
      <c r="O561" t="str" cm="1">
        <f t="array" ref="O56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61" t="s">
        <v>1840</v>
      </c>
      <c r="Q561" t="s">
        <v>2926</v>
      </c>
      <c r="R561" s="5">
        <v>20.41</v>
      </c>
      <c r="S561" s="5">
        <v>9.6199999999999992</v>
      </c>
    </row>
    <row r="562" spans="1:19" x14ac:dyDescent="0.25">
      <c r="A562" t="s">
        <v>1841</v>
      </c>
      <c r="B562" t="s">
        <v>725</v>
      </c>
      <c r="C562" t="s">
        <v>1842</v>
      </c>
      <c r="D562" t="s">
        <v>51</v>
      </c>
      <c r="E562" t="s">
        <v>25</v>
      </c>
      <c r="F562">
        <v>39</v>
      </c>
      <c r="G562" t="s">
        <v>1843</v>
      </c>
      <c r="H562">
        <v>2</v>
      </c>
      <c r="I562" t="s">
        <v>1844</v>
      </c>
      <c r="J562">
        <v>24.09</v>
      </c>
      <c r="K562" t="s">
        <v>41</v>
      </c>
      <c r="L562" s="3">
        <v>45548</v>
      </c>
      <c r="M562" t="s">
        <v>20</v>
      </c>
      <c r="N562" s="4">
        <v>39</v>
      </c>
      <c r="O562" t="str" cm="1">
        <f t="array" ref="O56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62" t="s">
        <v>1843</v>
      </c>
      <c r="Q562" t="s">
        <v>2926</v>
      </c>
      <c r="R562" s="5">
        <v>84.77</v>
      </c>
      <c r="S562" s="5">
        <v>24.09</v>
      </c>
    </row>
    <row r="563" spans="1:19" x14ac:dyDescent="0.25">
      <c r="A563" t="s">
        <v>1845</v>
      </c>
      <c r="B563" t="s">
        <v>1846</v>
      </c>
      <c r="C563" t="s">
        <v>1847</v>
      </c>
      <c r="D563" t="s">
        <v>51</v>
      </c>
      <c r="E563" t="s">
        <v>1356</v>
      </c>
      <c r="F563">
        <v>66</v>
      </c>
      <c r="G563" t="s">
        <v>1848</v>
      </c>
      <c r="H563">
        <v>1</v>
      </c>
      <c r="I563">
        <v>52.85</v>
      </c>
      <c r="J563">
        <v>23.84</v>
      </c>
      <c r="K563" t="s">
        <v>41</v>
      </c>
      <c r="L563" s="3">
        <v>45001</v>
      </c>
      <c r="M563" t="s">
        <v>34</v>
      </c>
      <c r="N563" s="4">
        <v>66</v>
      </c>
      <c r="O563" t="str" cm="1">
        <f t="array" ref="O56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63" t="s">
        <v>2714</v>
      </c>
      <c r="Q563" t="s">
        <v>2929</v>
      </c>
      <c r="R563" s="5">
        <v>52.85</v>
      </c>
      <c r="S563" s="5">
        <v>23.84</v>
      </c>
    </row>
    <row r="564" spans="1:19" x14ac:dyDescent="0.25">
      <c r="A564" t="s">
        <v>1849</v>
      </c>
      <c r="B564" t="s">
        <v>1850</v>
      </c>
      <c r="C564" s="1">
        <v>45072</v>
      </c>
      <c r="D564" t="s">
        <v>51</v>
      </c>
      <c r="E564" t="s">
        <v>34</v>
      </c>
      <c r="F564">
        <v>52</v>
      </c>
      <c r="G564" t="s">
        <v>1851</v>
      </c>
      <c r="H564">
        <v>1</v>
      </c>
      <c r="I564">
        <v>36.01</v>
      </c>
      <c r="J564">
        <v>12.01</v>
      </c>
      <c r="K564" t="s">
        <v>41</v>
      </c>
      <c r="L564" s="3">
        <v>45072</v>
      </c>
      <c r="M564" t="s">
        <v>34</v>
      </c>
      <c r="N564" s="4">
        <v>52</v>
      </c>
      <c r="O564" t="str" cm="1">
        <f t="array" ref="O56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64" t="s">
        <v>2962</v>
      </c>
      <c r="Q564" t="s">
        <v>2926</v>
      </c>
      <c r="R564" s="5">
        <v>36.01</v>
      </c>
      <c r="S564" s="5">
        <v>12.01</v>
      </c>
    </row>
    <row r="565" spans="1:19" x14ac:dyDescent="0.25">
      <c r="A565" t="s">
        <v>1852</v>
      </c>
      <c r="B565" t="s">
        <v>1296</v>
      </c>
      <c r="C565" s="3">
        <v>45191</v>
      </c>
      <c r="D565" t="s">
        <v>24</v>
      </c>
      <c r="E565" t="s">
        <v>70</v>
      </c>
      <c r="F565">
        <v>38</v>
      </c>
      <c r="G565" t="s">
        <v>1853</v>
      </c>
      <c r="H565">
        <v>3</v>
      </c>
      <c r="I565">
        <v>50.61</v>
      </c>
      <c r="J565">
        <v>23.69</v>
      </c>
      <c r="K565" t="s">
        <v>19</v>
      </c>
      <c r="L565" s="3">
        <v>45191</v>
      </c>
      <c r="M565" t="s">
        <v>20</v>
      </c>
      <c r="N565" s="4">
        <v>38</v>
      </c>
      <c r="O565" t="str" cm="1">
        <f t="array" ref="O56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65" t="s">
        <v>1853</v>
      </c>
      <c r="Q565" t="s">
        <v>2931</v>
      </c>
      <c r="R565" s="5">
        <v>50.61</v>
      </c>
      <c r="S565" s="5">
        <v>23.69</v>
      </c>
    </row>
    <row r="566" spans="1:19" x14ac:dyDescent="0.25">
      <c r="A566" t="s">
        <v>1854</v>
      </c>
      <c r="B566" t="s">
        <v>261</v>
      </c>
      <c r="C566" s="1">
        <v>45254</v>
      </c>
      <c r="D566" t="s">
        <v>24</v>
      </c>
      <c r="E566" t="s">
        <v>25</v>
      </c>
      <c r="F566">
        <v>19</v>
      </c>
      <c r="G566" t="s">
        <v>1855</v>
      </c>
      <c r="H566">
        <v>1</v>
      </c>
      <c r="I566" t="s">
        <v>1856</v>
      </c>
      <c r="J566">
        <v>15.35</v>
      </c>
      <c r="K566" t="s">
        <v>19</v>
      </c>
      <c r="L566" s="3">
        <v>45254</v>
      </c>
      <c r="M566" t="s">
        <v>20</v>
      </c>
      <c r="N566" s="4">
        <v>19</v>
      </c>
      <c r="O566" t="str" cm="1">
        <f t="array" ref="O56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566" t="s">
        <v>1855</v>
      </c>
      <c r="Q566" t="s">
        <v>2930</v>
      </c>
      <c r="R566" s="5">
        <v>35.049999999999997</v>
      </c>
      <c r="S566" s="5">
        <v>15.35</v>
      </c>
    </row>
    <row r="567" spans="1:19" x14ac:dyDescent="0.25">
      <c r="A567" t="s">
        <v>1857</v>
      </c>
      <c r="B567" t="s">
        <v>539</v>
      </c>
      <c r="C567" t="s">
        <v>1858</v>
      </c>
      <c r="D567" t="s">
        <v>30</v>
      </c>
      <c r="E567" t="s">
        <v>70</v>
      </c>
      <c r="G567" t="s">
        <v>1348</v>
      </c>
      <c r="H567">
        <v>1</v>
      </c>
      <c r="I567">
        <v>20.66</v>
      </c>
      <c r="J567">
        <v>10.48</v>
      </c>
      <c r="K567" t="s">
        <v>41</v>
      </c>
      <c r="L567" s="3">
        <v>45445</v>
      </c>
      <c r="M567" t="s">
        <v>20</v>
      </c>
      <c r="N567" s="4"/>
      <c r="O567" t="str" cm="1">
        <f t="array" ref="O56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567" t="s">
        <v>1348</v>
      </c>
      <c r="Q567" t="s">
        <v>2927</v>
      </c>
      <c r="R567" s="5">
        <v>20.66</v>
      </c>
      <c r="S567" s="5">
        <v>10.48</v>
      </c>
    </row>
    <row r="568" spans="1:19" x14ac:dyDescent="0.25">
      <c r="A568" t="s">
        <v>1859</v>
      </c>
      <c r="B568" t="s">
        <v>776</v>
      </c>
      <c r="C568" s="3">
        <v>45396</v>
      </c>
      <c r="D568" t="s">
        <v>24</v>
      </c>
      <c r="E568" t="s">
        <v>25</v>
      </c>
      <c r="F568">
        <v>35</v>
      </c>
      <c r="G568" t="s">
        <v>1414</v>
      </c>
      <c r="H568">
        <v>1</v>
      </c>
      <c r="I568" t="s">
        <v>1860</v>
      </c>
      <c r="J568">
        <v>2.1800000000000002</v>
      </c>
      <c r="K568" t="s">
        <v>41</v>
      </c>
      <c r="L568" s="3">
        <v>45396</v>
      </c>
      <c r="M568" t="s">
        <v>20</v>
      </c>
      <c r="N568" s="4">
        <v>35</v>
      </c>
      <c r="O568" t="str" cm="1">
        <f t="array" ref="O56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68" t="s">
        <v>1414</v>
      </c>
      <c r="Q568" t="s">
        <v>2932</v>
      </c>
      <c r="R568" s="5">
        <v>4.63</v>
      </c>
      <c r="S568" s="5">
        <v>2.1800000000000002</v>
      </c>
    </row>
    <row r="569" spans="1:19" x14ac:dyDescent="0.25">
      <c r="A569" t="s">
        <v>1861</v>
      </c>
      <c r="B569" t="s">
        <v>64</v>
      </c>
      <c r="C569" t="s">
        <v>1862</v>
      </c>
      <c r="D569" t="s">
        <v>16</v>
      </c>
      <c r="E569" t="s">
        <v>48</v>
      </c>
      <c r="F569">
        <v>21</v>
      </c>
      <c r="G569" t="s">
        <v>1863</v>
      </c>
      <c r="H569">
        <v>2</v>
      </c>
      <c r="I569">
        <v>54.46</v>
      </c>
      <c r="J569">
        <v>13.05</v>
      </c>
      <c r="K569" t="s">
        <v>19</v>
      </c>
      <c r="L569" s="3">
        <v>45500</v>
      </c>
      <c r="M569" t="s">
        <v>48</v>
      </c>
      <c r="N569" s="4">
        <v>21</v>
      </c>
      <c r="O569" t="str" cm="1">
        <f t="array" ref="O56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569" t="s">
        <v>1863</v>
      </c>
      <c r="Q569" t="s">
        <v>2929</v>
      </c>
      <c r="R569" s="5">
        <v>54.46</v>
      </c>
      <c r="S569" s="5">
        <v>13.05</v>
      </c>
    </row>
    <row r="570" spans="1:19" x14ac:dyDescent="0.25">
      <c r="A570" t="s">
        <v>1864</v>
      </c>
      <c r="B570" t="s">
        <v>1865</v>
      </c>
      <c r="C570" t="s">
        <v>1866</v>
      </c>
      <c r="D570" t="s">
        <v>129</v>
      </c>
      <c r="E570" t="s">
        <v>70</v>
      </c>
      <c r="F570">
        <v>52</v>
      </c>
      <c r="G570" t="s">
        <v>1867</v>
      </c>
      <c r="H570">
        <v>2</v>
      </c>
      <c r="I570">
        <v>7.45</v>
      </c>
      <c r="J570">
        <v>3.64</v>
      </c>
      <c r="K570" t="s">
        <v>19</v>
      </c>
      <c r="L570" s="3">
        <v>44939</v>
      </c>
      <c r="M570" t="s">
        <v>20</v>
      </c>
      <c r="N570" s="4">
        <v>52</v>
      </c>
      <c r="O570" t="str" cm="1">
        <f t="array" ref="O57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70" t="s">
        <v>1867</v>
      </c>
      <c r="Q570" t="s">
        <v>2926</v>
      </c>
      <c r="R570" s="5">
        <v>7.45</v>
      </c>
      <c r="S570" s="5">
        <v>3.64</v>
      </c>
    </row>
    <row r="571" spans="1:19" x14ac:dyDescent="0.25">
      <c r="A571" t="s">
        <v>1868</v>
      </c>
      <c r="B571" t="s">
        <v>1869</v>
      </c>
      <c r="C571" t="s">
        <v>1870</v>
      </c>
      <c r="D571" t="s">
        <v>30</v>
      </c>
      <c r="E571" t="s">
        <v>85</v>
      </c>
      <c r="F571">
        <v>60</v>
      </c>
      <c r="G571" t="s">
        <v>1871</v>
      </c>
      <c r="H571">
        <v>2</v>
      </c>
      <c r="I571">
        <v>36.979999999999997</v>
      </c>
      <c r="J571">
        <v>11.05</v>
      </c>
      <c r="K571" t="s">
        <v>41</v>
      </c>
      <c r="L571" s="3">
        <v>45513</v>
      </c>
      <c r="M571" t="s">
        <v>34</v>
      </c>
      <c r="N571" s="4">
        <v>60</v>
      </c>
      <c r="O571" t="str" cm="1">
        <f t="array" ref="O57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71" t="s">
        <v>1871</v>
      </c>
      <c r="Q571" t="s">
        <v>2929</v>
      </c>
      <c r="R571" s="5">
        <v>36.979999999999997</v>
      </c>
      <c r="S571" s="5">
        <v>11.05</v>
      </c>
    </row>
    <row r="572" spans="1:19" x14ac:dyDescent="0.25">
      <c r="A572" t="s">
        <v>1872</v>
      </c>
      <c r="B572" t="s">
        <v>1873</v>
      </c>
      <c r="C572" s="3">
        <v>45327</v>
      </c>
      <c r="D572" t="s">
        <v>30</v>
      </c>
      <c r="E572" t="s">
        <v>45</v>
      </c>
      <c r="F572">
        <v>33</v>
      </c>
      <c r="G572" t="s">
        <v>1874</v>
      </c>
      <c r="H572">
        <v>-1</v>
      </c>
      <c r="I572" t="s">
        <v>25</v>
      </c>
      <c r="J572">
        <v>-3.06</v>
      </c>
      <c r="K572" t="s">
        <v>19</v>
      </c>
      <c r="L572" s="3">
        <v>45327</v>
      </c>
      <c r="M572" t="s">
        <v>48</v>
      </c>
      <c r="N572" s="4">
        <v>33</v>
      </c>
      <c r="O572" t="str" cm="1">
        <f t="array" ref="O57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72" t="s">
        <v>1874</v>
      </c>
      <c r="Q572" t="s">
        <v>2929</v>
      </c>
      <c r="R572" s="5"/>
      <c r="S572" s="5">
        <v>-3.06</v>
      </c>
    </row>
    <row r="573" spans="1:19" x14ac:dyDescent="0.25">
      <c r="A573" t="s">
        <v>437</v>
      </c>
      <c r="B573" t="s">
        <v>438</v>
      </c>
      <c r="C573" s="1">
        <v>45386</v>
      </c>
      <c r="D573" t="s">
        <v>30</v>
      </c>
      <c r="E573" t="s">
        <v>31</v>
      </c>
      <c r="F573">
        <v>74</v>
      </c>
      <c r="G573" t="s">
        <v>439</v>
      </c>
      <c r="H573">
        <v>3</v>
      </c>
      <c r="I573">
        <v>24.02</v>
      </c>
      <c r="J573">
        <v>11.88</v>
      </c>
      <c r="K573" t="s">
        <v>41</v>
      </c>
      <c r="L573" s="3">
        <v>45386</v>
      </c>
      <c r="M573" t="s">
        <v>34</v>
      </c>
      <c r="N573" s="4">
        <v>74</v>
      </c>
      <c r="O573" t="str" cm="1">
        <f t="array" ref="O57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73" t="s">
        <v>439</v>
      </c>
      <c r="Q573" t="s">
        <v>2926</v>
      </c>
      <c r="R573" s="5">
        <v>24.02</v>
      </c>
      <c r="S573" s="5">
        <v>11.88</v>
      </c>
    </row>
    <row r="574" spans="1:19" x14ac:dyDescent="0.25">
      <c r="A574" t="s">
        <v>1875</v>
      </c>
      <c r="B574" t="s">
        <v>1876</v>
      </c>
      <c r="C574" t="s">
        <v>1877</v>
      </c>
      <c r="D574" t="s">
        <v>16</v>
      </c>
      <c r="E574" t="s">
        <v>65</v>
      </c>
      <c r="F574" t="s">
        <v>25</v>
      </c>
      <c r="G574" t="s">
        <v>1878</v>
      </c>
      <c r="H574">
        <v>1</v>
      </c>
      <c r="I574">
        <v>27.2</v>
      </c>
      <c r="J574" s="2">
        <v>9.31</v>
      </c>
      <c r="K574" t="s">
        <v>41</v>
      </c>
      <c r="L574" s="3">
        <v>45439</v>
      </c>
      <c r="M574" t="s">
        <v>48</v>
      </c>
      <c r="N574" s="4"/>
      <c r="O574" t="str" cm="1">
        <f t="array" ref="O57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574" t="s">
        <v>2963</v>
      </c>
      <c r="Q574" t="s">
        <v>2926</v>
      </c>
      <c r="R574" s="5">
        <v>27.2</v>
      </c>
      <c r="S574" s="5">
        <v>9.31</v>
      </c>
    </row>
    <row r="575" spans="1:19" x14ac:dyDescent="0.25">
      <c r="A575" t="s">
        <v>1879</v>
      </c>
      <c r="B575" t="s">
        <v>1718</v>
      </c>
      <c r="C575" s="1">
        <v>45369</v>
      </c>
      <c r="D575" t="s">
        <v>51</v>
      </c>
      <c r="E575" t="s">
        <v>60</v>
      </c>
      <c r="F575" t="s">
        <v>25</v>
      </c>
      <c r="G575" t="s">
        <v>258</v>
      </c>
      <c r="H575">
        <v>2</v>
      </c>
      <c r="I575">
        <v>37.86</v>
      </c>
      <c r="J575">
        <v>16.55</v>
      </c>
      <c r="K575" t="s">
        <v>41</v>
      </c>
      <c r="L575" s="3">
        <v>45369</v>
      </c>
      <c r="M575" t="s">
        <v>48</v>
      </c>
      <c r="N575" s="4"/>
      <c r="O575" t="str" cm="1">
        <f t="array" ref="O57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575" t="s">
        <v>258</v>
      </c>
      <c r="Q575" t="s">
        <v>2927</v>
      </c>
      <c r="R575" s="5">
        <v>37.86</v>
      </c>
      <c r="S575" s="5">
        <v>16.55</v>
      </c>
    </row>
    <row r="576" spans="1:19" x14ac:dyDescent="0.25">
      <c r="A576" t="s">
        <v>1880</v>
      </c>
      <c r="B576" t="s">
        <v>194</v>
      </c>
      <c r="C576" s="3">
        <v>45280</v>
      </c>
      <c r="D576" t="s">
        <v>24</v>
      </c>
      <c r="E576" t="s">
        <v>31</v>
      </c>
      <c r="F576" t="s">
        <v>173</v>
      </c>
      <c r="G576" t="s">
        <v>1881</v>
      </c>
      <c r="H576">
        <v>1</v>
      </c>
      <c r="I576">
        <v>16.93</v>
      </c>
      <c r="J576" t="s">
        <v>1882</v>
      </c>
      <c r="K576" t="s">
        <v>19</v>
      </c>
      <c r="L576" s="3">
        <v>45280</v>
      </c>
      <c r="M576" t="s">
        <v>34</v>
      </c>
      <c r="N576" s="4">
        <v>30</v>
      </c>
      <c r="O576" t="str" cm="1">
        <f t="array" ref="O57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76" t="s">
        <v>1881</v>
      </c>
      <c r="Q576" t="s">
        <v>2926</v>
      </c>
      <c r="R576" s="5">
        <v>16.93</v>
      </c>
      <c r="S576" s="5">
        <v>6.36</v>
      </c>
    </row>
    <row r="577" spans="1:19" x14ac:dyDescent="0.25">
      <c r="A577" t="s">
        <v>1883</v>
      </c>
      <c r="B577" t="s">
        <v>297</v>
      </c>
      <c r="C577" t="s">
        <v>1884</v>
      </c>
      <c r="D577" t="s">
        <v>129</v>
      </c>
      <c r="E577" t="s">
        <v>60</v>
      </c>
      <c r="F577">
        <v>31</v>
      </c>
      <c r="G577" t="s">
        <v>1885</v>
      </c>
      <c r="H577">
        <v>4</v>
      </c>
      <c r="I577">
        <v>76.349999999999994</v>
      </c>
      <c r="J577">
        <v>30.51</v>
      </c>
      <c r="K577" t="s">
        <v>41</v>
      </c>
      <c r="L577" s="3">
        <v>44950</v>
      </c>
      <c r="M577" t="s">
        <v>48</v>
      </c>
      <c r="N577" s="4">
        <v>31</v>
      </c>
      <c r="O577" t="str" cm="1">
        <f t="array" ref="O57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77" t="s">
        <v>1885</v>
      </c>
      <c r="Q577" t="s">
        <v>2927</v>
      </c>
      <c r="R577" s="5">
        <v>76.349999999999994</v>
      </c>
      <c r="S577" s="5">
        <v>30.51</v>
      </c>
    </row>
    <row r="578" spans="1:19" x14ac:dyDescent="0.25">
      <c r="A578" t="s">
        <v>1886</v>
      </c>
      <c r="B578" t="s">
        <v>194</v>
      </c>
      <c r="C578" s="3">
        <v>45530</v>
      </c>
      <c r="D578" t="s">
        <v>16</v>
      </c>
      <c r="E578" t="s">
        <v>65</v>
      </c>
      <c r="F578">
        <v>28</v>
      </c>
      <c r="G578" t="s">
        <v>119</v>
      </c>
      <c r="H578">
        <v>2</v>
      </c>
      <c r="I578">
        <v>30.2</v>
      </c>
      <c r="J578" t="s">
        <v>1887</v>
      </c>
      <c r="K578" t="s">
        <v>19</v>
      </c>
      <c r="L578" s="3">
        <v>45530</v>
      </c>
      <c r="M578" t="s">
        <v>48</v>
      </c>
      <c r="N578" s="4">
        <v>28</v>
      </c>
      <c r="O578" t="str" cm="1">
        <f t="array" ref="O57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78" t="s">
        <v>119</v>
      </c>
      <c r="Q578" t="s">
        <v>2925</v>
      </c>
      <c r="R578" s="5">
        <v>30.2</v>
      </c>
      <c r="S578" s="5">
        <v>12.07</v>
      </c>
    </row>
    <row r="579" spans="1:19" x14ac:dyDescent="0.25">
      <c r="A579" t="s">
        <v>1888</v>
      </c>
      <c r="B579" t="s">
        <v>438</v>
      </c>
      <c r="C579" t="s">
        <v>1889</v>
      </c>
      <c r="D579" t="s">
        <v>129</v>
      </c>
      <c r="E579" t="s">
        <v>38</v>
      </c>
      <c r="F579">
        <v>70</v>
      </c>
      <c r="G579" t="s">
        <v>1298</v>
      </c>
      <c r="H579">
        <v>1</v>
      </c>
      <c r="I579">
        <v>3.43</v>
      </c>
      <c r="J579">
        <v>1.27</v>
      </c>
      <c r="K579" t="s">
        <v>19</v>
      </c>
      <c r="L579" s="3">
        <v>45116</v>
      </c>
      <c r="M579" t="s">
        <v>34</v>
      </c>
      <c r="N579" s="4">
        <v>70</v>
      </c>
      <c r="O579" t="str" cm="1">
        <f t="array" ref="O57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79" t="s">
        <v>1298</v>
      </c>
      <c r="Q579" t="s">
        <v>2929</v>
      </c>
      <c r="R579" s="5">
        <v>3.43</v>
      </c>
      <c r="S579" s="5">
        <v>1.27</v>
      </c>
    </row>
    <row r="580" spans="1:19" x14ac:dyDescent="0.25">
      <c r="A580" t="s">
        <v>1890</v>
      </c>
      <c r="B580" t="s">
        <v>1891</v>
      </c>
      <c r="C580" t="s">
        <v>1892</v>
      </c>
      <c r="D580" t="s">
        <v>30</v>
      </c>
      <c r="E580" t="s">
        <v>45</v>
      </c>
      <c r="F580">
        <v>29</v>
      </c>
      <c r="G580" t="s">
        <v>1893</v>
      </c>
      <c r="H580">
        <v>1</v>
      </c>
      <c r="I580">
        <v>28.37</v>
      </c>
      <c r="J580" t="s">
        <v>1894</v>
      </c>
      <c r="K580" t="s">
        <v>41</v>
      </c>
      <c r="L580" s="3">
        <v>45328</v>
      </c>
      <c r="M580" t="s">
        <v>48</v>
      </c>
      <c r="N580" s="4">
        <v>29</v>
      </c>
      <c r="O580" t="str" cm="1">
        <f t="array" ref="O58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80" t="s">
        <v>1893</v>
      </c>
      <c r="Q580" t="s">
        <v>2964</v>
      </c>
      <c r="R580" s="5">
        <v>28.37</v>
      </c>
      <c r="S580" s="5">
        <v>7.52</v>
      </c>
    </row>
    <row r="581" spans="1:19" x14ac:dyDescent="0.25">
      <c r="A581" t="s">
        <v>1895</v>
      </c>
      <c r="B581" t="s">
        <v>1896</v>
      </c>
      <c r="C581" s="1">
        <v>45308</v>
      </c>
      <c r="D581" t="s">
        <v>51</v>
      </c>
      <c r="E581" t="s">
        <v>31</v>
      </c>
      <c r="F581">
        <v>50</v>
      </c>
      <c r="G581" t="s">
        <v>182</v>
      </c>
      <c r="H581">
        <v>4</v>
      </c>
      <c r="I581">
        <v>64.88</v>
      </c>
      <c r="J581" t="s">
        <v>1897</v>
      </c>
      <c r="K581" t="s">
        <v>19</v>
      </c>
      <c r="L581" s="3">
        <v>45308</v>
      </c>
      <c r="M581" t="s">
        <v>34</v>
      </c>
      <c r="N581" s="4">
        <v>50</v>
      </c>
      <c r="O581" t="str" cm="1">
        <f t="array" ref="O58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81" t="s">
        <v>182</v>
      </c>
      <c r="Q581" t="s">
        <v>2927</v>
      </c>
      <c r="R581" s="5">
        <v>64.88</v>
      </c>
      <c r="S581" s="5">
        <v>32.58</v>
      </c>
    </row>
    <row r="582" spans="1:19" x14ac:dyDescent="0.25">
      <c r="A582" t="s">
        <v>1898</v>
      </c>
      <c r="B582" t="s">
        <v>1157</v>
      </c>
      <c r="C582" s="3">
        <v>44957</v>
      </c>
      <c r="D582" t="s">
        <v>30</v>
      </c>
      <c r="E582" t="s">
        <v>31</v>
      </c>
      <c r="F582">
        <v>50</v>
      </c>
      <c r="G582" t="s">
        <v>1899</v>
      </c>
      <c r="H582">
        <v>2</v>
      </c>
      <c r="I582" t="s">
        <v>1900</v>
      </c>
      <c r="J582">
        <v>23.37</v>
      </c>
      <c r="K582" t="s">
        <v>41</v>
      </c>
      <c r="L582" s="3">
        <v>44957</v>
      </c>
      <c r="M582" t="s">
        <v>34</v>
      </c>
      <c r="N582" s="4">
        <v>50</v>
      </c>
      <c r="O582" t="str" cm="1">
        <f t="array" ref="O58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82" t="s">
        <v>1899</v>
      </c>
      <c r="Q582" t="s">
        <v>2929</v>
      </c>
      <c r="R582" s="5">
        <v>46.7</v>
      </c>
      <c r="S582" s="5">
        <v>23.37</v>
      </c>
    </row>
    <row r="583" spans="1:19" x14ac:dyDescent="0.25">
      <c r="A583" t="s">
        <v>1901</v>
      </c>
      <c r="B583" t="s">
        <v>1902</v>
      </c>
      <c r="C583" s="1">
        <v>45623</v>
      </c>
      <c r="D583" t="s">
        <v>30</v>
      </c>
      <c r="F583">
        <v>22</v>
      </c>
      <c r="G583" t="s">
        <v>1903</v>
      </c>
      <c r="H583">
        <v>1</v>
      </c>
      <c r="I583" t="s">
        <v>1904</v>
      </c>
      <c r="J583" s="2">
        <v>5.48</v>
      </c>
      <c r="K583" t="s">
        <v>19</v>
      </c>
      <c r="L583" s="3">
        <v>45623</v>
      </c>
      <c r="M583" t="s">
        <v>20</v>
      </c>
      <c r="N583" s="4">
        <v>22</v>
      </c>
      <c r="O583" t="str" cm="1">
        <f t="array" ref="O58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583" t="s">
        <v>1903</v>
      </c>
      <c r="Q583" t="s">
        <v>2926</v>
      </c>
      <c r="R583" s="5">
        <v>11.41</v>
      </c>
      <c r="S583" s="5">
        <v>5.48</v>
      </c>
    </row>
    <row r="584" spans="1:19" x14ac:dyDescent="0.25">
      <c r="A584" t="s">
        <v>1905</v>
      </c>
      <c r="B584" t="s">
        <v>414</v>
      </c>
      <c r="C584" s="3">
        <v>45261</v>
      </c>
      <c r="D584" t="s">
        <v>30</v>
      </c>
      <c r="E584" t="s">
        <v>60</v>
      </c>
      <c r="F584" t="s">
        <v>25</v>
      </c>
      <c r="G584" t="s">
        <v>1906</v>
      </c>
      <c r="H584">
        <v>2</v>
      </c>
      <c r="I584" s="2">
        <v>23.29</v>
      </c>
      <c r="J584" s="2">
        <v>6.16</v>
      </c>
      <c r="K584" t="s">
        <v>41</v>
      </c>
      <c r="L584" s="3">
        <v>45261</v>
      </c>
      <c r="M584" t="s">
        <v>48</v>
      </c>
      <c r="N584" s="4"/>
      <c r="O584" t="str" cm="1">
        <f t="array" ref="O58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584" t="s">
        <v>1906</v>
      </c>
      <c r="Q584" t="s">
        <v>2925</v>
      </c>
      <c r="R584" s="5">
        <v>23.29</v>
      </c>
      <c r="S584" s="5">
        <v>6.16</v>
      </c>
    </row>
    <row r="585" spans="1:19" x14ac:dyDescent="0.25">
      <c r="A585" t="s">
        <v>1907</v>
      </c>
      <c r="B585" t="s">
        <v>696</v>
      </c>
      <c r="C585" t="s">
        <v>1908</v>
      </c>
      <c r="D585" t="s">
        <v>51</v>
      </c>
      <c r="E585" t="s">
        <v>60</v>
      </c>
      <c r="F585">
        <v>31</v>
      </c>
      <c r="G585" t="s">
        <v>1909</v>
      </c>
      <c r="H585">
        <v>2</v>
      </c>
      <c r="I585">
        <v>82.22</v>
      </c>
      <c r="J585" s="2">
        <v>32.07</v>
      </c>
      <c r="K585" t="s">
        <v>19</v>
      </c>
      <c r="L585" s="3">
        <v>45587</v>
      </c>
      <c r="M585" t="s">
        <v>48</v>
      </c>
      <c r="N585" s="4">
        <v>31</v>
      </c>
      <c r="O585" t="str" cm="1">
        <f t="array" ref="O58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85" t="s">
        <v>1909</v>
      </c>
      <c r="Q585" t="s">
        <v>2931</v>
      </c>
      <c r="R585" s="5">
        <v>82.22</v>
      </c>
      <c r="S585" s="5">
        <v>32.07</v>
      </c>
    </row>
    <row r="586" spans="1:19" x14ac:dyDescent="0.25">
      <c r="A586" t="s">
        <v>1910</v>
      </c>
      <c r="B586" t="s">
        <v>896</v>
      </c>
      <c r="C586" t="s">
        <v>1911</v>
      </c>
      <c r="D586" t="s">
        <v>51</v>
      </c>
      <c r="E586" t="s">
        <v>45</v>
      </c>
      <c r="F586">
        <v>22</v>
      </c>
      <c r="G586" t="s">
        <v>1912</v>
      </c>
      <c r="H586">
        <v>3</v>
      </c>
      <c r="I586">
        <v>131.96</v>
      </c>
      <c r="J586">
        <v>54.78</v>
      </c>
      <c r="K586" t="s">
        <v>41</v>
      </c>
      <c r="L586" s="3">
        <v>45559</v>
      </c>
      <c r="M586" t="s">
        <v>48</v>
      </c>
      <c r="N586" s="4">
        <v>22</v>
      </c>
      <c r="O586" t="str" cm="1">
        <f t="array" ref="O58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586" t="s">
        <v>1912</v>
      </c>
      <c r="Q586" t="s">
        <v>2930</v>
      </c>
      <c r="R586" s="5">
        <v>131.96</v>
      </c>
      <c r="S586" s="5">
        <v>54.78</v>
      </c>
    </row>
    <row r="587" spans="1:19" x14ac:dyDescent="0.25">
      <c r="A587" t="s">
        <v>1913</v>
      </c>
      <c r="B587" t="s">
        <v>546</v>
      </c>
      <c r="C587" s="1">
        <v>45657</v>
      </c>
      <c r="D587" t="s">
        <v>24</v>
      </c>
      <c r="E587" t="s">
        <v>48</v>
      </c>
      <c r="F587">
        <v>15</v>
      </c>
      <c r="G587" t="s">
        <v>1914</v>
      </c>
      <c r="H587">
        <v>1</v>
      </c>
      <c r="I587">
        <v>40.729999999999997</v>
      </c>
      <c r="J587" s="2">
        <v>25.49</v>
      </c>
      <c r="K587" t="s">
        <v>19</v>
      </c>
      <c r="L587" s="3">
        <v>45657</v>
      </c>
      <c r="M587" t="s">
        <v>48</v>
      </c>
      <c r="N587" s="4">
        <v>15</v>
      </c>
      <c r="O587" t="str" cm="1">
        <f t="array" ref="O58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587" t="s">
        <v>1914</v>
      </c>
      <c r="Q587" t="s">
        <v>2926</v>
      </c>
      <c r="R587" s="5">
        <v>40.729999999999997</v>
      </c>
      <c r="S587" s="5">
        <v>25.49</v>
      </c>
    </row>
    <row r="588" spans="1:19" x14ac:dyDescent="0.25">
      <c r="A588" t="s">
        <v>1915</v>
      </c>
      <c r="B588" t="s">
        <v>854</v>
      </c>
      <c r="C588" s="1">
        <v>45078</v>
      </c>
      <c r="D588" t="s">
        <v>16</v>
      </c>
      <c r="E588" t="s">
        <v>48</v>
      </c>
      <c r="F588">
        <v>55</v>
      </c>
      <c r="G588" t="s">
        <v>1916</v>
      </c>
      <c r="H588">
        <v>1</v>
      </c>
      <c r="I588">
        <v>17.37</v>
      </c>
      <c r="J588" s="2">
        <v>7.39</v>
      </c>
      <c r="K588" t="s">
        <v>19</v>
      </c>
      <c r="L588" s="3">
        <v>45078</v>
      </c>
      <c r="M588" t="s">
        <v>48</v>
      </c>
      <c r="N588" s="4">
        <v>55</v>
      </c>
      <c r="O588" t="str" cm="1">
        <f t="array" ref="O58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88" t="s">
        <v>1916</v>
      </c>
      <c r="Q588" t="s">
        <v>2926</v>
      </c>
      <c r="R588" s="5">
        <v>17.37</v>
      </c>
      <c r="S588" s="5">
        <v>7.39</v>
      </c>
    </row>
    <row r="589" spans="1:19" x14ac:dyDescent="0.25">
      <c r="A589" t="s">
        <v>1917</v>
      </c>
      <c r="B589" t="s">
        <v>335</v>
      </c>
      <c r="C589" t="s">
        <v>1918</v>
      </c>
      <c r="D589" t="s">
        <v>51</v>
      </c>
      <c r="E589" t="s">
        <v>48</v>
      </c>
      <c r="F589">
        <v>21</v>
      </c>
      <c r="G589" t="s">
        <v>1919</v>
      </c>
      <c r="H589">
        <v>1</v>
      </c>
      <c r="I589">
        <v>47.98</v>
      </c>
      <c r="J589" s="2">
        <v>14.52</v>
      </c>
      <c r="K589" t="s">
        <v>19</v>
      </c>
      <c r="L589" s="3">
        <v>45466</v>
      </c>
      <c r="M589" t="s">
        <v>48</v>
      </c>
      <c r="N589" s="4">
        <v>21</v>
      </c>
      <c r="O589" t="str" cm="1">
        <f t="array" ref="O58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589" t="s">
        <v>1919</v>
      </c>
      <c r="Q589" t="s">
        <v>2926</v>
      </c>
      <c r="R589" s="5">
        <v>47.98</v>
      </c>
      <c r="S589" s="5">
        <v>14.52</v>
      </c>
    </row>
    <row r="590" spans="1:19" x14ac:dyDescent="0.25">
      <c r="A590" t="s">
        <v>1920</v>
      </c>
      <c r="B590" t="s">
        <v>160</v>
      </c>
      <c r="C590" t="s">
        <v>1921</v>
      </c>
      <c r="D590" t="s">
        <v>51</v>
      </c>
      <c r="E590" t="s">
        <v>45</v>
      </c>
      <c r="F590">
        <v>68</v>
      </c>
      <c r="G590" t="s">
        <v>1922</v>
      </c>
      <c r="H590">
        <v>1</v>
      </c>
      <c r="I590" s="2">
        <v>27.43</v>
      </c>
      <c r="J590">
        <v>13.4</v>
      </c>
      <c r="K590" t="s">
        <v>19</v>
      </c>
      <c r="L590" s="3">
        <v>45276</v>
      </c>
      <c r="M590" t="s">
        <v>48</v>
      </c>
      <c r="N590" s="4">
        <v>68</v>
      </c>
      <c r="O590" t="str" cm="1">
        <f t="array" ref="O59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90" t="s">
        <v>1922</v>
      </c>
      <c r="Q590" t="s">
        <v>2926</v>
      </c>
      <c r="R590" s="5">
        <v>27.43</v>
      </c>
      <c r="S590" s="5">
        <v>13.4</v>
      </c>
    </row>
    <row r="591" spans="1:19" x14ac:dyDescent="0.25">
      <c r="A591" t="s">
        <v>1923</v>
      </c>
      <c r="B591" t="s">
        <v>1269</v>
      </c>
      <c r="C591" t="s">
        <v>1924</v>
      </c>
      <c r="D591" t="s">
        <v>129</v>
      </c>
      <c r="E591" t="s">
        <v>38</v>
      </c>
      <c r="F591">
        <v>66</v>
      </c>
      <c r="G591" t="s">
        <v>1925</v>
      </c>
      <c r="H591">
        <v>2</v>
      </c>
      <c r="I591">
        <v>12.23</v>
      </c>
      <c r="J591" t="s">
        <v>1926</v>
      </c>
      <c r="K591" t="s">
        <v>41</v>
      </c>
      <c r="L591" s="3">
        <v>45375</v>
      </c>
      <c r="M591" t="s">
        <v>34</v>
      </c>
      <c r="N591" s="4">
        <v>66</v>
      </c>
      <c r="O591" t="str" cm="1">
        <f t="array" ref="O59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91" t="s">
        <v>1925</v>
      </c>
      <c r="Q591" t="s">
        <v>2926</v>
      </c>
      <c r="R591" s="5">
        <v>12.23</v>
      </c>
      <c r="S591" s="5">
        <v>5.0599999999999996</v>
      </c>
    </row>
    <row r="592" spans="1:19" x14ac:dyDescent="0.25">
      <c r="A592" t="s">
        <v>1927</v>
      </c>
      <c r="B592" t="s">
        <v>1928</v>
      </c>
      <c r="C592" t="s">
        <v>1929</v>
      </c>
      <c r="D592" t="s">
        <v>16</v>
      </c>
      <c r="E592" t="s">
        <v>34</v>
      </c>
      <c r="F592">
        <v>30</v>
      </c>
      <c r="G592" t="s">
        <v>320</v>
      </c>
      <c r="H592">
        <v>-2</v>
      </c>
      <c r="I592">
        <v>-21.02</v>
      </c>
      <c r="J592">
        <v>-5.95</v>
      </c>
      <c r="K592" t="s">
        <v>41</v>
      </c>
      <c r="L592" s="3">
        <v>44959</v>
      </c>
      <c r="M592" t="s">
        <v>34</v>
      </c>
      <c r="N592" s="4">
        <v>30</v>
      </c>
      <c r="O592" t="str" cm="1">
        <f t="array" ref="O59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92" t="s">
        <v>320</v>
      </c>
      <c r="Q592" t="s">
        <v>2926</v>
      </c>
      <c r="R592" s="5">
        <v>-21.02</v>
      </c>
      <c r="S592" s="5">
        <v>-5.95</v>
      </c>
    </row>
    <row r="593" spans="1:19" x14ac:dyDescent="0.25">
      <c r="A593" t="s">
        <v>1930</v>
      </c>
      <c r="B593" t="s">
        <v>1931</v>
      </c>
      <c r="C593" s="1">
        <v>45097</v>
      </c>
      <c r="D593" t="s">
        <v>51</v>
      </c>
      <c r="E593" t="s">
        <v>25</v>
      </c>
      <c r="F593">
        <v>24</v>
      </c>
      <c r="G593" t="s">
        <v>1932</v>
      </c>
      <c r="H593">
        <v>2</v>
      </c>
      <c r="I593">
        <v>78.88</v>
      </c>
      <c r="J593" t="s">
        <v>1933</v>
      </c>
      <c r="K593" t="s">
        <v>41</v>
      </c>
      <c r="L593" s="3">
        <v>45097</v>
      </c>
      <c r="M593" t="s">
        <v>20</v>
      </c>
      <c r="N593" s="4">
        <v>24</v>
      </c>
      <c r="O593" t="str" cm="1">
        <f t="array" ref="O59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593" t="s">
        <v>1932</v>
      </c>
      <c r="Q593" t="s">
        <v>2926</v>
      </c>
      <c r="R593" s="5">
        <v>78.88</v>
      </c>
      <c r="S593" s="5">
        <v>30.43</v>
      </c>
    </row>
    <row r="594" spans="1:19" x14ac:dyDescent="0.25">
      <c r="A594" t="s">
        <v>1934</v>
      </c>
      <c r="B594" t="s">
        <v>803</v>
      </c>
      <c r="C594" t="s">
        <v>1935</v>
      </c>
      <c r="D594" t="s">
        <v>129</v>
      </c>
      <c r="E594" t="s">
        <v>65</v>
      </c>
      <c r="F594">
        <v>73</v>
      </c>
      <c r="G594" t="s">
        <v>1936</v>
      </c>
      <c r="H594">
        <v>1</v>
      </c>
      <c r="I594">
        <v>13.04</v>
      </c>
      <c r="J594" t="s">
        <v>1937</v>
      </c>
      <c r="K594" t="s">
        <v>41</v>
      </c>
      <c r="L594" s="3">
        <v>45501</v>
      </c>
      <c r="M594" t="s">
        <v>48</v>
      </c>
      <c r="N594" s="4">
        <v>73</v>
      </c>
      <c r="O594" t="str" cm="1">
        <f t="array" ref="O59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594" t="s">
        <v>1936</v>
      </c>
      <c r="Q594" t="s">
        <v>2927</v>
      </c>
      <c r="R594" s="5">
        <v>13.04</v>
      </c>
      <c r="S594" s="5">
        <v>4.42</v>
      </c>
    </row>
    <row r="595" spans="1:19" x14ac:dyDescent="0.25">
      <c r="A595" t="s">
        <v>1938</v>
      </c>
      <c r="B595" t="s">
        <v>1137</v>
      </c>
      <c r="C595" t="s">
        <v>1939</v>
      </c>
      <c r="D595" t="s">
        <v>30</v>
      </c>
      <c r="E595" t="s">
        <v>132</v>
      </c>
      <c r="F595">
        <v>25</v>
      </c>
      <c r="G595" t="s">
        <v>1940</v>
      </c>
      <c r="H595">
        <v>1</v>
      </c>
      <c r="I595">
        <v>12.27</v>
      </c>
      <c r="J595" s="2">
        <v>6.04</v>
      </c>
      <c r="K595" t="s">
        <v>41</v>
      </c>
      <c r="L595" s="3">
        <v>45497</v>
      </c>
      <c r="M595" t="s">
        <v>132</v>
      </c>
      <c r="N595" s="4">
        <v>25</v>
      </c>
      <c r="O595" t="str" cm="1">
        <f t="array" ref="O59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95" t="s">
        <v>1940</v>
      </c>
      <c r="Q595" t="s">
        <v>2925</v>
      </c>
      <c r="R595" s="5">
        <v>12.27</v>
      </c>
      <c r="S595" s="5">
        <v>6.04</v>
      </c>
    </row>
    <row r="596" spans="1:19" x14ac:dyDescent="0.25">
      <c r="A596" t="s">
        <v>1941</v>
      </c>
      <c r="B596" t="s">
        <v>276</v>
      </c>
      <c r="C596" t="s">
        <v>319</v>
      </c>
      <c r="D596" t="s">
        <v>129</v>
      </c>
      <c r="E596" t="s">
        <v>60</v>
      </c>
      <c r="F596">
        <v>17</v>
      </c>
      <c r="G596" t="s">
        <v>1942</v>
      </c>
      <c r="H596">
        <v>1</v>
      </c>
      <c r="I596" t="s">
        <v>1943</v>
      </c>
      <c r="J596" t="s">
        <v>1944</v>
      </c>
      <c r="K596" t="s">
        <v>19</v>
      </c>
      <c r="L596" s="3">
        <v>45066</v>
      </c>
      <c r="M596" t="s">
        <v>48</v>
      </c>
      <c r="N596" s="4">
        <v>17</v>
      </c>
      <c r="O596" t="str" cm="1">
        <f t="array" ref="O59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596" t="s">
        <v>1942</v>
      </c>
      <c r="Q596" t="s">
        <v>2926</v>
      </c>
      <c r="R596" s="5">
        <v>8.18</v>
      </c>
      <c r="S596" s="5">
        <v>2.4700000000000002</v>
      </c>
    </row>
    <row r="597" spans="1:19" x14ac:dyDescent="0.25">
      <c r="A597" t="s">
        <v>1945</v>
      </c>
      <c r="B597" t="s">
        <v>1344</v>
      </c>
      <c r="C597" s="3">
        <v>45410</v>
      </c>
      <c r="D597" t="s">
        <v>30</v>
      </c>
      <c r="E597" t="s">
        <v>60</v>
      </c>
      <c r="F597">
        <v>46</v>
      </c>
      <c r="G597" t="s">
        <v>1946</v>
      </c>
      <c r="H597">
        <v>3</v>
      </c>
      <c r="I597">
        <v>66.180000000000007</v>
      </c>
      <c r="J597">
        <v>28.99</v>
      </c>
      <c r="K597" t="s">
        <v>41</v>
      </c>
      <c r="L597" s="3">
        <v>45410</v>
      </c>
      <c r="M597" t="s">
        <v>48</v>
      </c>
      <c r="N597" s="4">
        <v>46</v>
      </c>
      <c r="O597" t="str" cm="1">
        <f t="array" ref="O59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597" t="s">
        <v>1946</v>
      </c>
      <c r="Q597" t="s">
        <v>2927</v>
      </c>
      <c r="R597" s="5">
        <v>66.180000000000007</v>
      </c>
      <c r="S597" s="5">
        <v>28.99</v>
      </c>
    </row>
    <row r="598" spans="1:19" x14ac:dyDescent="0.25">
      <c r="A598" t="s">
        <v>1947</v>
      </c>
      <c r="B598" t="s">
        <v>1948</v>
      </c>
      <c r="C598" t="s">
        <v>1949</v>
      </c>
      <c r="D598" t="s">
        <v>30</v>
      </c>
      <c r="E598" t="s">
        <v>45</v>
      </c>
      <c r="F598">
        <v>34</v>
      </c>
      <c r="G598" t="s">
        <v>894</v>
      </c>
      <c r="H598">
        <v>3</v>
      </c>
      <c r="I598">
        <v>92.47</v>
      </c>
      <c r="J598">
        <v>41.57</v>
      </c>
      <c r="K598" t="s">
        <v>19</v>
      </c>
      <c r="L598" s="3">
        <v>45386</v>
      </c>
      <c r="M598" t="s">
        <v>48</v>
      </c>
      <c r="N598" s="4">
        <v>34</v>
      </c>
      <c r="O598" t="str" cm="1">
        <f t="array" ref="O59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598" t="s">
        <v>894</v>
      </c>
      <c r="Q598" t="s">
        <v>2927</v>
      </c>
      <c r="R598" s="5">
        <v>92.47</v>
      </c>
      <c r="S598" s="5">
        <v>41.57</v>
      </c>
    </row>
    <row r="599" spans="1:19" x14ac:dyDescent="0.25">
      <c r="A599" t="s">
        <v>1950</v>
      </c>
      <c r="B599" t="s">
        <v>450</v>
      </c>
      <c r="C599" t="s">
        <v>1951</v>
      </c>
      <c r="D599" t="s">
        <v>30</v>
      </c>
      <c r="E599" t="s">
        <v>85</v>
      </c>
      <c r="F599">
        <v>14</v>
      </c>
      <c r="G599" t="s">
        <v>1754</v>
      </c>
      <c r="H599">
        <v>3</v>
      </c>
      <c r="I599" s="2">
        <v>74.680000000000007</v>
      </c>
      <c r="J599">
        <v>30.1</v>
      </c>
      <c r="K599" t="s">
        <v>19</v>
      </c>
      <c r="L599" s="3">
        <v>45093</v>
      </c>
      <c r="M599" t="s">
        <v>34</v>
      </c>
      <c r="N599" s="4">
        <v>14</v>
      </c>
      <c r="O599" t="str" cm="1">
        <f t="array" ref="O59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599" t="s">
        <v>1754</v>
      </c>
      <c r="Q599" t="s">
        <v>2925</v>
      </c>
      <c r="R599" s="5">
        <v>74.680000000000007</v>
      </c>
      <c r="S599" s="5">
        <v>30.1</v>
      </c>
    </row>
    <row r="600" spans="1:19" x14ac:dyDescent="0.25">
      <c r="A600" t="s">
        <v>1952</v>
      </c>
      <c r="B600" t="s">
        <v>1121</v>
      </c>
      <c r="C600" s="1">
        <v>45304</v>
      </c>
      <c r="D600" t="s">
        <v>30</v>
      </c>
      <c r="E600" t="s">
        <v>60</v>
      </c>
      <c r="F600">
        <v>14</v>
      </c>
      <c r="G600" t="s">
        <v>1689</v>
      </c>
      <c r="H600">
        <v>2</v>
      </c>
      <c r="J600">
        <v>20.21</v>
      </c>
      <c r="K600" t="s">
        <v>19</v>
      </c>
      <c r="L600" s="3">
        <v>45304</v>
      </c>
      <c r="M600" t="s">
        <v>48</v>
      </c>
      <c r="N600" s="4">
        <v>14</v>
      </c>
      <c r="O600" t="str" cm="1">
        <f t="array" ref="O60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600" t="s">
        <v>1689</v>
      </c>
      <c r="Q600" t="s">
        <v>2927</v>
      </c>
      <c r="R600" s="5"/>
      <c r="S600" s="5">
        <v>20.21</v>
      </c>
    </row>
    <row r="601" spans="1:19" x14ac:dyDescent="0.25">
      <c r="A601" t="s">
        <v>1953</v>
      </c>
      <c r="B601" t="s">
        <v>1429</v>
      </c>
      <c r="C601" s="1">
        <v>45489</v>
      </c>
      <c r="D601" t="s">
        <v>30</v>
      </c>
      <c r="E601" t="s">
        <v>25</v>
      </c>
      <c r="F601">
        <v>68</v>
      </c>
      <c r="G601" t="s">
        <v>1925</v>
      </c>
      <c r="H601">
        <v>1</v>
      </c>
      <c r="I601">
        <v>9.58</v>
      </c>
      <c r="J601" t="s">
        <v>1954</v>
      </c>
      <c r="K601" t="s">
        <v>19</v>
      </c>
      <c r="L601" s="3">
        <v>45489</v>
      </c>
      <c r="M601" t="s">
        <v>20</v>
      </c>
      <c r="N601" s="4">
        <v>68</v>
      </c>
      <c r="O601" t="str" cm="1">
        <f t="array" ref="O60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01" t="s">
        <v>1925</v>
      </c>
      <c r="Q601" t="s">
        <v>2926</v>
      </c>
      <c r="R601" s="5">
        <v>9.58</v>
      </c>
      <c r="S601" s="5">
        <v>3.63</v>
      </c>
    </row>
    <row r="602" spans="1:19" x14ac:dyDescent="0.25">
      <c r="A602" t="s">
        <v>1955</v>
      </c>
      <c r="B602" t="s">
        <v>507</v>
      </c>
      <c r="C602" t="s">
        <v>1956</v>
      </c>
      <c r="D602" t="s">
        <v>24</v>
      </c>
      <c r="E602" t="s">
        <v>31</v>
      </c>
      <c r="F602">
        <v>70</v>
      </c>
      <c r="G602" t="s">
        <v>1957</v>
      </c>
      <c r="H602">
        <v>3</v>
      </c>
      <c r="I602" t="s">
        <v>1958</v>
      </c>
      <c r="J602" t="s">
        <v>1959</v>
      </c>
      <c r="K602" t="s">
        <v>41</v>
      </c>
      <c r="L602" s="3">
        <v>44931</v>
      </c>
      <c r="M602" t="s">
        <v>34</v>
      </c>
      <c r="N602" s="4">
        <v>70</v>
      </c>
      <c r="O602" t="str" cm="1">
        <f t="array" ref="O60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02" t="s">
        <v>2753</v>
      </c>
      <c r="Q602" t="s">
        <v>2927</v>
      </c>
      <c r="R602" s="5">
        <v>23.18</v>
      </c>
      <c r="S602" s="5">
        <v>8.02</v>
      </c>
    </row>
    <row r="603" spans="1:19" x14ac:dyDescent="0.25">
      <c r="A603" t="s">
        <v>1960</v>
      </c>
      <c r="B603" t="s">
        <v>1961</v>
      </c>
      <c r="C603" s="1">
        <v>45181</v>
      </c>
      <c r="D603" t="s">
        <v>129</v>
      </c>
      <c r="E603" t="s">
        <v>60</v>
      </c>
      <c r="F603">
        <v>73</v>
      </c>
      <c r="G603" t="s">
        <v>1962</v>
      </c>
      <c r="H603">
        <v>1</v>
      </c>
      <c r="I603" t="s">
        <v>1963</v>
      </c>
      <c r="J603">
        <v>6.19</v>
      </c>
      <c r="K603" t="s">
        <v>19</v>
      </c>
      <c r="L603" s="3">
        <v>45181</v>
      </c>
      <c r="M603" t="s">
        <v>48</v>
      </c>
      <c r="N603" s="4">
        <v>73</v>
      </c>
      <c r="O603" t="str" cm="1">
        <f t="array" ref="O60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03" t="s">
        <v>2722</v>
      </c>
      <c r="Q603" t="s">
        <v>2926</v>
      </c>
      <c r="R603" s="5">
        <v>16.59</v>
      </c>
      <c r="S603" s="5">
        <v>6.19</v>
      </c>
    </row>
    <row r="604" spans="1:19" x14ac:dyDescent="0.25">
      <c r="A604" t="s">
        <v>1964</v>
      </c>
      <c r="B604" t="s">
        <v>808</v>
      </c>
      <c r="C604" t="s">
        <v>1965</v>
      </c>
      <c r="D604" t="s">
        <v>129</v>
      </c>
      <c r="E604" t="s">
        <v>34</v>
      </c>
      <c r="F604">
        <v>29</v>
      </c>
      <c r="G604" t="s">
        <v>1966</v>
      </c>
      <c r="H604">
        <v>3</v>
      </c>
      <c r="I604" t="s">
        <v>1967</v>
      </c>
      <c r="J604">
        <v>14.88</v>
      </c>
      <c r="K604" t="s">
        <v>19</v>
      </c>
      <c r="L604" s="3">
        <v>45591</v>
      </c>
      <c r="M604" t="s">
        <v>34</v>
      </c>
      <c r="N604" s="4">
        <v>29</v>
      </c>
      <c r="O604" t="str" cm="1">
        <f t="array" ref="O60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04" t="s">
        <v>595</v>
      </c>
      <c r="Q604" t="s">
        <v>2926</v>
      </c>
      <c r="R604" s="5">
        <v>31.37</v>
      </c>
      <c r="S604" s="5">
        <v>14.88</v>
      </c>
    </row>
    <row r="605" spans="1:19" x14ac:dyDescent="0.25">
      <c r="A605" t="s">
        <v>1968</v>
      </c>
      <c r="B605" t="s">
        <v>128</v>
      </c>
      <c r="C605" t="s">
        <v>1969</v>
      </c>
      <c r="D605" t="s">
        <v>30</v>
      </c>
      <c r="E605" t="s">
        <v>31</v>
      </c>
      <c r="F605">
        <v>64</v>
      </c>
      <c r="G605" t="s">
        <v>1314</v>
      </c>
      <c r="H605">
        <v>1</v>
      </c>
      <c r="I605" t="s">
        <v>1970</v>
      </c>
      <c r="J605">
        <v>16.420000000000002</v>
      </c>
      <c r="K605" t="s">
        <v>41</v>
      </c>
      <c r="L605" s="3">
        <v>45463</v>
      </c>
      <c r="M605" t="s">
        <v>34</v>
      </c>
      <c r="N605" s="4">
        <v>64</v>
      </c>
      <c r="O605" t="str" cm="1">
        <f t="array" ref="O60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05" t="s">
        <v>1314</v>
      </c>
      <c r="Q605" t="s">
        <v>2926</v>
      </c>
      <c r="R605" s="5">
        <v>41.03</v>
      </c>
      <c r="S605" s="5">
        <v>16.420000000000002</v>
      </c>
    </row>
    <row r="606" spans="1:19" x14ac:dyDescent="0.25">
      <c r="A606" t="s">
        <v>1971</v>
      </c>
      <c r="B606" t="s">
        <v>1473</v>
      </c>
      <c r="C606" s="1">
        <v>45142</v>
      </c>
      <c r="D606" t="s">
        <v>129</v>
      </c>
      <c r="E606" t="s">
        <v>45</v>
      </c>
      <c r="F606">
        <v>45</v>
      </c>
      <c r="G606" t="s">
        <v>1972</v>
      </c>
      <c r="H606">
        <v>1</v>
      </c>
      <c r="I606" t="s">
        <v>1973</v>
      </c>
      <c r="J606" t="s">
        <v>1974</v>
      </c>
      <c r="K606" t="s">
        <v>19</v>
      </c>
      <c r="L606" s="3">
        <v>45142</v>
      </c>
      <c r="M606" t="s">
        <v>48</v>
      </c>
      <c r="N606" s="4">
        <v>45</v>
      </c>
      <c r="O606" t="str" cm="1">
        <f t="array" ref="O60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06" t="s">
        <v>1972</v>
      </c>
      <c r="Q606" t="s">
        <v>2928</v>
      </c>
      <c r="R606" s="5">
        <v>11.16</v>
      </c>
      <c r="S606" s="5">
        <v>5.84</v>
      </c>
    </row>
    <row r="607" spans="1:19" x14ac:dyDescent="0.25">
      <c r="A607" t="s">
        <v>1695</v>
      </c>
      <c r="B607" t="s">
        <v>742</v>
      </c>
      <c r="C607" t="s">
        <v>1696</v>
      </c>
      <c r="D607" t="s">
        <v>16</v>
      </c>
      <c r="E607" t="s">
        <v>25</v>
      </c>
      <c r="F607">
        <v>73</v>
      </c>
      <c r="G607" t="s">
        <v>1697</v>
      </c>
      <c r="H607">
        <v>6</v>
      </c>
      <c r="I607">
        <v>176.41</v>
      </c>
      <c r="J607">
        <v>56.19</v>
      </c>
      <c r="K607" t="s">
        <v>19</v>
      </c>
      <c r="L607" s="3">
        <v>45626</v>
      </c>
      <c r="M607" t="s">
        <v>20</v>
      </c>
      <c r="N607" s="4">
        <v>73</v>
      </c>
      <c r="O607" t="str" cm="1">
        <f t="array" ref="O60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07" t="s">
        <v>1697</v>
      </c>
      <c r="Q607" t="s">
        <v>2925</v>
      </c>
      <c r="R607" s="5">
        <v>176.41</v>
      </c>
      <c r="S607" s="5">
        <v>56.19</v>
      </c>
    </row>
    <row r="608" spans="1:19" x14ac:dyDescent="0.25">
      <c r="A608" t="s">
        <v>1975</v>
      </c>
      <c r="B608" t="s">
        <v>234</v>
      </c>
      <c r="C608" s="1">
        <v>45195</v>
      </c>
      <c r="D608" t="s">
        <v>30</v>
      </c>
      <c r="E608" t="s">
        <v>60</v>
      </c>
      <c r="F608">
        <v>63</v>
      </c>
      <c r="G608" t="s">
        <v>253</v>
      </c>
      <c r="H608">
        <v>1</v>
      </c>
      <c r="I608" t="s">
        <v>1976</v>
      </c>
      <c r="J608">
        <v>6.84</v>
      </c>
      <c r="K608" t="s">
        <v>19</v>
      </c>
      <c r="L608" s="3">
        <v>45195</v>
      </c>
      <c r="M608" t="s">
        <v>48</v>
      </c>
      <c r="N608" s="4">
        <v>63</v>
      </c>
      <c r="O608" t="str" cm="1">
        <f t="array" ref="O60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08" t="s">
        <v>253</v>
      </c>
      <c r="Q608" t="s">
        <v>2929</v>
      </c>
      <c r="R608" s="5">
        <v>23.02</v>
      </c>
      <c r="S608" s="5">
        <v>6.84</v>
      </c>
    </row>
    <row r="609" spans="1:19" x14ac:dyDescent="0.25">
      <c r="A609" t="s">
        <v>1977</v>
      </c>
      <c r="B609" t="s">
        <v>742</v>
      </c>
      <c r="C609" t="s">
        <v>1978</v>
      </c>
      <c r="D609" t="s">
        <v>30</v>
      </c>
      <c r="E609" t="s">
        <v>60</v>
      </c>
      <c r="F609">
        <v>69</v>
      </c>
      <c r="G609" t="s">
        <v>1979</v>
      </c>
      <c r="H609">
        <v>1</v>
      </c>
      <c r="I609">
        <v>41.7</v>
      </c>
      <c r="J609">
        <v>13.08</v>
      </c>
      <c r="K609" t="s">
        <v>19</v>
      </c>
      <c r="L609" s="3">
        <v>45240</v>
      </c>
      <c r="M609" t="s">
        <v>48</v>
      </c>
      <c r="N609" s="4">
        <v>69</v>
      </c>
      <c r="O609" t="str" cm="1">
        <f t="array" ref="O60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09" t="s">
        <v>1979</v>
      </c>
      <c r="Q609" t="s">
        <v>2939</v>
      </c>
      <c r="R609" s="5">
        <v>41.7</v>
      </c>
      <c r="S609" s="5">
        <v>13.08</v>
      </c>
    </row>
    <row r="610" spans="1:19" x14ac:dyDescent="0.25">
      <c r="A610" t="s">
        <v>1980</v>
      </c>
      <c r="B610" t="s">
        <v>68</v>
      </c>
      <c r="C610" t="s">
        <v>1981</v>
      </c>
      <c r="D610" t="s">
        <v>30</v>
      </c>
      <c r="E610" t="s">
        <v>70</v>
      </c>
      <c r="F610">
        <v>67</v>
      </c>
      <c r="G610" t="s">
        <v>1982</v>
      </c>
      <c r="H610">
        <v>5</v>
      </c>
      <c r="I610">
        <v>143.88</v>
      </c>
      <c r="J610" t="s">
        <v>1983</v>
      </c>
      <c r="K610" t="s">
        <v>41</v>
      </c>
      <c r="L610" s="3">
        <v>45438</v>
      </c>
      <c r="M610" t="s">
        <v>20</v>
      </c>
      <c r="N610" s="4">
        <v>67</v>
      </c>
      <c r="O610" t="str" cm="1">
        <f t="array" ref="O61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10" t="s">
        <v>1982</v>
      </c>
      <c r="Q610" t="s">
        <v>2926</v>
      </c>
      <c r="R610" s="5">
        <v>143.88</v>
      </c>
      <c r="S610" s="5">
        <v>89.4</v>
      </c>
    </row>
    <row r="611" spans="1:19" x14ac:dyDescent="0.25">
      <c r="A611" t="s">
        <v>1984</v>
      </c>
      <c r="B611" t="s">
        <v>1457</v>
      </c>
      <c r="C611" s="3">
        <v>44936</v>
      </c>
      <c r="D611" t="s">
        <v>16</v>
      </c>
      <c r="E611" t="s">
        <v>31</v>
      </c>
      <c r="F611">
        <v>36</v>
      </c>
      <c r="G611" t="s">
        <v>1206</v>
      </c>
      <c r="H611">
        <v>1</v>
      </c>
      <c r="I611">
        <v>18.14</v>
      </c>
      <c r="J611">
        <v>7.3</v>
      </c>
      <c r="K611" t="s">
        <v>19</v>
      </c>
      <c r="L611" s="3">
        <v>44936</v>
      </c>
      <c r="M611" t="s">
        <v>34</v>
      </c>
      <c r="N611" s="4">
        <v>36</v>
      </c>
      <c r="O611" t="str" cm="1">
        <f t="array" ref="O61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11" t="s">
        <v>1206</v>
      </c>
      <c r="Q611" t="s">
        <v>2929</v>
      </c>
      <c r="R611" s="5">
        <v>18.14</v>
      </c>
      <c r="S611" s="5">
        <v>7.3</v>
      </c>
    </row>
    <row r="612" spans="1:19" x14ac:dyDescent="0.25">
      <c r="A612" t="s">
        <v>1985</v>
      </c>
      <c r="B612" t="s">
        <v>1986</v>
      </c>
      <c r="C612" t="s">
        <v>1987</v>
      </c>
      <c r="D612" t="s">
        <v>24</v>
      </c>
      <c r="E612" t="s">
        <v>38</v>
      </c>
      <c r="F612">
        <v>68</v>
      </c>
      <c r="G612" t="s">
        <v>1988</v>
      </c>
      <c r="H612">
        <v>1</v>
      </c>
      <c r="I612" s="2">
        <v>5.37</v>
      </c>
      <c r="J612">
        <v>1.7</v>
      </c>
      <c r="K612" t="s">
        <v>41</v>
      </c>
      <c r="L612" s="3">
        <v>45421</v>
      </c>
      <c r="M612" t="s">
        <v>34</v>
      </c>
      <c r="N612" s="4">
        <v>68</v>
      </c>
      <c r="O612" t="str" cm="1">
        <f t="array" ref="O61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12" t="s">
        <v>1988</v>
      </c>
      <c r="Q612" t="s">
        <v>2926</v>
      </c>
      <c r="R612" s="5">
        <v>5.37</v>
      </c>
      <c r="S612" s="5">
        <v>1.7</v>
      </c>
    </row>
    <row r="613" spans="1:19" x14ac:dyDescent="0.25">
      <c r="A613" t="s">
        <v>1989</v>
      </c>
      <c r="B613" t="s">
        <v>176</v>
      </c>
      <c r="C613" s="1">
        <v>45371</v>
      </c>
      <c r="D613" t="s">
        <v>51</v>
      </c>
      <c r="E613" t="s">
        <v>48</v>
      </c>
      <c r="F613">
        <v>19</v>
      </c>
      <c r="G613" t="s">
        <v>1990</v>
      </c>
      <c r="H613">
        <v>1</v>
      </c>
      <c r="I613" t="s">
        <v>1991</v>
      </c>
      <c r="J613" t="s">
        <v>1992</v>
      </c>
      <c r="K613" t="s">
        <v>41</v>
      </c>
      <c r="L613" s="3">
        <v>45371</v>
      </c>
      <c r="M613" t="s">
        <v>48</v>
      </c>
      <c r="N613" s="4">
        <v>19</v>
      </c>
      <c r="O613" t="str" cm="1">
        <f t="array" ref="O61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613" t="s">
        <v>1990</v>
      </c>
      <c r="Q613" t="s">
        <v>2931</v>
      </c>
      <c r="R613" s="5">
        <v>23.07</v>
      </c>
      <c r="S613" s="5">
        <v>10.039999999999999</v>
      </c>
    </row>
    <row r="614" spans="1:19" x14ac:dyDescent="0.25">
      <c r="A614" t="s">
        <v>1993</v>
      </c>
      <c r="B614" t="s">
        <v>387</v>
      </c>
      <c r="C614" s="3">
        <v>44985</v>
      </c>
      <c r="D614" t="s">
        <v>24</v>
      </c>
      <c r="E614" t="s">
        <v>38</v>
      </c>
      <c r="F614">
        <v>25</v>
      </c>
      <c r="G614" t="s">
        <v>424</v>
      </c>
      <c r="H614">
        <v>2</v>
      </c>
      <c r="I614">
        <v>15.8</v>
      </c>
      <c r="J614">
        <v>8.75</v>
      </c>
      <c r="K614" t="s">
        <v>41</v>
      </c>
      <c r="L614" s="3">
        <v>44985</v>
      </c>
      <c r="M614" t="s">
        <v>34</v>
      </c>
      <c r="N614" s="4">
        <v>25</v>
      </c>
      <c r="O614" t="str" cm="1">
        <f t="array" ref="O61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14" t="s">
        <v>424</v>
      </c>
      <c r="Q614" t="s">
        <v>2927</v>
      </c>
      <c r="R614" s="5">
        <v>15.8</v>
      </c>
      <c r="S614" s="5">
        <v>8.75</v>
      </c>
    </row>
    <row r="615" spans="1:19" x14ac:dyDescent="0.25">
      <c r="A615" t="s">
        <v>1994</v>
      </c>
      <c r="B615" t="s">
        <v>1722</v>
      </c>
      <c r="C615" t="s">
        <v>1995</v>
      </c>
      <c r="D615" t="s">
        <v>129</v>
      </c>
      <c r="E615" t="s">
        <v>34</v>
      </c>
      <c r="F615">
        <v>44</v>
      </c>
      <c r="G615" t="s">
        <v>1996</v>
      </c>
      <c r="H615">
        <v>2</v>
      </c>
      <c r="I615" s="2">
        <v>27.48</v>
      </c>
      <c r="J615">
        <v>16.010000000000002</v>
      </c>
      <c r="K615" t="s">
        <v>19</v>
      </c>
      <c r="L615" s="3">
        <v>45295</v>
      </c>
      <c r="M615" t="s">
        <v>34</v>
      </c>
      <c r="N615" s="4">
        <v>44</v>
      </c>
      <c r="O615" t="str" cm="1">
        <f t="array" ref="O61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15" t="s">
        <v>1996</v>
      </c>
      <c r="Q615" t="s">
        <v>2929</v>
      </c>
      <c r="R615" s="5">
        <v>27.48</v>
      </c>
      <c r="S615" s="5">
        <v>16.010000000000002</v>
      </c>
    </row>
    <row r="616" spans="1:19" x14ac:dyDescent="0.25">
      <c r="A616" t="s">
        <v>1997</v>
      </c>
      <c r="B616" t="s">
        <v>157</v>
      </c>
      <c r="C616" t="s">
        <v>1998</v>
      </c>
      <c r="D616" t="s">
        <v>16</v>
      </c>
      <c r="E616" t="s">
        <v>34</v>
      </c>
      <c r="F616">
        <v>62</v>
      </c>
      <c r="G616" t="s">
        <v>1999</v>
      </c>
      <c r="H616">
        <v>1</v>
      </c>
      <c r="I616">
        <v>5.09</v>
      </c>
      <c r="J616" t="s">
        <v>2000</v>
      </c>
      <c r="K616" t="s">
        <v>41</v>
      </c>
      <c r="L616" s="3">
        <v>45483</v>
      </c>
      <c r="M616" t="s">
        <v>34</v>
      </c>
      <c r="N616" s="4">
        <v>62</v>
      </c>
      <c r="O616" t="str" cm="1">
        <f t="array" ref="O61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16" t="s">
        <v>1999</v>
      </c>
      <c r="Q616" t="s">
        <v>2927</v>
      </c>
      <c r="R616" s="5">
        <v>5.09</v>
      </c>
      <c r="S616" s="5">
        <v>0.75</v>
      </c>
    </row>
    <row r="617" spans="1:19" x14ac:dyDescent="0.25">
      <c r="A617" t="s">
        <v>2001</v>
      </c>
      <c r="B617" t="s">
        <v>22</v>
      </c>
      <c r="C617" t="s">
        <v>1331</v>
      </c>
      <c r="D617" t="s">
        <v>129</v>
      </c>
      <c r="E617" t="s">
        <v>34</v>
      </c>
      <c r="F617">
        <v>17</v>
      </c>
      <c r="G617" t="s">
        <v>2002</v>
      </c>
      <c r="H617">
        <v>1</v>
      </c>
      <c r="I617" s="2">
        <v>14.62</v>
      </c>
      <c r="J617">
        <v>4.76</v>
      </c>
      <c r="K617" t="s">
        <v>41</v>
      </c>
      <c r="L617" s="3">
        <v>45009</v>
      </c>
      <c r="M617" t="s">
        <v>34</v>
      </c>
      <c r="N617" s="4">
        <v>17</v>
      </c>
      <c r="O617" t="str" cm="1">
        <f t="array" ref="O61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617" t="s">
        <v>2002</v>
      </c>
      <c r="Q617" t="s">
        <v>2929</v>
      </c>
      <c r="R617" s="5">
        <v>14.62</v>
      </c>
      <c r="S617" s="5">
        <v>4.76</v>
      </c>
    </row>
    <row r="618" spans="1:19" x14ac:dyDescent="0.25">
      <c r="A618" t="s">
        <v>1562</v>
      </c>
      <c r="B618" t="s">
        <v>242</v>
      </c>
      <c r="C618" t="s">
        <v>1563</v>
      </c>
      <c r="D618" t="s">
        <v>129</v>
      </c>
      <c r="E618" t="s">
        <v>60</v>
      </c>
      <c r="F618">
        <v>36</v>
      </c>
      <c r="G618" t="s">
        <v>1564</v>
      </c>
      <c r="H618">
        <v>2</v>
      </c>
      <c r="I618">
        <v>11.04</v>
      </c>
      <c r="J618">
        <v>3.78</v>
      </c>
      <c r="K618" t="s">
        <v>19</v>
      </c>
      <c r="L618" s="3">
        <v>45380</v>
      </c>
      <c r="M618" t="s">
        <v>48</v>
      </c>
      <c r="N618" s="4">
        <v>36</v>
      </c>
      <c r="O618" t="str" cm="1">
        <f t="array" ref="O61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18" t="s">
        <v>1564</v>
      </c>
      <c r="Q618" t="s">
        <v>2930</v>
      </c>
      <c r="R618" s="5">
        <v>11.04</v>
      </c>
      <c r="S618" s="5">
        <v>3.78</v>
      </c>
    </row>
    <row r="619" spans="1:19" x14ac:dyDescent="0.25">
      <c r="A619" t="s">
        <v>2003</v>
      </c>
      <c r="B619" t="s">
        <v>1126</v>
      </c>
      <c r="C619" t="s">
        <v>1194</v>
      </c>
      <c r="D619" t="s">
        <v>24</v>
      </c>
      <c r="E619" t="s">
        <v>60</v>
      </c>
      <c r="F619">
        <v>38</v>
      </c>
      <c r="G619" t="s">
        <v>1501</v>
      </c>
      <c r="H619">
        <v>5</v>
      </c>
      <c r="I619">
        <v>63.4</v>
      </c>
      <c r="J619" t="s">
        <v>2004</v>
      </c>
      <c r="K619" t="s">
        <v>19</v>
      </c>
      <c r="L619" s="3">
        <v>45086</v>
      </c>
      <c r="M619" t="s">
        <v>48</v>
      </c>
      <c r="N619" s="4">
        <v>38</v>
      </c>
      <c r="O619" t="str" cm="1">
        <f t="array" ref="O61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19" t="s">
        <v>1501</v>
      </c>
      <c r="Q619" t="s">
        <v>2927</v>
      </c>
      <c r="R619" s="5">
        <v>63.4</v>
      </c>
      <c r="S619" s="5">
        <v>31.44</v>
      </c>
    </row>
    <row r="620" spans="1:19" x14ac:dyDescent="0.25">
      <c r="A620" t="s">
        <v>49</v>
      </c>
      <c r="B620" t="s">
        <v>50</v>
      </c>
      <c r="C620" s="1">
        <v>45631</v>
      </c>
      <c r="D620" t="s">
        <v>51</v>
      </c>
      <c r="F620">
        <v>55</v>
      </c>
      <c r="G620" t="s">
        <v>52</v>
      </c>
      <c r="H620">
        <v>2</v>
      </c>
      <c r="I620" t="s">
        <v>53</v>
      </c>
      <c r="J620" t="s">
        <v>54</v>
      </c>
      <c r="K620" t="s">
        <v>41</v>
      </c>
      <c r="L620" s="3">
        <v>45631</v>
      </c>
      <c r="M620" t="s">
        <v>20</v>
      </c>
      <c r="N620" s="4">
        <v>55</v>
      </c>
      <c r="O620" t="str" cm="1">
        <f t="array" ref="O62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20" t="s">
        <v>52</v>
      </c>
      <c r="Q620" t="s">
        <v>2925</v>
      </c>
      <c r="R620" s="5">
        <v>106.03</v>
      </c>
      <c r="S620" s="5">
        <v>42.4</v>
      </c>
    </row>
    <row r="621" spans="1:19" x14ac:dyDescent="0.25">
      <c r="A621" t="s">
        <v>2005</v>
      </c>
      <c r="B621" t="s">
        <v>276</v>
      </c>
      <c r="C621" t="s">
        <v>2006</v>
      </c>
      <c r="D621" t="s">
        <v>129</v>
      </c>
      <c r="E621" t="s">
        <v>65</v>
      </c>
      <c r="F621">
        <v>52</v>
      </c>
      <c r="G621" t="s">
        <v>189</v>
      </c>
      <c r="H621">
        <v>2</v>
      </c>
      <c r="I621">
        <v>4.12</v>
      </c>
      <c r="J621">
        <v>1.97</v>
      </c>
      <c r="K621" t="s">
        <v>19</v>
      </c>
      <c r="L621" s="3">
        <v>45542</v>
      </c>
      <c r="M621" t="s">
        <v>48</v>
      </c>
      <c r="N621" s="4">
        <v>52</v>
      </c>
      <c r="O621" t="str" cm="1">
        <f t="array" ref="O62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21" t="s">
        <v>189</v>
      </c>
      <c r="Q621" t="s">
        <v>2927</v>
      </c>
      <c r="R621" s="5">
        <v>4.12</v>
      </c>
      <c r="S621" s="5">
        <v>1.97</v>
      </c>
    </row>
    <row r="622" spans="1:19" x14ac:dyDescent="0.25">
      <c r="A622" t="s">
        <v>2007</v>
      </c>
      <c r="B622" t="s">
        <v>1422</v>
      </c>
      <c r="C622" s="1">
        <v>45244</v>
      </c>
      <c r="D622" t="s">
        <v>30</v>
      </c>
      <c r="E622" t="s">
        <v>132</v>
      </c>
      <c r="F622">
        <v>57</v>
      </c>
      <c r="G622" t="s">
        <v>1031</v>
      </c>
      <c r="H622">
        <v>1</v>
      </c>
      <c r="I622" s="2">
        <v>19.079999999999998</v>
      </c>
      <c r="J622">
        <v>7.04</v>
      </c>
      <c r="K622" t="s">
        <v>41</v>
      </c>
      <c r="L622" s="3">
        <v>45244</v>
      </c>
      <c r="M622" t="s">
        <v>132</v>
      </c>
      <c r="N622" s="4">
        <v>57</v>
      </c>
      <c r="O622" t="str" cm="1">
        <f t="array" ref="O62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22" t="s">
        <v>1031</v>
      </c>
      <c r="Q622" t="s">
        <v>2931</v>
      </c>
      <c r="R622" s="5">
        <v>19.079999999999998</v>
      </c>
      <c r="S622" s="5">
        <v>7.04</v>
      </c>
    </row>
    <row r="623" spans="1:19" x14ac:dyDescent="0.25">
      <c r="A623" t="s">
        <v>2008</v>
      </c>
      <c r="B623" t="s">
        <v>1062</v>
      </c>
      <c r="C623" s="1">
        <v>45499</v>
      </c>
      <c r="D623" t="s">
        <v>30</v>
      </c>
      <c r="E623" t="s">
        <v>48</v>
      </c>
      <c r="F623">
        <v>23</v>
      </c>
      <c r="G623" t="s">
        <v>2009</v>
      </c>
      <c r="H623">
        <v>5</v>
      </c>
      <c r="I623">
        <v>151.29</v>
      </c>
      <c r="J623" t="s">
        <v>2010</v>
      </c>
      <c r="K623" t="s">
        <v>41</v>
      </c>
      <c r="L623" s="3">
        <v>45499</v>
      </c>
      <c r="M623" t="s">
        <v>48</v>
      </c>
      <c r="N623" s="4">
        <v>23</v>
      </c>
      <c r="O623" t="str" cm="1">
        <f t="array" ref="O62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623" t="s">
        <v>2009</v>
      </c>
      <c r="Q623" t="s">
        <v>2931</v>
      </c>
      <c r="R623" s="5">
        <v>151.29</v>
      </c>
      <c r="S623" s="5">
        <v>66.44</v>
      </c>
    </row>
    <row r="624" spans="1:19" x14ac:dyDescent="0.25">
      <c r="A624" t="s">
        <v>2011</v>
      </c>
      <c r="B624" t="s">
        <v>1293</v>
      </c>
      <c r="C624" t="s">
        <v>2012</v>
      </c>
      <c r="D624" t="s">
        <v>16</v>
      </c>
      <c r="E624" t="s">
        <v>85</v>
      </c>
      <c r="F624">
        <v>72</v>
      </c>
      <c r="G624" t="s">
        <v>1057</v>
      </c>
      <c r="H624">
        <v>3</v>
      </c>
      <c r="I624">
        <v>90.83</v>
      </c>
      <c r="J624">
        <v>31.63</v>
      </c>
      <c r="K624" t="s">
        <v>19</v>
      </c>
      <c r="L624" s="3">
        <v>45473</v>
      </c>
      <c r="M624" t="s">
        <v>34</v>
      </c>
      <c r="N624" s="4">
        <v>72</v>
      </c>
      <c r="O624" t="str" cm="1">
        <f t="array" ref="O62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24" t="s">
        <v>1057</v>
      </c>
      <c r="Q624" t="s">
        <v>2927</v>
      </c>
      <c r="R624" s="5">
        <v>90.83</v>
      </c>
      <c r="S624" s="5">
        <v>31.63</v>
      </c>
    </row>
    <row r="625" spans="1:19" x14ac:dyDescent="0.25">
      <c r="A625" t="s">
        <v>2013</v>
      </c>
      <c r="B625" t="s">
        <v>2014</v>
      </c>
      <c r="C625" s="1">
        <v>44995</v>
      </c>
      <c r="D625" t="s">
        <v>16</v>
      </c>
      <c r="E625" t="s">
        <v>60</v>
      </c>
      <c r="F625">
        <v>26</v>
      </c>
      <c r="G625" t="s">
        <v>2015</v>
      </c>
      <c r="H625">
        <v>2</v>
      </c>
      <c r="I625" s="2">
        <v>15.53</v>
      </c>
      <c r="J625" t="s">
        <v>25</v>
      </c>
      <c r="K625" t="s">
        <v>41</v>
      </c>
      <c r="L625" s="3">
        <v>44995</v>
      </c>
      <c r="M625" t="s">
        <v>48</v>
      </c>
      <c r="N625" s="4">
        <v>26</v>
      </c>
      <c r="O625" t="str" cm="1">
        <f t="array" ref="O62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25" t="s">
        <v>2015</v>
      </c>
      <c r="Q625" t="s">
        <v>2926</v>
      </c>
      <c r="R625" s="5">
        <v>15.53</v>
      </c>
      <c r="S625" s="5"/>
    </row>
    <row r="626" spans="1:19" x14ac:dyDescent="0.25">
      <c r="A626" t="s">
        <v>2016</v>
      </c>
      <c r="B626" t="s">
        <v>1718</v>
      </c>
      <c r="C626" s="3">
        <v>45397</v>
      </c>
      <c r="D626" t="s">
        <v>30</v>
      </c>
      <c r="E626" t="s">
        <v>85</v>
      </c>
      <c r="F626">
        <v>55</v>
      </c>
      <c r="G626" t="s">
        <v>891</v>
      </c>
      <c r="H626">
        <v>2</v>
      </c>
      <c r="I626" s="2">
        <v>46.7</v>
      </c>
      <c r="J626">
        <v>25.23</v>
      </c>
      <c r="K626" t="s">
        <v>19</v>
      </c>
      <c r="L626" s="3">
        <v>45397</v>
      </c>
      <c r="M626" t="s">
        <v>34</v>
      </c>
      <c r="N626" s="4">
        <v>55</v>
      </c>
      <c r="O626" t="str" cm="1">
        <f t="array" ref="O62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26" t="s">
        <v>891</v>
      </c>
      <c r="Q626" t="s">
        <v>2926</v>
      </c>
      <c r="R626" s="5">
        <v>46.7</v>
      </c>
      <c r="S626" s="5">
        <v>25.23</v>
      </c>
    </row>
    <row r="627" spans="1:19" x14ac:dyDescent="0.25">
      <c r="A627" t="s">
        <v>2017</v>
      </c>
      <c r="B627" t="s">
        <v>2018</v>
      </c>
      <c r="C627" t="s">
        <v>2019</v>
      </c>
      <c r="D627" t="s">
        <v>51</v>
      </c>
      <c r="E627" t="s">
        <v>48</v>
      </c>
      <c r="F627">
        <v>38</v>
      </c>
      <c r="G627" t="s">
        <v>2020</v>
      </c>
      <c r="H627">
        <v>1</v>
      </c>
      <c r="I627">
        <v>53.83</v>
      </c>
      <c r="J627">
        <v>21.81</v>
      </c>
      <c r="K627" t="s">
        <v>19</v>
      </c>
      <c r="L627" s="3">
        <v>45409</v>
      </c>
      <c r="M627" t="s">
        <v>48</v>
      </c>
      <c r="N627" s="4">
        <v>38</v>
      </c>
      <c r="O627" t="str" cm="1">
        <f t="array" ref="O62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27" t="s">
        <v>2020</v>
      </c>
      <c r="Q627" t="s">
        <v>2929</v>
      </c>
      <c r="R627" s="5">
        <v>53.83</v>
      </c>
      <c r="S627" s="5">
        <v>21.81</v>
      </c>
    </row>
    <row r="628" spans="1:19" x14ac:dyDescent="0.25">
      <c r="A628" t="s">
        <v>2021</v>
      </c>
      <c r="B628" t="s">
        <v>147</v>
      </c>
      <c r="C628" t="s">
        <v>2022</v>
      </c>
      <c r="D628" t="s">
        <v>129</v>
      </c>
      <c r="E628" t="s">
        <v>34</v>
      </c>
      <c r="F628">
        <v>42</v>
      </c>
      <c r="G628" t="s">
        <v>2023</v>
      </c>
      <c r="H628">
        <v>1</v>
      </c>
      <c r="I628">
        <v>12.74</v>
      </c>
      <c r="J628" s="2">
        <v>5.43</v>
      </c>
      <c r="K628" t="s">
        <v>19</v>
      </c>
      <c r="L628" s="3">
        <v>45074</v>
      </c>
      <c r="M628" t="s">
        <v>34</v>
      </c>
      <c r="N628" s="4">
        <v>42</v>
      </c>
      <c r="O628" t="str" cm="1">
        <f t="array" ref="O62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28" t="s">
        <v>2023</v>
      </c>
      <c r="Q628" t="s">
        <v>2927</v>
      </c>
      <c r="R628" s="5">
        <v>12.74</v>
      </c>
      <c r="S628" s="5">
        <v>5.43</v>
      </c>
    </row>
    <row r="629" spans="1:19" x14ac:dyDescent="0.25">
      <c r="A629" t="s">
        <v>55</v>
      </c>
      <c r="B629" t="s">
        <v>56</v>
      </c>
      <c r="C629" s="1">
        <v>45144</v>
      </c>
      <c r="D629" t="s">
        <v>51</v>
      </c>
      <c r="E629" t="s">
        <v>38</v>
      </c>
      <c r="F629">
        <v>65</v>
      </c>
      <c r="G629" t="s">
        <v>57</v>
      </c>
      <c r="H629">
        <v>2</v>
      </c>
      <c r="I629">
        <v>15.74</v>
      </c>
      <c r="J629" s="2">
        <v>7.12</v>
      </c>
      <c r="K629" t="s">
        <v>41</v>
      </c>
      <c r="L629" s="3">
        <v>45144</v>
      </c>
      <c r="M629" t="s">
        <v>34</v>
      </c>
      <c r="N629" s="4">
        <v>65</v>
      </c>
      <c r="O629" t="str" cm="1">
        <f t="array" ref="O62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29" t="s">
        <v>57</v>
      </c>
      <c r="Q629" t="s">
        <v>2927</v>
      </c>
      <c r="R629" s="5">
        <v>15.74</v>
      </c>
      <c r="S629" s="5">
        <v>7.12</v>
      </c>
    </row>
    <row r="630" spans="1:19" x14ac:dyDescent="0.25">
      <c r="A630" t="s">
        <v>2024</v>
      </c>
      <c r="B630" t="s">
        <v>387</v>
      </c>
      <c r="C630" s="1">
        <v>44960</v>
      </c>
      <c r="D630" t="s">
        <v>16</v>
      </c>
      <c r="E630" t="s">
        <v>60</v>
      </c>
      <c r="F630">
        <v>46</v>
      </c>
      <c r="G630" t="s">
        <v>2025</v>
      </c>
      <c r="H630">
        <v>4</v>
      </c>
      <c r="I630">
        <v>70.33</v>
      </c>
      <c r="J630" t="s">
        <v>25</v>
      </c>
      <c r="K630" t="s">
        <v>19</v>
      </c>
      <c r="L630" s="3">
        <v>44960</v>
      </c>
      <c r="M630" t="s">
        <v>48</v>
      </c>
      <c r="N630" s="4">
        <v>46</v>
      </c>
      <c r="O630" t="str" cm="1">
        <f t="array" ref="O63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30" t="s">
        <v>2025</v>
      </c>
      <c r="Q630" t="s">
        <v>2929</v>
      </c>
      <c r="R630" s="5">
        <v>70.33</v>
      </c>
      <c r="S630" s="5"/>
    </row>
    <row r="631" spans="1:19" x14ac:dyDescent="0.25">
      <c r="A631" t="s">
        <v>2026</v>
      </c>
      <c r="B631" t="s">
        <v>426</v>
      </c>
      <c r="C631" s="1">
        <v>45459</v>
      </c>
      <c r="D631" t="s">
        <v>129</v>
      </c>
      <c r="E631" t="s">
        <v>60</v>
      </c>
      <c r="F631">
        <v>43</v>
      </c>
      <c r="G631" t="s">
        <v>2027</v>
      </c>
      <c r="H631">
        <v>1</v>
      </c>
      <c r="I631">
        <v>4.24</v>
      </c>
      <c r="J631">
        <v>1.89</v>
      </c>
      <c r="K631" t="s">
        <v>19</v>
      </c>
      <c r="L631" s="3">
        <v>45459</v>
      </c>
      <c r="M631" t="s">
        <v>48</v>
      </c>
      <c r="N631" s="4">
        <v>43</v>
      </c>
      <c r="O631" t="str" cm="1">
        <f t="array" ref="O63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31" t="s">
        <v>2027</v>
      </c>
      <c r="Q631" t="s">
        <v>2926</v>
      </c>
      <c r="R631" s="5">
        <v>4.24</v>
      </c>
      <c r="S631" s="5">
        <v>1.89</v>
      </c>
    </row>
    <row r="632" spans="1:19" x14ac:dyDescent="0.25">
      <c r="A632" t="s">
        <v>468</v>
      </c>
      <c r="B632" t="s">
        <v>469</v>
      </c>
      <c r="C632" s="1">
        <v>45514</v>
      </c>
      <c r="D632" t="s">
        <v>24</v>
      </c>
      <c r="E632" t="s">
        <v>48</v>
      </c>
      <c r="F632">
        <v>51</v>
      </c>
      <c r="G632" t="s">
        <v>470</v>
      </c>
      <c r="H632">
        <v>5</v>
      </c>
      <c r="I632">
        <v>72.209999999999994</v>
      </c>
      <c r="J632" t="s">
        <v>471</v>
      </c>
      <c r="K632" t="s">
        <v>19</v>
      </c>
      <c r="L632" s="3">
        <v>45514</v>
      </c>
      <c r="M632" t="s">
        <v>48</v>
      </c>
      <c r="N632" s="4">
        <v>51</v>
      </c>
      <c r="O632" t="str" cm="1">
        <f t="array" ref="O63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32" t="s">
        <v>2934</v>
      </c>
      <c r="Q632" t="s">
        <v>2925</v>
      </c>
      <c r="R632" s="5">
        <v>72.209999999999994</v>
      </c>
      <c r="S632" s="5">
        <v>38.229999999999997</v>
      </c>
    </row>
    <row r="633" spans="1:19" x14ac:dyDescent="0.25">
      <c r="A633" t="s">
        <v>2028</v>
      </c>
      <c r="B633" t="s">
        <v>314</v>
      </c>
      <c r="C633" t="s">
        <v>2029</v>
      </c>
      <c r="D633" t="s">
        <v>51</v>
      </c>
      <c r="E633" t="s">
        <v>31</v>
      </c>
      <c r="F633">
        <v>39</v>
      </c>
      <c r="G633" t="s">
        <v>2030</v>
      </c>
      <c r="H633">
        <v>4</v>
      </c>
      <c r="I633">
        <v>169.25</v>
      </c>
      <c r="J633">
        <v>105.16</v>
      </c>
      <c r="K633" t="s">
        <v>41</v>
      </c>
      <c r="L633" s="3">
        <v>45261</v>
      </c>
      <c r="M633" t="s">
        <v>34</v>
      </c>
      <c r="N633" s="4">
        <v>39</v>
      </c>
      <c r="O633" t="str" cm="1">
        <f t="array" ref="O63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33" t="s">
        <v>2965</v>
      </c>
      <c r="Q633" t="s">
        <v>2926</v>
      </c>
      <c r="R633" s="5">
        <v>169.25</v>
      </c>
      <c r="S633" s="5">
        <v>105.16</v>
      </c>
    </row>
    <row r="634" spans="1:19" x14ac:dyDescent="0.25">
      <c r="A634" t="s">
        <v>2031</v>
      </c>
      <c r="B634" t="s">
        <v>176</v>
      </c>
      <c r="C634" t="s">
        <v>2032</v>
      </c>
      <c r="D634" t="s">
        <v>129</v>
      </c>
      <c r="E634" t="s">
        <v>85</v>
      </c>
      <c r="F634">
        <v>64</v>
      </c>
      <c r="G634" t="s">
        <v>395</v>
      </c>
      <c r="H634">
        <v>4</v>
      </c>
      <c r="I634">
        <v>40.17</v>
      </c>
      <c r="J634">
        <v>18.649999999999999</v>
      </c>
      <c r="K634" t="s">
        <v>41</v>
      </c>
      <c r="L634" s="3">
        <v>45522</v>
      </c>
      <c r="M634" t="s">
        <v>34</v>
      </c>
      <c r="N634" s="4">
        <v>64</v>
      </c>
      <c r="O634" t="str" cm="1">
        <f t="array" ref="O63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34" t="s">
        <v>395</v>
      </c>
      <c r="Q634" t="s">
        <v>2925</v>
      </c>
      <c r="R634" s="5">
        <v>40.17</v>
      </c>
      <c r="S634" s="5">
        <v>18.649999999999999</v>
      </c>
    </row>
    <row r="635" spans="1:19" x14ac:dyDescent="0.25">
      <c r="A635" t="s">
        <v>2033</v>
      </c>
      <c r="B635" t="s">
        <v>450</v>
      </c>
      <c r="C635" t="s">
        <v>2034</v>
      </c>
      <c r="D635" t="s">
        <v>24</v>
      </c>
      <c r="E635" t="s">
        <v>85</v>
      </c>
      <c r="F635">
        <v>72</v>
      </c>
      <c r="G635" t="s">
        <v>2035</v>
      </c>
      <c r="H635">
        <v>2</v>
      </c>
      <c r="I635" t="s">
        <v>2036</v>
      </c>
      <c r="J635">
        <v>23.25</v>
      </c>
      <c r="K635" t="s">
        <v>41</v>
      </c>
      <c r="L635" s="3">
        <v>45418</v>
      </c>
      <c r="M635" t="s">
        <v>34</v>
      </c>
      <c r="N635" s="4">
        <v>72</v>
      </c>
      <c r="O635" t="str" cm="1">
        <f t="array" ref="O63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35" t="s">
        <v>2035</v>
      </c>
      <c r="Q635" t="s">
        <v>2928</v>
      </c>
      <c r="R635" s="5">
        <v>50.17</v>
      </c>
      <c r="S635" s="5">
        <v>23.25</v>
      </c>
    </row>
    <row r="636" spans="1:19" x14ac:dyDescent="0.25">
      <c r="A636" t="s">
        <v>2037</v>
      </c>
      <c r="B636" t="s">
        <v>1126</v>
      </c>
      <c r="C636" t="s">
        <v>2038</v>
      </c>
      <c r="D636" t="s">
        <v>51</v>
      </c>
      <c r="E636" t="s">
        <v>34</v>
      </c>
      <c r="F636">
        <v>73</v>
      </c>
      <c r="G636" t="s">
        <v>2039</v>
      </c>
      <c r="H636">
        <v>4</v>
      </c>
      <c r="I636" t="s">
        <v>2040</v>
      </c>
      <c r="J636">
        <v>111.1</v>
      </c>
      <c r="K636" t="s">
        <v>19</v>
      </c>
      <c r="L636" s="3">
        <v>44943</v>
      </c>
      <c r="M636" t="s">
        <v>34</v>
      </c>
      <c r="N636" s="4">
        <v>73</v>
      </c>
      <c r="O636" t="str" cm="1">
        <f t="array" ref="O63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36" t="s">
        <v>2966</v>
      </c>
      <c r="Q636" t="s">
        <v>2930</v>
      </c>
      <c r="R636" s="5">
        <v>255.63</v>
      </c>
      <c r="S636" s="5">
        <v>111.1</v>
      </c>
    </row>
    <row r="637" spans="1:19" x14ac:dyDescent="0.25">
      <c r="A637" t="s">
        <v>2041</v>
      </c>
      <c r="B637" t="s">
        <v>434</v>
      </c>
      <c r="C637" t="s">
        <v>2042</v>
      </c>
      <c r="D637" t="s">
        <v>129</v>
      </c>
      <c r="E637" t="s">
        <v>31</v>
      </c>
      <c r="F637">
        <v>38</v>
      </c>
      <c r="G637" t="s">
        <v>2043</v>
      </c>
      <c r="H637">
        <v>2</v>
      </c>
      <c r="I637">
        <v>11.67</v>
      </c>
      <c r="J637" t="s">
        <v>2044</v>
      </c>
      <c r="K637" t="s">
        <v>19</v>
      </c>
      <c r="L637" s="3">
        <v>45209</v>
      </c>
      <c r="M637" t="s">
        <v>34</v>
      </c>
      <c r="N637" s="4">
        <v>38</v>
      </c>
      <c r="O637" t="str" cm="1">
        <f t="array" ref="O63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37" t="s">
        <v>2043</v>
      </c>
      <c r="Q637" t="s">
        <v>2927</v>
      </c>
      <c r="R637" s="5">
        <v>11.67</v>
      </c>
      <c r="S637" s="5">
        <v>4.97</v>
      </c>
    </row>
    <row r="638" spans="1:19" x14ac:dyDescent="0.25">
      <c r="A638" t="s">
        <v>2045</v>
      </c>
      <c r="B638" t="s">
        <v>172</v>
      </c>
      <c r="C638" s="1">
        <v>45146</v>
      </c>
      <c r="D638" t="s">
        <v>16</v>
      </c>
      <c r="E638" t="s">
        <v>65</v>
      </c>
      <c r="F638">
        <v>70</v>
      </c>
      <c r="G638" t="s">
        <v>1636</v>
      </c>
      <c r="H638">
        <v>2</v>
      </c>
      <c r="I638">
        <v>42.22</v>
      </c>
      <c r="J638" t="s">
        <v>2046</v>
      </c>
      <c r="K638" t="s">
        <v>41</v>
      </c>
      <c r="L638" s="3">
        <v>45146</v>
      </c>
      <c r="M638" t="s">
        <v>48</v>
      </c>
      <c r="N638" s="4">
        <v>70</v>
      </c>
      <c r="O638" t="str" cm="1">
        <f t="array" ref="O63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38" t="s">
        <v>1636</v>
      </c>
      <c r="Q638" t="s">
        <v>2927</v>
      </c>
      <c r="R638" s="5">
        <v>42.22</v>
      </c>
      <c r="S638" s="5">
        <v>20.83</v>
      </c>
    </row>
    <row r="639" spans="1:19" x14ac:dyDescent="0.25">
      <c r="A639" t="s">
        <v>2047</v>
      </c>
      <c r="B639" t="s">
        <v>215</v>
      </c>
      <c r="C639" t="s">
        <v>2048</v>
      </c>
      <c r="D639" t="s">
        <v>24</v>
      </c>
      <c r="E639" t="s">
        <v>48</v>
      </c>
      <c r="F639">
        <v>26</v>
      </c>
      <c r="G639" t="s">
        <v>2049</v>
      </c>
      <c r="H639">
        <v>1</v>
      </c>
      <c r="I639">
        <v>13.41</v>
      </c>
      <c r="J639" t="s">
        <v>2050</v>
      </c>
      <c r="K639" t="s">
        <v>19</v>
      </c>
      <c r="L639" s="3">
        <v>45123</v>
      </c>
      <c r="M639" t="s">
        <v>48</v>
      </c>
      <c r="N639" s="4">
        <v>26</v>
      </c>
      <c r="O639" t="str" cm="1">
        <f t="array" ref="O63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39" t="s">
        <v>2049</v>
      </c>
      <c r="Q639" t="s">
        <v>2927</v>
      </c>
      <c r="R639" s="5">
        <v>13.41</v>
      </c>
      <c r="S639" s="5">
        <v>5.94</v>
      </c>
    </row>
    <row r="640" spans="1:19" x14ac:dyDescent="0.25">
      <c r="A640" t="s">
        <v>2051</v>
      </c>
      <c r="B640" t="s">
        <v>2052</v>
      </c>
      <c r="C640" t="s">
        <v>2053</v>
      </c>
      <c r="D640" t="s">
        <v>30</v>
      </c>
      <c r="E640" t="s">
        <v>38</v>
      </c>
      <c r="F640">
        <v>60</v>
      </c>
      <c r="G640" t="s">
        <v>1008</v>
      </c>
      <c r="H640">
        <v>1</v>
      </c>
      <c r="I640" s="2">
        <v>7.99</v>
      </c>
      <c r="J640">
        <v>2.97</v>
      </c>
      <c r="K640" t="s">
        <v>41</v>
      </c>
      <c r="L640" s="3">
        <v>45516</v>
      </c>
      <c r="M640" t="s">
        <v>34</v>
      </c>
      <c r="N640" s="4">
        <v>60</v>
      </c>
      <c r="O640" t="str" cm="1">
        <f t="array" ref="O64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40" t="s">
        <v>1008</v>
      </c>
      <c r="Q640" t="s">
        <v>2929</v>
      </c>
      <c r="R640" s="5">
        <v>7.99</v>
      </c>
      <c r="S640" s="5">
        <v>2.97</v>
      </c>
    </row>
    <row r="641" spans="1:19" x14ac:dyDescent="0.25">
      <c r="A641" t="s">
        <v>2054</v>
      </c>
      <c r="B641" t="s">
        <v>1484</v>
      </c>
      <c r="C641" s="1">
        <v>45265</v>
      </c>
      <c r="D641" t="s">
        <v>51</v>
      </c>
      <c r="E641" t="s">
        <v>34</v>
      </c>
      <c r="F641">
        <v>33</v>
      </c>
      <c r="G641" t="s">
        <v>2055</v>
      </c>
      <c r="H641">
        <v>2</v>
      </c>
      <c r="I641" t="s">
        <v>2056</v>
      </c>
      <c r="J641">
        <v>16.309999999999999</v>
      </c>
      <c r="K641" t="s">
        <v>41</v>
      </c>
      <c r="L641" s="3">
        <v>45265</v>
      </c>
      <c r="M641" t="s">
        <v>34</v>
      </c>
      <c r="N641" s="4">
        <v>33</v>
      </c>
      <c r="O641" t="str" cm="1">
        <f t="array" ref="O64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41" t="s">
        <v>2967</v>
      </c>
      <c r="Q641" t="s">
        <v>2932</v>
      </c>
      <c r="R641" s="5">
        <v>50.23</v>
      </c>
      <c r="S641" s="5">
        <v>16.309999999999999</v>
      </c>
    </row>
    <row r="642" spans="1:19" x14ac:dyDescent="0.25">
      <c r="A642" t="s">
        <v>2057</v>
      </c>
      <c r="B642" t="s">
        <v>1838</v>
      </c>
      <c r="C642" t="s">
        <v>2058</v>
      </c>
      <c r="D642" t="s">
        <v>16</v>
      </c>
      <c r="E642" t="s">
        <v>38</v>
      </c>
      <c r="F642">
        <v>74</v>
      </c>
      <c r="G642" t="s">
        <v>2059</v>
      </c>
      <c r="H642">
        <v>1</v>
      </c>
      <c r="I642" t="s">
        <v>2060</v>
      </c>
      <c r="J642">
        <v>5.18</v>
      </c>
      <c r="K642" t="s">
        <v>41</v>
      </c>
      <c r="L642" s="3">
        <v>45429</v>
      </c>
      <c r="M642" t="s">
        <v>34</v>
      </c>
      <c r="N642" s="4">
        <v>74</v>
      </c>
      <c r="O642" t="str" cm="1">
        <f t="array" ref="O64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42" t="s">
        <v>2059</v>
      </c>
      <c r="Q642" t="s">
        <v>2927</v>
      </c>
      <c r="R642" s="5">
        <v>12.97</v>
      </c>
      <c r="S642" s="5">
        <v>5.18</v>
      </c>
    </row>
    <row r="643" spans="1:19" x14ac:dyDescent="0.25">
      <c r="A643" t="s">
        <v>2054</v>
      </c>
      <c r="B643" t="s">
        <v>1484</v>
      </c>
      <c r="C643" s="1">
        <v>45265</v>
      </c>
      <c r="D643" t="s">
        <v>51</v>
      </c>
      <c r="E643" t="s">
        <v>34</v>
      </c>
      <c r="F643">
        <v>33</v>
      </c>
      <c r="G643" t="s">
        <v>2055</v>
      </c>
      <c r="H643">
        <v>2</v>
      </c>
      <c r="I643" t="s">
        <v>2056</v>
      </c>
      <c r="J643">
        <v>16.309999999999999</v>
      </c>
      <c r="K643" t="s">
        <v>41</v>
      </c>
      <c r="L643" s="3">
        <v>45265</v>
      </c>
      <c r="M643" t="s">
        <v>34</v>
      </c>
      <c r="N643" s="4">
        <v>33</v>
      </c>
      <c r="O643" t="str" cm="1">
        <f t="array" ref="O64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43" t="s">
        <v>2967</v>
      </c>
      <c r="Q643" t="s">
        <v>2932</v>
      </c>
      <c r="R643" s="5">
        <v>50.23</v>
      </c>
      <c r="S643" s="5">
        <v>16.309999999999999</v>
      </c>
    </row>
    <row r="644" spans="1:19" x14ac:dyDescent="0.25">
      <c r="A644" t="s">
        <v>2061</v>
      </c>
      <c r="B644" t="s">
        <v>947</v>
      </c>
      <c r="C644" s="1">
        <v>45154</v>
      </c>
      <c r="D644" t="s">
        <v>30</v>
      </c>
      <c r="E644" t="s">
        <v>132</v>
      </c>
      <c r="F644">
        <v>45</v>
      </c>
      <c r="G644" t="s">
        <v>2062</v>
      </c>
      <c r="H644">
        <v>2</v>
      </c>
      <c r="I644">
        <v>67.209999999999994</v>
      </c>
      <c r="J644">
        <v>26.95</v>
      </c>
      <c r="K644" t="s">
        <v>41</v>
      </c>
      <c r="L644" s="3">
        <v>45154</v>
      </c>
      <c r="M644" t="s">
        <v>132</v>
      </c>
      <c r="N644" s="4">
        <v>45</v>
      </c>
      <c r="O644" t="str" cm="1">
        <f t="array" ref="O64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44" t="s">
        <v>2062</v>
      </c>
      <c r="Q644" t="s">
        <v>2927</v>
      </c>
      <c r="R644" s="5">
        <v>67.209999999999994</v>
      </c>
      <c r="S644" s="5">
        <v>26.95</v>
      </c>
    </row>
    <row r="645" spans="1:19" x14ac:dyDescent="0.25">
      <c r="A645" t="s">
        <v>1472</v>
      </c>
      <c r="B645" t="s">
        <v>1473</v>
      </c>
      <c r="C645" s="3">
        <v>45228</v>
      </c>
      <c r="D645" t="s">
        <v>129</v>
      </c>
      <c r="E645" t="s">
        <v>31</v>
      </c>
      <c r="F645">
        <v>53</v>
      </c>
      <c r="G645" t="s">
        <v>1474</v>
      </c>
      <c r="H645">
        <v>1</v>
      </c>
      <c r="I645">
        <v>20.309999999999999</v>
      </c>
      <c r="J645">
        <v>4.57</v>
      </c>
      <c r="K645" t="s">
        <v>19</v>
      </c>
      <c r="L645" s="3">
        <v>45228</v>
      </c>
      <c r="M645" t="s">
        <v>34</v>
      </c>
      <c r="N645" s="4">
        <v>53</v>
      </c>
      <c r="O645" t="str" cm="1">
        <f t="array" ref="O64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45" t="s">
        <v>1474</v>
      </c>
      <c r="Q645" t="s">
        <v>2939</v>
      </c>
      <c r="R645" s="5">
        <v>20.309999999999999</v>
      </c>
      <c r="S645" s="5">
        <v>4.57</v>
      </c>
    </row>
    <row r="646" spans="1:19" x14ac:dyDescent="0.25">
      <c r="A646" t="s">
        <v>2063</v>
      </c>
      <c r="B646" t="s">
        <v>657</v>
      </c>
      <c r="C646" t="s">
        <v>2064</v>
      </c>
      <c r="D646" t="s">
        <v>24</v>
      </c>
      <c r="E646" t="s">
        <v>45</v>
      </c>
      <c r="G646" t="s">
        <v>698</v>
      </c>
      <c r="H646">
        <v>2</v>
      </c>
      <c r="I646">
        <v>54.02</v>
      </c>
      <c r="J646">
        <v>20.64</v>
      </c>
      <c r="K646" t="s">
        <v>19</v>
      </c>
      <c r="L646" s="3">
        <v>45310</v>
      </c>
      <c r="M646" t="s">
        <v>48</v>
      </c>
      <c r="N646" s="4"/>
      <c r="O646" t="str" cm="1">
        <f t="array" ref="O64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646" t="s">
        <v>698</v>
      </c>
      <c r="Q646" t="s">
        <v>2926</v>
      </c>
      <c r="R646" s="5">
        <v>54.02</v>
      </c>
      <c r="S646" s="5">
        <v>20.64</v>
      </c>
    </row>
    <row r="647" spans="1:19" x14ac:dyDescent="0.25">
      <c r="A647" t="s">
        <v>2065</v>
      </c>
      <c r="B647" t="s">
        <v>223</v>
      </c>
      <c r="C647" s="3">
        <v>45065</v>
      </c>
      <c r="D647" t="s">
        <v>51</v>
      </c>
      <c r="E647" t="s">
        <v>60</v>
      </c>
      <c r="F647" t="s">
        <v>25</v>
      </c>
      <c r="G647" t="s">
        <v>1867</v>
      </c>
      <c r="H647">
        <v>4</v>
      </c>
      <c r="I647">
        <v>147.83000000000001</v>
      </c>
      <c r="J647">
        <v>75.86</v>
      </c>
      <c r="K647" t="s">
        <v>41</v>
      </c>
      <c r="L647" s="3">
        <v>45065</v>
      </c>
      <c r="M647" t="s">
        <v>48</v>
      </c>
      <c r="N647" s="4"/>
      <c r="O647" t="str" cm="1">
        <f t="array" ref="O64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647" t="s">
        <v>1867</v>
      </c>
      <c r="Q647" t="s">
        <v>2926</v>
      </c>
      <c r="R647" s="5">
        <v>147.83000000000001</v>
      </c>
      <c r="S647" s="5">
        <v>75.86</v>
      </c>
    </row>
    <row r="648" spans="1:19" x14ac:dyDescent="0.25">
      <c r="A648" t="s">
        <v>739</v>
      </c>
      <c r="B648" t="s">
        <v>234</v>
      </c>
      <c r="C648" s="1">
        <v>45190</v>
      </c>
      <c r="D648" t="s">
        <v>24</v>
      </c>
      <c r="E648" t="s">
        <v>45</v>
      </c>
      <c r="F648">
        <v>70</v>
      </c>
      <c r="G648" t="s">
        <v>740</v>
      </c>
      <c r="H648">
        <v>2</v>
      </c>
      <c r="I648">
        <v>16.23</v>
      </c>
      <c r="J648">
        <v>3.68</v>
      </c>
      <c r="K648" t="s">
        <v>41</v>
      </c>
      <c r="L648" s="3">
        <v>45190</v>
      </c>
      <c r="M648" t="s">
        <v>48</v>
      </c>
      <c r="N648" s="4">
        <v>70</v>
      </c>
      <c r="O648" t="str" cm="1">
        <f t="array" ref="O64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48" t="s">
        <v>740</v>
      </c>
      <c r="Q648" t="s">
        <v>2931</v>
      </c>
      <c r="R648" s="5">
        <v>16.23</v>
      </c>
      <c r="S648" s="5">
        <v>3.68</v>
      </c>
    </row>
    <row r="649" spans="1:19" x14ac:dyDescent="0.25">
      <c r="A649" t="s">
        <v>2066</v>
      </c>
      <c r="B649" t="s">
        <v>1192</v>
      </c>
      <c r="C649" t="s">
        <v>2067</v>
      </c>
      <c r="D649" t="s">
        <v>30</v>
      </c>
      <c r="E649" t="s">
        <v>60</v>
      </c>
      <c r="F649">
        <v>17</v>
      </c>
      <c r="G649" t="s">
        <v>2068</v>
      </c>
      <c r="H649">
        <v>3</v>
      </c>
      <c r="I649">
        <v>39.01</v>
      </c>
      <c r="J649">
        <v>20.43</v>
      </c>
      <c r="K649" t="s">
        <v>19</v>
      </c>
      <c r="L649" s="3">
        <v>45436</v>
      </c>
      <c r="M649" t="s">
        <v>48</v>
      </c>
      <c r="N649" s="4">
        <v>17</v>
      </c>
      <c r="O649" t="str" cm="1">
        <f t="array" ref="O64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649" t="s">
        <v>2968</v>
      </c>
      <c r="Q649" t="s">
        <v>2926</v>
      </c>
      <c r="R649" s="5">
        <v>39.01</v>
      </c>
      <c r="S649" s="5">
        <v>20.43</v>
      </c>
    </row>
    <row r="650" spans="1:19" x14ac:dyDescent="0.25">
      <c r="A650" t="s">
        <v>2069</v>
      </c>
      <c r="B650" t="s">
        <v>546</v>
      </c>
      <c r="C650" t="s">
        <v>2070</v>
      </c>
      <c r="D650" t="s">
        <v>16</v>
      </c>
      <c r="E650" t="s">
        <v>85</v>
      </c>
      <c r="F650">
        <v>63</v>
      </c>
      <c r="G650" t="s">
        <v>2071</v>
      </c>
      <c r="H650">
        <v>1</v>
      </c>
      <c r="I650">
        <v>35.04</v>
      </c>
      <c r="J650" s="2">
        <v>16.48</v>
      </c>
      <c r="K650" t="s">
        <v>41</v>
      </c>
      <c r="L650" s="3">
        <v>45620</v>
      </c>
      <c r="M650" t="s">
        <v>34</v>
      </c>
      <c r="N650" s="4">
        <v>63</v>
      </c>
      <c r="O650" t="str" cm="1">
        <f t="array" ref="O65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50" t="s">
        <v>2071</v>
      </c>
      <c r="Q650" t="s">
        <v>2926</v>
      </c>
      <c r="R650" s="5">
        <v>35.04</v>
      </c>
      <c r="S650" s="5">
        <v>16.48</v>
      </c>
    </row>
    <row r="651" spans="1:19" x14ac:dyDescent="0.25">
      <c r="A651" t="s">
        <v>2072</v>
      </c>
      <c r="B651" t="s">
        <v>625</v>
      </c>
      <c r="C651" t="s">
        <v>2073</v>
      </c>
      <c r="D651" t="s">
        <v>24</v>
      </c>
      <c r="E651" t="s">
        <v>65</v>
      </c>
      <c r="F651">
        <v>13</v>
      </c>
      <c r="G651" t="s">
        <v>2074</v>
      </c>
      <c r="H651">
        <v>1</v>
      </c>
      <c r="I651" t="s">
        <v>2075</v>
      </c>
      <c r="J651" t="s">
        <v>2076</v>
      </c>
      <c r="K651" t="s">
        <v>41</v>
      </c>
      <c r="L651" s="3">
        <v>45001</v>
      </c>
      <c r="M651" t="s">
        <v>48</v>
      </c>
      <c r="N651" s="4">
        <v>13</v>
      </c>
      <c r="O651" t="str" cm="1">
        <f t="array" ref="O65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651" t="s">
        <v>2074</v>
      </c>
      <c r="Q651" t="s">
        <v>2926</v>
      </c>
      <c r="R651" s="5">
        <v>18.39</v>
      </c>
      <c r="S651" s="5">
        <v>7.34</v>
      </c>
    </row>
    <row r="652" spans="1:19" x14ac:dyDescent="0.25">
      <c r="A652" t="s">
        <v>2077</v>
      </c>
      <c r="B652" t="s">
        <v>2078</v>
      </c>
      <c r="C652" t="s">
        <v>2079</v>
      </c>
      <c r="D652" t="s">
        <v>24</v>
      </c>
      <c r="E652" t="s">
        <v>65</v>
      </c>
      <c r="F652">
        <v>73</v>
      </c>
      <c r="G652" t="s">
        <v>2080</v>
      </c>
      <c r="H652">
        <v>-2</v>
      </c>
      <c r="I652">
        <v>-12.38</v>
      </c>
      <c r="J652" t="s">
        <v>2081</v>
      </c>
      <c r="K652" t="s">
        <v>41</v>
      </c>
      <c r="L652" s="3">
        <v>45388</v>
      </c>
      <c r="M652" t="s">
        <v>48</v>
      </c>
      <c r="N652" s="4">
        <v>73</v>
      </c>
      <c r="O652" t="str" cm="1">
        <f t="array" ref="O65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52" t="s">
        <v>2080</v>
      </c>
      <c r="Q652" t="s">
        <v>2928</v>
      </c>
      <c r="R652" s="5">
        <v>-12.38</v>
      </c>
      <c r="S652" s="5">
        <v>-7.56</v>
      </c>
    </row>
    <row r="653" spans="1:19" x14ac:dyDescent="0.25">
      <c r="A653" t="s">
        <v>2082</v>
      </c>
      <c r="B653" t="s">
        <v>165</v>
      </c>
      <c r="C653" t="s">
        <v>2083</v>
      </c>
      <c r="D653" t="s">
        <v>129</v>
      </c>
      <c r="E653" t="s">
        <v>34</v>
      </c>
      <c r="F653">
        <v>31</v>
      </c>
      <c r="G653" t="s">
        <v>2084</v>
      </c>
      <c r="H653">
        <v>1</v>
      </c>
      <c r="I653">
        <v>16.71</v>
      </c>
      <c r="J653" t="s">
        <v>2085</v>
      </c>
      <c r="K653" t="s">
        <v>41</v>
      </c>
      <c r="L653" s="3">
        <v>45272</v>
      </c>
      <c r="M653" t="s">
        <v>34</v>
      </c>
      <c r="N653" s="4">
        <v>31</v>
      </c>
      <c r="O653" t="str" cm="1">
        <f t="array" ref="O65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53" t="s">
        <v>2084</v>
      </c>
      <c r="Q653" t="s">
        <v>2925</v>
      </c>
      <c r="R653" s="5">
        <v>16.71</v>
      </c>
      <c r="S653" s="5">
        <v>3.77</v>
      </c>
    </row>
    <row r="654" spans="1:19" x14ac:dyDescent="0.25">
      <c r="A654" t="s">
        <v>2086</v>
      </c>
      <c r="B654" t="s">
        <v>1030</v>
      </c>
      <c r="C654" s="1">
        <v>45471</v>
      </c>
      <c r="D654" t="s">
        <v>129</v>
      </c>
      <c r="E654" t="s">
        <v>70</v>
      </c>
      <c r="F654">
        <v>19</v>
      </c>
      <c r="G654" t="s">
        <v>280</v>
      </c>
      <c r="H654">
        <v>1</v>
      </c>
      <c r="I654" s="2">
        <v>11.69</v>
      </c>
      <c r="J654">
        <v>3.85</v>
      </c>
      <c r="K654" t="s">
        <v>41</v>
      </c>
      <c r="L654" s="3">
        <v>45471</v>
      </c>
      <c r="M654" t="s">
        <v>20</v>
      </c>
      <c r="N654" s="4">
        <v>19</v>
      </c>
      <c r="O654" t="str" cm="1">
        <f t="array" ref="O65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654" t="s">
        <v>280</v>
      </c>
      <c r="Q654" t="s">
        <v>2928</v>
      </c>
      <c r="R654" s="5">
        <v>11.69</v>
      </c>
      <c r="S654" s="5">
        <v>3.85</v>
      </c>
    </row>
    <row r="655" spans="1:19" x14ac:dyDescent="0.25">
      <c r="A655" t="s">
        <v>2087</v>
      </c>
      <c r="B655" t="s">
        <v>242</v>
      </c>
      <c r="C655" s="1">
        <v>45260</v>
      </c>
      <c r="D655" t="s">
        <v>129</v>
      </c>
      <c r="E655" t="s">
        <v>85</v>
      </c>
      <c r="F655">
        <v>43</v>
      </c>
      <c r="G655" t="s">
        <v>1812</v>
      </c>
      <c r="H655">
        <v>1</v>
      </c>
      <c r="I655">
        <v>3.55</v>
      </c>
      <c r="J655">
        <v>1.29</v>
      </c>
      <c r="K655" t="s">
        <v>19</v>
      </c>
      <c r="L655" s="3">
        <v>45260</v>
      </c>
      <c r="M655" t="s">
        <v>34</v>
      </c>
      <c r="N655" s="4">
        <v>43</v>
      </c>
      <c r="O655" t="str" cm="1">
        <f t="array" ref="O65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55" t="s">
        <v>1812</v>
      </c>
      <c r="Q655" t="s">
        <v>2927</v>
      </c>
      <c r="R655" s="5">
        <v>3.55</v>
      </c>
      <c r="S655" s="5">
        <v>1.29</v>
      </c>
    </row>
    <row r="656" spans="1:19" x14ac:dyDescent="0.25">
      <c r="A656" t="s">
        <v>2088</v>
      </c>
      <c r="B656" t="s">
        <v>1229</v>
      </c>
      <c r="C656" s="1">
        <v>45505</v>
      </c>
      <c r="D656" t="s">
        <v>30</v>
      </c>
      <c r="E656" t="s">
        <v>85</v>
      </c>
      <c r="F656">
        <v>39</v>
      </c>
      <c r="G656" t="s">
        <v>2089</v>
      </c>
      <c r="H656">
        <v>1</v>
      </c>
      <c r="I656" s="2">
        <v>16.54</v>
      </c>
      <c r="J656" t="s">
        <v>2090</v>
      </c>
      <c r="K656" t="s">
        <v>19</v>
      </c>
      <c r="L656" s="3">
        <v>45505</v>
      </c>
      <c r="M656" t="s">
        <v>34</v>
      </c>
      <c r="N656" s="4">
        <v>39</v>
      </c>
      <c r="O656" t="str" cm="1">
        <f t="array" ref="O65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56" t="s">
        <v>2089</v>
      </c>
      <c r="Q656" t="s">
        <v>2926</v>
      </c>
      <c r="R656" s="5">
        <v>16.54</v>
      </c>
      <c r="S656" s="5">
        <v>7.67</v>
      </c>
    </row>
    <row r="657" spans="1:19" x14ac:dyDescent="0.25">
      <c r="A657" t="s">
        <v>2091</v>
      </c>
      <c r="B657" t="s">
        <v>780</v>
      </c>
      <c r="C657" t="s">
        <v>2092</v>
      </c>
      <c r="D657" t="s">
        <v>129</v>
      </c>
      <c r="E657" t="s">
        <v>34</v>
      </c>
      <c r="F657">
        <v>44</v>
      </c>
      <c r="G657" t="s">
        <v>2093</v>
      </c>
      <c r="H657">
        <v>2</v>
      </c>
      <c r="I657">
        <v>10.3</v>
      </c>
      <c r="J657" t="s">
        <v>2094</v>
      </c>
      <c r="K657" t="s">
        <v>19</v>
      </c>
      <c r="L657" s="3">
        <v>45411</v>
      </c>
      <c r="M657" t="s">
        <v>34</v>
      </c>
      <c r="N657" s="4">
        <v>44</v>
      </c>
      <c r="O657" t="str" cm="1">
        <f t="array" ref="O65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57" t="s">
        <v>2093</v>
      </c>
      <c r="Q657" t="s">
        <v>2926</v>
      </c>
      <c r="R657" s="5">
        <v>10.3</v>
      </c>
      <c r="S657" s="5">
        <v>3.32</v>
      </c>
    </row>
    <row r="658" spans="1:19" x14ac:dyDescent="0.25">
      <c r="A658" t="s">
        <v>2095</v>
      </c>
      <c r="B658" t="s">
        <v>1030</v>
      </c>
      <c r="C658" t="s">
        <v>1359</v>
      </c>
      <c r="D658" t="s">
        <v>24</v>
      </c>
      <c r="E658" t="s">
        <v>34</v>
      </c>
      <c r="F658">
        <v>48</v>
      </c>
      <c r="G658" t="s">
        <v>2096</v>
      </c>
      <c r="H658">
        <v>3</v>
      </c>
      <c r="I658">
        <v>60.45</v>
      </c>
      <c r="J658" s="2">
        <v>33.46</v>
      </c>
      <c r="K658" t="s">
        <v>41</v>
      </c>
      <c r="L658" s="3">
        <v>45651</v>
      </c>
      <c r="M658" t="s">
        <v>34</v>
      </c>
      <c r="N658" s="4">
        <v>48</v>
      </c>
      <c r="O658" t="str" cm="1">
        <f t="array" ref="O65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58" t="s">
        <v>2096</v>
      </c>
      <c r="Q658" t="s">
        <v>2926</v>
      </c>
      <c r="R658" s="5">
        <v>60.45</v>
      </c>
      <c r="S658" s="5">
        <v>33.46</v>
      </c>
    </row>
    <row r="659" spans="1:19" x14ac:dyDescent="0.25">
      <c r="A659" t="s">
        <v>932</v>
      </c>
      <c r="B659" t="s">
        <v>933</v>
      </c>
      <c r="C659" s="1">
        <v>45026</v>
      </c>
      <c r="D659" t="s">
        <v>30</v>
      </c>
      <c r="E659" t="s">
        <v>38</v>
      </c>
      <c r="F659">
        <v>75</v>
      </c>
      <c r="G659" t="s">
        <v>541</v>
      </c>
      <c r="H659">
        <v>1</v>
      </c>
      <c r="I659">
        <v>8.94</v>
      </c>
      <c r="J659" t="s">
        <v>25</v>
      </c>
      <c r="K659" t="s">
        <v>41</v>
      </c>
      <c r="L659" s="3">
        <v>45026</v>
      </c>
      <c r="M659" t="s">
        <v>34</v>
      </c>
      <c r="N659" s="4">
        <v>75</v>
      </c>
      <c r="O659" t="str" cm="1">
        <f t="array" ref="O65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59" t="s">
        <v>541</v>
      </c>
      <c r="Q659" t="s">
        <v>2926</v>
      </c>
      <c r="R659" s="5">
        <v>8.94</v>
      </c>
      <c r="S659" s="5"/>
    </row>
    <row r="660" spans="1:19" x14ac:dyDescent="0.25">
      <c r="A660" t="s">
        <v>2097</v>
      </c>
      <c r="B660" t="s">
        <v>1157</v>
      </c>
      <c r="C660" t="s">
        <v>634</v>
      </c>
      <c r="D660" t="s">
        <v>51</v>
      </c>
      <c r="E660" t="s">
        <v>38</v>
      </c>
      <c r="F660">
        <v>19</v>
      </c>
      <c r="G660" t="s">
        <v>26</v>
      </c>
      <c r="H660">
        <v>3</v>
      </c>
      <c r="I660" s="2">
        <v>61.9</v>
      </c>
      <c r="J660" t="s">
        <v>2098</v>
      </c>
      <c r="K660" t="s">
        <v>19</v>
      </c>
      <c r="L660" s="3">
        <v>45119</v>
      </c>
      <c r="M660" t="s">
        <v>34</v>
      </c>
      <c r="N660" s="4">
        <v>19</v>
      </c>
      <c r="O660" t="str" cm="1">
        <f t="array" ref="O66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660" t="s">
        <v>26</v>
      </c>
      <c r="Q660" t="s">
        <v>2926</v>
      </c>
      <c r="R660" s="5">
        <v>61.9</v>
      </c>
      <c r="S660" s="5">
        <v>29.62</v>
      </c>
    </row>
    <row r="661" spans="1:19" x14ac:dyDescent="0.25">
      <c r="A661" t="s">
        <v>2099</v>
      </c>
      <c r="B661" t="s">
        <v>1429</v>
      </c>
      <c r="C661" s="1">
        <v>45074</v>
      </c>
      <c r="D661" t="s">
        <v>24</v>
      </c>
      <c r="E661" t="s">
        <v>60</v>
      </c>
      <c r="F661">
        <v>54</v>
      </c>
      <c r="G661" t="s">
        <v>992</v>
      </c>
      <c r="H661">
        <v>2</v>
      </c>
      <c r="J661" t="s">
        <v>2100</v>
      </c>
      <c r="K661" t="s">
        <v>19</v>
      </c>
      <c r="L661" s="3">
        <v>45074</v>
      </c>
      <c r="M661" t="s">
        <v>48</v>
      </c>
      <c r="N661" s="4">
        <v>54</v>
      </c>
      <c r="O661" t="str" cm="1">
        <f t="array" ref="O66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61" t="s">
        <v>992</v>
      </c>
      <c r="Q661" t="s">
        <v>2927</v>
      </c>
      <c r="R661" s="5"/>
      <c r="S661" s="5">
        <v>11.34</v>
      </c>
    </row>
    <row r="662" spans="1:19" x14ac:dyDescent="0.25">
      <c r="A662" t="s">
        <v>2101</v>
      </c>
      <c r="B662" t="s">
        <v>202</v>
      </c>
      <c r="C662" t="s">
        <v>2102</v>
      </c>
      <c r="D662" t="s">
        <v>129</v>
      </c>
      <c r="E662" t="s">
        <v>34</v>
      </c>
      <c r="F662">
        <v>48</v>
      </c>
      <c r="G662" t="s">
        <v>2103</v>
      </c>
      <c r="H662">
        <v>-3</v>
      </c>
      <c r="I662" s="2">
        <v>-5.29</v>
      </c>
      <c r="J662">
        <v>-1.22</v>
      </c>
      <c r="K662" t="s">
        <v>41</v>
      </c>
      <c r="L662" s="3">
        <v>45491</v>
      </c>
      <c r="M662" t="s">
        <v>34</v>
      </c>
      <c r="N662" s="4">
        <v>48</v>
      </c>
      <c r="O662" t="str" cm="1">
        <f t="array" ref="O66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62" t="s">
        <v>2103</v>
      </c>
      <c r="Q662" t="s">
        <v>2926</v>
      </c>
      <c r="R662" s="5">
        <v>-5.29</v>
      </c>
      <c r="S662" s="5">
        <v>-1.22</v>
      </c>
    </row>
    <row r="663" spans="1:19" x14ac:dyDescent="0.25">
      <c r="A663" t="s">
        <v>2104</v>
      </c>
      <c r="B663" t="s">
        <v>1199</v>
      </c>
      <c r="C663" t="s">
        <v>2105</v>
      </c>
      <c r="D663" t="s">
        <v>51</v>
      </c>
      <c r="E663" t="s">
        <v>60</v>
      </c>
      <c r="F663" t="s">
        <v>1063</v>
      </c>
      <c r="G663" t="s">
        <v>2106</v>
      </c>
      <c r="H663">
        <v>3</v>
      </c>
      <c r="I663">
        <v>144.66</v>
      </c>
      <c r="J663">
        <v>74.61</v>
      </c>
      <c r="K663" t="s">
        <v>41</v>
      </c>
      <c r="L663" s="3">
        <v>45040</v>
      </c>
      <c r="M663" t="s">
        <v>48</v>
      </c>
      <c r="N663" s="4">
        <v>18</v>
      </c>
      <c r="O663" t="str" cm="1">
        <f t="array" ref="O66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663" t="s">
        <v>2106</v>
      </c>
      <c r="Q663" t="s">
        <v>2927</v>
      </c>
      <c r="R663" s="5">
        <v>144.66</v>
      </c>
      <c r="S663" s="5">
        <v>74.61</v>
      </c>
    </row>
    <row r="664" spans="1:19" x14ac:dyDescent="0.25">
      <c r="A664" t="s">
        <v>296</v>
      </c>
      <c r="B664" t="s">
        <v>2107</v>
      </c>
      <c r="C664" t="s">
        <v>298</v>
      </c>
      <c r="D664" t="s">
        <v>129</v>
      </c>
      <c r="E664" t="s">
        <v>2108</v>
      </c>
      <c r="F664">
        <v>27</v>
      </c>
      <c r="G664" t="s">
        <v>2109</v>
      </c>
      <c r="H664">
        <v>1</v>
      </c>
      <c r="I664">
        <v>4.2</v>
      </c>
      <c r="J664" s="2">
        <v>1.27</v>
      </c>
      <c r="K664" t="s">
        <v>41</v>
      </c>
      <c r="L664" s="3">
        <v>45510</v>
      </c>
      <c r="M664" t="s">
        <v>20</v>
      </c>
      <c r="N664" s="4">
        <v>27</v>
      </c>
      <c r="O664" t="str" cm="1">
        <f t="array" ref="O66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64" t="s">
        <v>299</v>
      </c>
      <c r="Q664" t="s">
        <v>2926</v>
      </c>
      <c r="R664" s="5">
        <v>4.2</v>
      </c>
      <c r="S664" s="5">
        <v>1.27</v>
      </c>
    </row>
    <row r="665" spans="1:19" x14ac:dyDescent="0.25">
      <c r="A665" t="s">
        <v>2110</v>
      </c>
      <c r="B665" t="s">
        <v>1687</v>
      </c>
      <c r="C665" t="s">
        <v>2111</v>
      </c>
      <c r="D665" t="s">
        <v>51</v>
      </c>
      <c r="E665" t="s">
        <v>38</v>
      </c>
      <c r="F665">
        <v>50</v>
      </c>
      <c r="G665" t="s">
        <v>2112</v>
      </c>
      <c r="H665">
        <v>1</v>
      </c>
      <c r="I665" t="s">
        <v>2113</v>
      </c>
      <c r="J665" t="s">
        <v>2114</v>
      </c>
      <c r="K665" t="s">
        <v>41</v>
      </c>
      <c r="L665" s="3">
        <v>45368</v>
      </c>
      <c r="M665" t="s">
        <v>34</v>
      </c>
      <c r="N665" s="4">
        <v>50</v>
      </c>
      <c r="O665" t="str" cm="1">
        <f t="array" ref="O66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65" t="s">
        <v>2112</v>
      </c>
      <c r="Q665" t="s">
        <v>2926</v>
      </c>
      <c r="R665" s="5">
        <v>21.56</v>
      </c>
      <c r="S665" s="5">
        <v>5.95</v>
      </c>
    </row>
    <row r="666" spans="1:19" x14ac:dyDescent="0.25">
      <c r="A666" t="s">
        <v>2115</v>
      </c>
      <c r="B666" t="s">
        <v>1542</v>
      </c>
      <c r="C666" t="s">
        <v>2116</v>
      </c>
      <c r="D666" t="s">
        <v>16</v>
      </c>
      <c r="E666" t="s">
        <v>48</v>
      </c>
      <c r="F666">
        <v>69</v>
      </c>
      <c r="G666" t="s">
        <v>2117</v>
      </c>
      <c r="H666">
        <v>4</v>
      </c>
      <c r="I666">
        <v>57.93</v>
      </c>
      <c r="J666" s="2">
        <v>18.09</v>
      </c>
      <c r="K666" t="s">
        <v>19</v>
      </c>
      <c r="L666" s="3">
        <v>45229</v>
      </c>
      <c r="M666" t="s">
        <v>48</v>
      </c>
      <c r="N666" s="4">
        <v>69</v>
      </c>
      <c r="O666" t="str" cm="1">
        <f t="array" ref="O66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66" t="s">
        <v>2117</v>
      </c>
      <c r="Q666" t="s">
        <v>2964</v>
      </c>
      <c r="R666" s="5">
        <v>57.93</v>
      </c>
      <c r="S666" s="5">
        <v>18.09</v>
      </c>
    </row>
    <row r="667" spans="1:19" x14ac:dyDescent="0.25">
      <c r="A667" t="s">
        <v>2118</v>
      </c>
      <c r="B667" t="s">
        <v>944</v>
      </c>
      <c r="C667" t="s">
        <v>2119</v>
      </c>
      <c r="D667" t="s">
        <v>30</v>
      </c>
      <c r="E667" t="s">
        <v>65</v>
      </c>
      <c r="F667">
        <v>64</v>
      </c>
      <c r="G667" t="s">
        <v>2120</v>
      </c>
      <c r="H667">
        <v>2</v>
      </c>
      <c r="I667">
        <v>19.8</v>
      </c>
      <c r="J667">
        <v>7.57</v>
      </c>
      <c r="K667" t="s">
        <v>41</v>
      </c>
      <c r="L667" s="3">
        <v>45589</v>
      </c>
      <c r="M667" t="s">
        <v>48</v>
      </c>
      <c r="N667" s="4">
        <v>64</v>
      </c>
      <c r="O667" t="str" cm="1">
        <f t="array" ref="O66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67" t="s">
        <v>2120</v>
      </c>
      <c r="Q667" t="s">
        <v>2926</v>
      </c>
      <c r="R667" s="5">
        <v>19.8</v>
      </c>
      <c r="S667" s="5">
        <v>7.57</v>
      </c>
    </row>
    <row r="668" spans="1:19" x14ac:dyDescent="0.25">
      <c r="A668" t="s">
        <v>2121</v>
      </c>
      <c r="B668" t="s">
        <v>763</v>
      </c>
      <c r="C668" t="s">
        <v>2122</v>
      </c>
      <c r="D668" t="s">
        <v>129</v>
      </c>
      <c r="F668">
        <v>20</v>
      </c>
      <c r="G668" t="s">
        <v>2123</v>
      </c>
      <c r="H668">
        <v>2</v>
      </c>
      <c r="I668">
        <v>17.38</v>
      </c>
      <c r="J668" s="2">
        <v>8.1300000000000008</v>
      </c>
      <c r="K668" t="s">
        <v>41</v>
      </c>
      <c r="L668" s="3">
        <v>45436</v>
      </c>
      <c r="M668" t="s">
        <v>20</v>
      </c>
      <c r="N668" s="4">
        <v>20</v>
      </c>
      <c r="O668" t="str" cm="1">
        <f t="array" ref="O66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668" t="s">
        <v>2123</v>
      </c>
      <c r="Q668" t="s">
        <v>2927</v>
      </c>
      <c r="R668" s="5">
        <v>17.38</v>
      </c>
      <c r="S668" s="5">
        <v>8.1300000000000008</v>
      </c>
    </row>
    <row r="669" spans="1:19" x14ac:dyDescent="0.25">
      <c r="A669" t="s">
        <v>2124</v>
      </c>
      <c r="B669" t="s">
        <v>160</v>
      </c>
      <c r="C669" t="s">
        <v>2125</v>
      </c>
      <c r="D669" t="s">
        <v>51</v>
      </c>
      <c r="E669" t="s">
        <v>48</v>
      </c>
      <c r="F669">
        <v>62</v>
      </c>
      <c r="G669" t="s">
        <v>2126</v>
      </c>
      <c r="H669">
        <v>1</v>
      </c>
      <c r="I669">
        <v>55.73</v>
      </c>
      <c r="J669">
        <v>31.78</v>
      </c>
      <c r="K669" t="s">
        <v>41</v>
      </c>
      <c r="L669" s="3">
        <v>45294</v>
      </c>
      <c r="M669" t="s">
        <v>48</v>
      </c>
      <c r="N669" s="4">
        <v>62</v>
      </c>
      <c r="O669" t="str" cm="1">
        <f t="array" ref="O66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69" t="s">
        <v>2126</v>
      </c>
      <c r="Q669" t="s">
        <v>2939</v>
      </c>
      <c r="R669" s="5">
        <v>55.73</v>
      </c>
      <c r="S669" s="5">
        <v>31.78</v>
      </c>
    </row>
    <row r="670" spans="1:19" x14ac:dyDescent="0.25">
      <c r="A670" t="s">
        <v>2127</v>
      </c>
      <c r="B670" t="s">
        <v>1873</v>
      </c>
      <c r="C670" t="s">
        <v>2128</v>
      </c>
      <c r="D670" t="s">
        <v>129</v>
      </c>
      <c r="E670" t="s">
        <v>85</v>
      </c>
      <c r="F670">
        <v>49</v>
      </c>
      <c r="G670" t="s">
        <v>2129</v>
      </c>
      <c r="H670">
        <v>1</v>
      </c>
      <c r="I670">
        <v>3.6</v>
      </c>
      <c r="J670" t="s">
        <v>2130</v>
      </c>
      <c r="K670" t="s">
        <v>41</v>
      </c>
      <c r="L670" s="3">
        <v>45554</v>
      </c>
      <c r="M670" t="s">
        <v>34</v>
      </c>
      <c r="N670" s="4">
        <v>49</v>
      </c>
      <c r="O670" t="str" cm="1">
        <f t="array" ref="O67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70" t="s">
        <v>2969</v>
      </c>
      <c r="Q670" t="s">
        <v>2927</v>
      </c>
      <c r="R670" s="5">
        <v>3.6</v>
      </c>
      <c r="S670" s="5">
        <v>1.06</v>
      </c>
    </row>
    <row r="671" spans="1:19" x14ac:dyDescent="0.25">
      <c r="A671" t="s">
        <v>2131</v>
      </c>
      <c r="B671" t="s">
        <v>2132</v>
      </c>
      <c r="C671" t="s">
        <v>2133</v>
      </c>
      <c r="D671" t="s">
        <v>129</v>
      </c>
      <c r="E671" t="s">
        <v>38</v>
      </c>
      <c r="F671">
        <v>24</v>
      </c>
      <c r="G671" t="s">
        <v>1612</v>
      </c>
      <c r="H671">
        <v>1</v>
      </c>
      <c r="I671">
        <v>11.73</v>
      </c>
      <c r="J671">
        <v>7.34</v>
      </c>
      <c r="K671" t="s">
        <v>19</v>
      </c>
      <c r="L671" s="3">
        <v>45006</v>
      </c>
      <c r="M671" t="s">
        <v>34</v>
      </c>
      <c r="N671" s="4">
        <v>24</v>
      </c>
      <c r="O671" t="str" cm="1">
        <f t="array" ref="O67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671" t="s">
        <v>1612</v>
      </c>
      <c r="Q671" t="s">
        <v>2926</v>
      </c>
      <c r="R671" s="5">
        <v>11.73</v>
      </c>
      <c r="S671" s="5">
        <v>7.34</v>
      </c>
    </row>
    <row r="672" spans="1:19" x14ac:dyDescent="0.25">
      <c r="A672" t="s">
        <v>2134</v>
      </c>
      <c r="B672" t="s">
        <v>2135</v>
      </c>
      <c r="C672" t="s">
        <v>2136</v>
      </c>
      <c r="D672" t="s">
        <v>129</v>
      </c>
      <c r="E672" t="s">
        <v>85</v>
      </c>
      <c r="F672" t="s">
        <v>75</v>
      </c>
      <c r="G672" t="s">
        <v>2137</v>
      </c>
      <c r="H672">
        <v>3</v>
      </c>
      <c r="I672">
        <v>45.22</v>
      </c>
      <c r="J672">
        <v>15.49</v>
      </c>
      <c r="K672" t="s">
        <v>19</v>
      </c>
      <c r="L672" s="3">
        <v>45291</v>
      </c>
      <c r="M672" t="s">
        <v>34</v>
      </c>
      <c r="N672" s="4">
        <v>20</v>
      </c>
      <c r="O672" t="str" cm="1">
        <f t="array" ref="O67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672" t="s">
        <v>2137</v>
      </c>
      <c r="Q672" t="s">
        <v>2931</v>
      </c>
      <c r="R672" s="5">
        <v>45.22</v>
      </c>
      <c r="S672" s="5">
        <v>15.49</v>
      </c>
    </row>
    <row r="673" spans="1:19" x14ac:dyDescent="0.25">
      <c r="A673" t="s">
        <v>2138</v>
      </c>
      <c r="B673" t="s">
        <v>1869</v>
      </c>
      <c r="C673" t="s">
        <v>2139</v>
      </c>
      <c r="D673" t="s">
        <v>24</v>
      </c>
      <c r="E673" t="s">
        <v>48</v>
      </c>
      <c r="F673" t="s">
        <v>173</v>
      </c>
      <c r="G673" t="s">
        <v>2140</v>
      </c>
      <c r="H673">
        <v>1</v>
      </c>
      <c r="I673">
        <v>14.38</v>
      </c>
      <c r="J673" t="s">
        <v>2141</v>
      </c>
      <c r="K673" t="s">
        <v>19</v>
      </c>
      <c r="L673" s="3">
        <v>45217</v>
      </c>
      <c r="M673" t="s">
        <v>48</v>
      </c>
      <c r="N673" s="4">
        <v>30</v>
      </c>
      <c r="O673" t="str" cm="1">
        <f t="array" ref="O67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73" t="s">
        <v>2140</v>
      </c>
      <c r="Q673" t="s">
        <v>2930</v>
      </c>
      <c r="R673" s="5">
        <v>14.38</v>
      </c>
      <c r="S673" s="5">
        <v>7.65</v>
      </c>
    </row>
    <row r="674" spans="1:19" x14ac:dyDescent="0.25">
      <c r="A674" t="s">
        <v>2142</v>
      </c>
      <c r="B674" t="s">
        <v>1653</v>
      </c>
      <c r="C674" t="s">
        <v>2143</v>
      </c>
      <c r="D674" t="s">
        <v>16</v>
      </c>
      <c r="E674" t="s">
        <v>34</v>
      </c>
      <c r="F674">
        <v>33</v>
      </c>
      <c r="G674" t="s">
        <v>2144</v>
      </c>
      <c r="H674">
        <v>1</v>
      </c>
      <c r="I674" t="s">
        <v>2145</v>
      </c>
      <c r="J674" t="s">
        <v>2146</v>
      </c>
      <c r="K674" t="s">
        <v>41</v>
      </c>
      <c r="L674" s="3">
        <v>45607</v>
      </c>
      <c r="M674" t="s">
        <v>34</v>
      </c>
      <c r="N674" s="4">
        <v>33</v>
      </c>
      <c r="O674" t="str" cm="1">
        <f t="array" ref="O67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74" t="s">
        <v>2144</v>
      </c>
      <c r="Q674" t="s">
        <v>2932</v>
      </c>
      <c r="R674" s="5">
        <v>19.77</v>
      </c>
      <c r="S674" s="5">
        <v>7.79</v>
      </c>
    </row>
    <row r="675" spans="1:19" x14ac:dyDescent="0.25">
      <c r="A675" t="s">
        <v>2147</v>
      </c>
      <c r="B675" t="s">
        <v>234</v>
      </c>
      <c r="C675" s="1">
        <v>45079</v>
      </c>
      <c r="D675" t="s">
        <v>24</v>
      </c>
      <c r="E675" t="s">
        <v>48</v>
      </c>
      <c r="F675">
        <v>34</v>
      </c>
      <c r="G675" t="s">
        <v>2148</v>
      </c>
      <c r="H675">
        <v>1</v>
      </c>
      <c r="I675">
        <v>14.47</v>
      </c>
      <c r="J675" t="s">
        <v>2149</v>
      </c>
      <c r="K675" t="s">
        <v>19</v>
      </c>
      <c r="L675" s="3">
        <v>45079</v>
      </c>
      <c r="M675" t="s">
        <v>48</v>
      </c>
      <c r="N675" s="4">
        <v>34</v>
      </c>
      <c r="O675" t="str" cm="1">
        <f t="array" ref="O67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75" t="s">
        <v>2148</v>
      </c>
      <c r="Q675" t="s">
        <v>2927</v>
      </c>
      <c r="R675" s="5">
        <v>14.47</v>
      </c>
      <c r="S675" s="5">
        <v>6.61</v>
      </c>
    </row>
    <row r="676" spans="1:19" x14ac:dyDescent="0.25">
      <c r="A676" t="s">
        <v>2150</v>
      </c>
      <c r="B676" t="s">
        <v>803</v>
      </c>
      <c r="C676" s="1">
        <v>45090</v>
      </c>
      <c r="D676" t="s">
        <v>24</v>
      </c>
      <c r="E676" t="s">
        <v>85</v>
      </c>
      <c r="F676">
        <v>40</v>
      </c>
      <c r="G676" t="s">
        <v>1881</v>
      </c>
      <c r="H676">
        <v>1</v>
      </c>
      <c r="I676" t="s">
        <v>2151</v>
      </c>
      <c r="J676" s="2">
        <v>14.7</v>
      </c>
      <c r="K676" t="s">
        <v>19</v>
      </c>
      <c r="L676" s="3">
        <v>45090</v>
      </c>
      <c r="M676" t="s">
        <v>34</v>
      </c>
      <c r="N676" s="4">
        <v>40</v>
      </c>
      <c r="O676" t="str" cm="1">
        <f t="array" ref="O67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76" t="s">
        <v>1881</v>
      </c>
      <c r="Q676" t="s">
        <v>2926</v>
      </c>
      <c r="R676" s="5">
        <v>27.92</v>
      </c>
      <c r="S676" s="5">
        <v>14.7</v>
      </c>
    </row>
    <row r="677" spans="1:19" x14ac:dyDescent="0.25">
      <c r="A677" t="s">
        <v>2152</v>
      </c>
      <c r="B677" t="s">
        <v>619</v>
      </c>
      <c r="C677" s="3">
        <v>45035</v>
      </c>
      <c r="D677" t="s">
        <v>30</v>
      </c>
      <c r="E677" t="s">
        <v>31</v>
      </c>
      <c r="F677">
        <v>39</v>
      </c>
      <c r="G677" t="s">
        <v>1863</v>
      </c>
      <c r="H677">
        <v>2</v>
      </c>
      <c r="I677">
        <v>50.61</v>
      </c>
      <c r="J677" s="2">
        <v>21.9</v>
      </c>
      <c r="K677" t="s">
        <v>19</v>
      </c>
      <c r="L677" s="3">
        <v>45035</v>
      </c>
      <c r="M677" t="s">
        <v>34</v>
      </c>
      <c r="N677" s="4">
        <v>39</v>
      </c>
      <c r="O677" t="str" cm="1">
        <f t="array" ref="O67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77" t="s">
        <v>1863</v>
      </c>
      <c r="Q677" t="s">
        <v>2929</v>
      </c>
      <c r="R677" s="5">
        <v>50.61</v>
      </c>
      <c r="S677" s="5">
        <v>21.9</v>
      </c>
    </row>
    <row r="678" spans="1:19" x14ac:dyDescent="0.25">
      <c r="A678" t="s">
        <v>2153</v>
      </c>
      <c r="B678" t="s">
        <v>882</v>
      </c>
      <c r="C678" s="3">
        <v>45026</v>
      </c>
      <c r="D678" t="s">
        <v>51</v>
      </c>
      <c r="E678" t="s">
        <v>34</v>
      </c>
      <c r="F678">
        <v>72</v>
      </c>
      <c r="G678" t="s">
        <v>2154</v>
      </c>
      <c r="H678">
        <v>2</v>
      </c>
      <c r="I678" t="s">
        <v>2155</v>
      </c>
      <c r="J678" t="s">
        <v>2156</v>
      </c>
      <c r="K678" t="s">
        <v>19</v>
      </c>
      <c r="L678" s="3">
        <v>45026</v>
      </c>
      <c r="M678" t="s">
        <v>34</v>
      </c>
      <c r="N678" s="4">
        <v>72</v>
      </c>
      <c r="O678" t="str" cm="1">
        <f t="array" ref="O67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78" t="s">
        <v>2154</v>
      </c>
      <c r="Q678" t="s">
        <v>2929</v>
      </c>
      <c r="R678" s="5">
        <v>40.56</v>
      </c>
      <c r="S678" s="5">
        <v>13.38</v>
      </c>
    </row>
    <row r="679" spans="1:19" x14ac:dyDescent="0.25">
      <c r="A679" t="s">
        <v>2157</v>
      </c>
      <c r="B679" t="s">
        <v>390</v>
      </c>
      <c r="C679" s="1">
        <v>45202</v>
      </c>
      <c r="D679" t="s">
        <v>129</v>
      </c>
      <c r="E679" t="s">
        <v>60</v>
      </c>
      <c r="F679">
        <v>59</v>
      </c>
      <c r="G679" t="s">
        <v>2158</v>
      </c>
      <c r="H679">
        <v>1</v>
      </c>
      <c r="I679">
        <v>13.4</v>
      </c>
      <c r="J679" t="s">
        <v>2159</v>
      </c>
      <c r="K679" t="s">
        <v>19</v>
      </c>
      <c r="L679" s="3">
        <v>45202</v>
      </c>
      <c r="M679" t="s">
        <v>48</v>
      </c>
      <c r="N679" s="4">
        <v>59</v>
      </c>
      <c r="O679" t="str" cm="1">
        <f t="array" ref="O67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79" t="s">
        <v>2158</v>
      </c>
      <c r="Q679" t="s">
        <v>2926</v>
      </c>
      <c r="R679" s="5">
        <v>13.4</v>
      </c>
      <c r="S679" s="5">
        <v>5.67</v>
      </c>
    </row>
    <row r="680" spans="1:19" x14ac:dyDescent="0.25">
      <c r="A680" t="s">
        <v>2160</v>
      </c>
      <c r="B680" t="s">
        <v>1777</v>
      </c>
      <c r="C680" s="1">
        <v>45433</v>
      </c>
      <c r="D680" t="s">
        <v>51</v>
      </c>
      <c r="E680" t="s">
        <v>65</v>
      </c>
      <c r="F680">
        <v>25</v>
      </c>
      <c r="G680" t="s">
        <v>2161</v>
      </c>
      <c r="H680">
        <v>1</v>
      </c>
      <c r="I680">
        <v>14.81</v>
      </c>
      <c r="J680" t="s">
        <v>2162</v>
      </c>
      <c r="K680" t="s">
        <v>19</v>
      </c>
      <c r="L680" s="3">
        <v>45433</v>
      </c>
      <c r="M680" t="s">
        <v>48</v>
      </c>
      <c r="N680" s="4">
        <v>25</v>
      </c>
      <c r="O680" t="str" cm="1">
        <f t="array" ref="O68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80" t="s">
        <v>2161</v>
      </c>
      <c r="Q680" t="s">
        <v>2925</v>
      </c>
      <c r="R680" s="5">
        <v>14.81</v>
      </c>
      <c r="S680" s="5">
        <v>5.15</v>
      </c>
    </row>
    <row r="681" spans="1:19" x14ac:dyDescent="0.25">
      <c r="A681" t="s">
        <v>2163</v>
      </c>
      <c r="B681" t="s">
        <v>981</v>
      </c>
      <c r="C681" s="3">
        <v>45020</v>
      </c>
      <c r="D681" t="s">
        <v>129</v>
      </c>
      <c r="E681" t="s">
        <v>45</v>
      </c>
      <c r="F681">
        <v>69</v>
      </c>
      <c r="G681" t="s">
        <v>568</v>
      </c>
      <c r="H681">
        <v>2</v>
      </c>
      <c r="I681">
        <v>31.82</v>
      </c>
      <c r="J681">
        <v>12.07</v>
      </c>
      <c r="K681" t="s">
        <v>19</v>
      </c>
      <c r="L681" s="3">
        <v>45020</v>
      </c>
      <c r="M681" t="s">
        <v>48</v>
      </c>
      <c r="N681" s="4">
        <v>69</v>
      </c>
      <c r="O681" t="str" cm="1">
        <f t="array" ref="O68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81" t="s">
        <v>568</v>
      </c>
      <c r="Q681" t="s">
        <v>2927</v>
      </c>
      <c r="R681" s="5">
        <v>31.82</v>
      </c>
      <c r="S681" s="5">
        <v>12.07</v>
      </c>
    </row>
    <row r="682" spans="1:19" x14ac:dyDescent="0.25">
      <c r="A682" t="s">
        <v>2164</v>
      </c>
      <c r="B682" t="s">
        <v>2165</v>
      </c>
      <c r="C682" t="s">
        <v>2166</v>
      </c>
      <c r="D682" t="s">
        <v>24</v>
      </c>
      <c r="E682" t="s">
        <v>65</v>
      </c>
      <c r="F682">
        <v>59</v>
      </c>
      <c r="G682" t="s">
        <v>2167</v>
      </c>
      <c r="H682">
        <v>1</v>
      </c>
      <c r="I682" s="2">
        <v>10.44</v>
      </c>
      <c r="J682">
        <v>5.86</v>
      </c>
      <c r="K682" t="s">
        <v>41</v>
      </c>
      <c r="L682" s="3">
        <v>45055</v>
      </c>
      <c r="M682" t="s">
        <v>48</v>
      </c>
      <c r="N682" s="4">
        <v>59</v>
      </c>
      <c r="O682" t="str" cm="1">
        <f t="array" ref="O68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82" t="s">
        <v>2167</v>
      </c>
      <c r="Q682" t="s">
        <v>2930</v>
      </c>
      <c r="R682" s="5">
        <v>10.44</v>
      </c>
      <c r="S682" s="5">
        <v>5.86</v>
      </c>
    </row>
    <row r="683" spans="1:19" x14ac:dyDescent="0.25">
      <c r="A683" t="s">
        <v>2168</v>
      </c>
      <c r="B683" t="s">
        <v>924</v>
      </c>
      <c r="C683" s="3">
        <v>45350</v>
      </c>
      <c r="D683" t="s">
        <v>30</v>
      </c>
      <c r="E683" t="s">
        <v>31</v>
      </c>
      <c r="F683">
        <v>25</v>
      </c>
      <c r="G683" t="s">
        <v>810</v>
      </c>
      <c r="H683">
        <v>2</v>
      </c>
      <c r="I683">
        <v>42.37</v>
      </c>
      <c r="J683">
        <v>10.42</v>
      </c>
      <c r="K683" t="s">
        <v>41</v>
      </c>
      <c r="L683" s="3">
        <v>45350</v>
      </c>
      <c r="M683" t="s">
        <v>34</v>
      </c>
      <c r="N683" s="4">
        <v>25</v>
      </c>
      <c r="O683" t="str" cm="1">
        <f t="array" ref="O68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83" t="s">
        <v>810</v>
      </c>
      <c r="Q683" t="s">
        <v>2927</v>
      </c>
      <c r="R683" s="5">
        <v>42.37</v>
      </c>
      <c r="S683" s="5">
        <v>10.42</v>
      </c>
    </row>
    <row r="684" spans="1:19" x14ac:dyDescent="0.25">
      <c r="A684" t="s">
        <v>2169</v>
      </c>
      <c r="B684" t="s">
        <v>457</v>
      </c>
      <c r="C684" t="s">
        <v>2170</v>
      </c>
      <c r="D684" t="s">
        <v>30</v>
      </c>
      <c r="E684" t="s">
        <v>60</v>
      </c>
      <c r="F684">
        <v>72</v>
      </c>
      <c r="G684" t="s">
        <v>1689</v>
      </c>
      <c r="H684">
        <v>2</v>
      </c>
      <c r="I684">
        <v>60.72</v>
      </c>
      <c r="J684" t="s">
        <v>2171</v>
      </c>
      <c r="K684" t="s">
        <v>41</v>
      </c>
      <c r="L684" s="3">
        <v>45527</v>
      </c>
      <c r="M684" t="s">
        <v>48</v>
      </c>
      <c r="N684" s="4">
        <v>72</v>
      </c>
      <c r="O684" t="str" cm="1">
        <f t="array" ref="O68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84" t="s">
        <v>1689</v>
      </c>
      <c r="Q684" t="s">
        <v>2927</v>
      </c>
      <c r="R684" s="5">
        <v>60.72</v>
      </c>
      <c r="S684" s="5">
        <v>28.09</v>
      </c>
    </row>
    <row r="685" spans="1:19" x14ac:dyDescent="0.25">
      <c r="A685" t="s">
        <v>2172</v>
      </c>
      <c r="B685" t="s">
        <v>924</v>
      </c>
      <c r="C685" t="s">
        <v>2173</v>
      </c>
      <c r="D685" t="s">
        <v>129</v>
      </c>
      <c r="E685" t="s">
        <v>45</v>
      </c>
      <c r="F685" t="s">
        <v>1063</v>
      </c>
      <c r="G685" t="s">
        <v>2174</v>
      </c>
      <c r="H685">
        <v>1</v>
      </c>
      <c r="I685" s="2">
        <v>3.56</v>
      </c>
      <c r="J685">
        <v>2.37</v>
      </c>
      <c r="K685" t="s">
        <v>19</v>
      </c>
      <c r="L685" s="3">
        <v>45313</v>
      </c>
      <c r="M685" t="s">
        <v>48</v>
      </c>
      <c r="N685" s="4">
        <v>18</v>
      </c>
      <c r="O685" t="str" cm="1">
        <f t="array" ref="O68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685" t="s">
        <v>2174</v>
      </c>
      <c r="Q685" t="s">
        <v>2926</v>
      </c>
      <c r="R685" s="5">
        <v>3.56</v>
      </c>
      <c r="S685" s="5">
        <v>2.37</v>
      </c>
    </row>
    <row r="686" spans="1:19" x14ac:dyDescent="0.25">
      <c r="A686" t="s">
        <v>2175</v>
      </c>
      <c r="B686" t="s">
        <v>370</v>
      </c>
      <c r="C686" t="s">
        <v>2176</v>
      </c>
      <c r="D686" t="s">
        <v>129</v>
      </c>
      <c r="F686">
        <v>67</v>
      </c>
      <c r="G686" t="s">
        <v>2177</v>
      </c>
      <c r="H686">
        <v>2</v>
      </c>
      <c r="I686">
        <v>31.93</v>
      </c>
      <c r="J686">
        <v>11.91</v>
      </c>
      <c r="K686" t="s">
        <v>19</v>
      </c>
      <c r="L686" s="3">
        <v>45327</v>
      </c>
      <c r="M686" t="s">
        <v>20</v>
      </c>
      <c r="N686" s="4">
        <v>67</v>
      </c>
      <c r="O686" t="str" cm="1">
        <f t="array" ref="O68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86" t="s">
        <v>2177</v>
      </c>
      <c r="Q686" t="s">
        <v>2926</v>
      </c>
      <c r="R686" s="5">
        <v>31.93</v>
      </c>
      <c r="S686" s="5">
        <v>11.91</v>
      </c>
    </row>
    <row r="687" spans="1:19" x14ac:dyDescent="0.25">
      <c r="A687" t="s">
        <v>2178</v>
      </c>
      <c r="B687" t="s">
        <v>551</v>
      </c>
      <c r="C687" s="1">
        <v>45434</v>
      </c>
      <c r="D687" t="s">
        <v>30</v>
      </c>
      <c r="E687" t="s">
        <v>31</v>
      </c>
      <c r="F687">
        <v>32</v>
      </c>
      <c r="G687" t="s">
        <v>595</v>
      </c>
      <c r="H687">
        <v>1</v>
      </c>
      <c r="I687" s="2">
        <v>25.41</v>
      </c>
      <c r="J687">
        <v>8.3800000000000008</v>
      </c>
      <c r="K687" t="s">
        <v>41</v>
      </c>
      <c r="L687" s="3">
        <v>45434</v>
      </c>
      <c r="M687" t="s">
        <v>34</v>
      </c>
      <c r="N687" s="4">
        <v>32</v>
      </c>
      <c r="O687" t="str" cm="1">
        <f t="array" ref="O68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87" t="s">
        <v>595</v>
      </c>
      <c r="Q687" t="s">
        <v>2926</v>
      </c>
      <c r="R687" s="5">
        <v>25.41</v>
      </c>
      <c r="S687" s="5">
        <v>8.3800000000000008</v>
      </c>
    </row>
    <row r="688" spans="1:19" x14ac:dyDescent="0.25">
      <c r="A688" t="s">
        <v>2179</v>
      </c>
      <c r="B688" t="s">
        <v>490</v>
      </c>
      <c r="C688" s="3">
        <v>45596</v>
      </c>
      <c r="D688" t="s">
        <v>51</v>
      </c>
      <c r="E688" t="s">
        <v>45</v>
      </c>
      <c r="F688">
        <v>41</v>
      </c>
      <c r="G688" t="s">
        <v>2180</v>
      </c>
      <c r="H688">
        <v>-1</v>
      </c>
      <c r="I688" t="s">
        <v>2181</v>
      </c>
      <c r="J688" s="2">
        <v>-6.66</v>
      </c>
      <c r="K688" t="s">
        <v>41</v>
      </c>
      <c r="L688" s="3">
        <v>45596</v>
      </c>
      <c r="M688" t="s">
        <v>48</v>
      </c>
      <c r="N688" s="4">
        <v>41</v>
      </c>
      <c r="O688" t="str" cm="1">
        <f t="array" ref="O68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88" t="s">
        <v>2180</v>
      </c>
      <c r="Q688" t="s">
        <v>2926</v>
      </c>
      <c r="R688" s="5">
        <v>-44.71</v>
      </c>
      <c r="S688" s="5">
        <v>-6.66</v>
      </c>
    </row>
    <row r="689" spans="1:19" x14ac:dyDescent="0.25">
      <c r="A689" t="s">
        <v>142</v>
      </c>
      <c r="B689" t="s">
        <v>143</v>
      </c>
      <c r="C689" t="s">
        <v>144</v>
      </c>
      <c r="D689" t="s">
        <v>16</v>
      </c>
      <c r="E689" t="s">
        <v>38</v>
      </c>
      <c r="F689">
        <v>46</v>
      </c>
      <c r="G689" t="s">
        <v>145</v>
      </c>
      <c r="H689">
        <v>3</v>
      </c>
      <c r="I689">
        <v>48.76</v>
      </c>
      <c r="J689">
        <v>27.2</v>
      </c>
      <c r="K689" t="s">
        <v>41</v>
      </c>
      <c r="L689" s="3">
        <v>45621</v>
      </c>
      <c r="M689" t="s">
        <v>34</v>
      </c>
      <c r="N689" s="4">
        <v>46</v>
      </c>
      <c r="O689" t="str" cm="1">
        <f t="array" ref="O68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89" t="s">
        <v>145</v>
      </c>
      <c r="Q689" t="s">
        <v>2927</v>
      </c>
      <c r="R689" s="5">
        <v>48.76</v>
      </c>
      <c r="S689" s="5">
        <v>27.2</v>
      </c>
    </row>
    <row r="690" spans="1:19" x14ac:dyDescent="0.25">
      <c r="A690" t="s">
        <v>2182</v>
      </c>
      <c r="B690" t="s">
        <v>422</v>
      </c>
      <c r="C690" s="1">
        <v>45484</v>
      </c>
      <c r="D690" t="s">
        <v>16</v>
      </c>
      <c r="E690" t="s">
        <v>60</v>
      </c>
      <c r="F690">
        <v>30</v>
      </c>
      <c r="G690" t="s">
        <v>368</v>
      </c>
      <c r="H690">
        <v>2</v>
      </c>
      <c r="I690">
        <v>41.86</v>
      </c>
      <c r="J690">
        <v>16.809999999999999</v>
      </c>
      <c r="K690" t="s">
        <v>41</v>
      </c>
      <c r="L690" s="3">
        <v>45484</v>
      </c>
      <c r="M690" t="s">
        <v>48</v>
      </c>
      <c r="N690" s="4">
        <v>30</v>
      </c>
      <c r="O690" t="str" cm="1">
        <f t="array" ref="O69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90" t="s">
        <v>368</v>
      </c>
      <c r="Q690" t="s">
        <v>2926</v>
      </c>
      <c r="R690" s="5">
        <v>41.86</v>
      </c>
      <c r="S690" s="5">
        <v>16.809999999999999</v>
      </c>
    </row>
    <row r="691" spans="1:19" x14ac:dyDescent="0.25">
      <c r="A691" t="s">
        <v>2183</v>
      </c>
      <c r="B691" t="s">
        <v>483</v>
      </c>
      <c r="C691" s="1">
        <v>45610</v>
      </c>
      <c r="D691" t="s">
        <v>129</v>
      </c>
      <c r="E691" t="s">
        <v>38</v>
      </c>
      <c r="F691">
        <v>54</v>
      </c>
      <c r="G691" t="s">
        <v>2184</v>
      </c>
      <c r="H691">
        <v>1</v>
      </c>
      <c r="I691">
        <v>27.49</v>
      </c>
      <c r="J691">
        <v>12.73</v>
      </c>
      <c r="K691" t="s">
        <v>19</v>
      </c>
      <c r="L691" s="3">
        <v>45610</v>
      </c>
      <c r="M691" t="s">
        <v>34</v>
      </c>
      <c r="N691" s="4">
        <v>54</v>
      </c>
      <c r="O691" t="str" cm="1">
        <f t="array" ref="O69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91" t="s">
        <v>2184</v>
      </c>
      <c r="Q691" t="s">
        <v>2926</v>
      </c>
      <c r="R691" s="5">
        <v>27.49</v>
      </c>
      <c r="S691" s="5">
        <v>12.73</v>
      </c>
    </row>
    <row r="692" spans="1:19" x14ac:dyDescent="0.25">
      <c r="A692" t="s">
        <v>2185</v>
      </c>
      <c r="B692" t="s">
        <v>1736</v>
      </c>
      <c r="C692" t="s">
        <v>2186</v>
      </c>
      <c r="D692" t="s">
        <v>30</v>
      </c>
      <c r="E692" t="s">
        <v>65</v>
      </c>
      <c r="F692">
        <v>30</v>
      </c>
      <c r="G692" t="s">
        <v>86</v>
      </c>
      <c r="H692">
        <v>1</v>
      </c>
      <c r="I692">
        <v>16.7</v>
      </c>
      <c r="J692" t="s">
        <v>2187</v>
      </c>
      <c r="K692" t="s">
        <v>19</v>
      </c>
      <c r="L692" s="3">
        <v>44932</v>
      </c>
      <c r="M692" t="s">
        <v>48</v>
      </c>
      <c r="N692" s="4">
        <v>30</v>
      </c>
      <c r="O692" t="str" cm="1">
        <f t="array" ref="O69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92" t="s">
        <v>1151</v>
      </c>
      <c r="Q692" t="s">
        <v>2927</v>
      </c>
      <c r="R692" s="5">
        <v>16.7</v>
      </c>
      <c r="S692" s="5">
        <v>8.33</v>
      </c>
    </row>
    <row r="693" spans="1:19" x14ac:dyDescent="0.25">
      <c r="A693" t="s">
        <v>2188</v>
      </c>
      <c r="B693" t="s">
        <v>625</v>
      </c>
      <c r="C693" s="1">
        <v>45134</v>
      </c>
      <c r="D693" t="s">
        <v>24</v>
      </c>
      <c r="E693" t="s">
        <v>70</v>
      </c>
      <c r="F693">
        <v>25</v>
      </c>
      <c r="G693" t="s">
        <v>1843</v>
      </c>
      <c r="H693">
        <v>1</v>
      </c>
      <c r="I693">
        <v>12.68</v>
      </c>
      <c r="J693">
        <v>5.72</v>
      </c>
      <c r="K693" t="s">
        <v>19</v>
      </c>
      <c r="L693" s="3">
        <v>45134</v>
      </c>
      <c r="M693" t="s">
        <v>20</v>
      </c>
      <c r="N693" s="4">
        <v>25</v>
      </c>
      <c r="O693" t="str" cm="1">
        <f t="array" ref="O69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93" t="s">
        <v>1843</v>
      </c>
      <c r="Q693" t="s">
        <v>2926</v>
      </c>
      <c r="R693" s="5">
        <v>12.68</v>
      </c>
      <c r="S693" s="5">
        <v>5.72</v>
      </c>
    </row>
    <row r="694" spans="1:19" x14ac:dyDescent="0.25">
      <c r="A694" t="s">
        <v>2189</v>
      </c>
      <c r="B694" t="s">
        <v>301</v>
      </c>
      <c r="C694" s="3">
        <v>44985</v>
      </c>
      <c r="D694" t="s">
        <v>24</v>
      </c>
      <c r="E694" t="s">
        <v>38</v>
      </c>
      <c r="F694">
        <v>57</v>
      </c>
      <c r="G694" t="s">
        <v>2190</v>
      </c>
      <c r="H694">
        <v>1</v>
      </c>
      <c r="I694">
        <v>32.21</v>
      </c>
      <c r="J694">
        <v>9.84</v>
      </c>
      <c r="K694" t="s">
        <v>41</v>
      </c>
      <c r="L694" s="3">
        <v>44985</v>
      </c>
      <c r="M694" t="s">
        <v>34</v>
      </c>
      <c r="N694" s="4">
        <v>57</v>
      </c>
      <c r="O694" t="str" cm="1">
        <f t="array" ref="O69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94" t="s">
        <v>666</v>
      </c>
      <c r="Q694" t="s">
        <v>2929</v>
      </c>
      <c r="R694" s="5">
        <v>32.21</v>
      </c>
      <c r="S694" s="5">
        <v>9.84</v>
      </c>
    </row>
    <row r="695" spans="1:19" x14ac:dyDescent="0.25">
      <c r="A695" t="s">
        <v>2191</v>
      </c>
      <c r="B695" t="s">
        <v>2192</v>
      </c>
      <c r="C695" s="1">
        <v>45549</v>
      </c>
      <c r="D695" t="s">
        <v>24</v>
      </c>
      <c r="E695" t="s">
        <v>25</v>
      </c>
      <c r="F695">
        <v>35</v>
      </c>
      <c r="G695" t="s">
        <v>901</v>
      </c>
      <c r="H695">
        <v>1</v>
      </c>
      <c r="I695">
        <v>24.23</v>
      </c>
      <c r="J695" t="s">
        <v>2193</v>
      </c>
      <c r="K695" t="s">
        <v>19</v>
      </c>
      <c r="L695" s="3">
        <v>45549</v>
      </c>
      <c r="M695" t="s">
        <v>20</v>
      </c>
      <c r="N695" s="4">
        <v>35</v>
      </c>
      <c r="O695" t="str" cm="1">
        <f t="array" ref="O69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695" t="s">
        <v>901</v>
      </c>
      <c r="Q695" t="s">
        <v>2931</v>
      </c>
      <c r="R695" s="5">
        <v>24.23</v>
      </c>
      <c r="S695" s="5">
        <v>7.95</v>
      </c>
    </row>
    <row r="696" spans="1:19" x14ac:dyDescent="0.25">
      <c r="A696" t="s">
        <v>2194</v>
      </c>
      <c r="B696" t="s">
        <v>763</v>
      </c>
      <c r="C696" s="3">
        <v>45583</v>
      </c>
      <c r="D696" t="s">
        <v>129</v>
      </c>
      <c r="E696" t="s">
        <v>85</v>
      </c>
      <c r="F696">
        <v>16</v>
      </c>
      <c r="G696" t="s">
        <v>1650</v>
      </c>
      <c r="H696">
        <v>2</v>
      </c>
      <c r="I696" s="2">
        <v>24.21</v>
      </c>
      <c r="J696">
        <v>9.7799999999999994</v>
      </c>
      <c r="K696" t="s">
        <v>19</v>
      </c>
      <c r="L696" s="3">
        <v>45583</v>
      </c>
      <c r="M696" t="s">
        <v>34</v>
      </c>
      <c r="N696" s="4">
        <v>16</v>
      </c>
      <c r="O696" t="str" cm="1">
        <f t="array" ref="O69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696" t="s">
        <v>1650</v>
      </c>
      <c r="Q696" t="s">
        <v>2926</v>
      </c>
      <c r="R696" s="5">
        <v>24.21</v>
      </c>
      <c r="S696" s="5">
        <v>9.7799999999999994</v>
      </c>
    </row>
    <row r="697" spans="1:19" x14ac:dyDescent="0.25">
      <c r="A697" t="s">
        <v>2195</v>
      </c>
      <c r="B697" t="s">
        <v>589</v>
      </c>
      <c r="C697" t="s">
        <v>2196</v>
      </c>
      <c r="D697" t="s">
        <v>30</v>
      </c>
      <c r="E697" t="s">
        <v>48</v>
      </c>
      <c r="F697">
        <v>26</v>
      </c>
      <c r="G697" t="s">
        <v>2197</v>
      </c>
      <c r="H697">
        <v>2</v>
      </c>
      <c r="I697" s="2">
        <v>82.16</v>
      </c>
      <c r="J697">
        <v>44.61</v>
      </c>
      <c r="K697" t="s">
        <v>19</v>
      </c>
      <c r="L697" s="3">
        <v>45474</v>
      </c>
      <c r="M697" t="s">
        <v>48</v>
      </c>
      <c r="N697" s="4">
        <v>26</v>
      </c>
      <c r="O697" t="str" cm="1">
        <f t="array" ref="O69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97" t="s">
        <v>2970</v>
      </c>
      <c r="Q697" t="s">
        <v>2926</v>
      </c>
      <c r="R697" s="5">
        <v>82.16</v>
      </c>
      <c r="S697" s="5">
        <v>44.61</v>
      </c>
    </row>
    <row r="698" spans="1:19" x14ac:dyDescent="0.25">
      <c r="A698" t="s">
        <v>2198</v>
      </c>
      <c r="B698" t="s">
        <v>2199</v>
      </c>
      <c r="C698" t="s">
        <v>2200</v>
      </c>
      <c r="D698" t="s">
        <v>51</v>
      </c>
      <c r="E698" t="s">
        <v>31</v>
      </c>
      <c r="F698">
        <v>56</v>
      </c>
      <c r="G698" t="s">
        <v>2201</v>
      </c>
      <c r="H698">
        <v>1</v>
      </c>
      <c r="I698" s="2">
        <v>24.68</v>
      </c>
      <c r="J698">
        <v>10.89</v>
      </c>
      <c r="K698" t="s">
        <v>19</v>
      </c>
      <c r="L698" s="3">
        <v>45032</v>
      </c>
      <c r="M698" t="s">
        <v>34</v>
      </c>
      <c r="N698" s="4">
        <v>56</v>
      </c>
      <c r="O698" t="str" cm="1">
        <f t="array" ref="O69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698" t="s">
        <v>2201</v>
      </c>
      <c r="Q698" t="s">
        <v>2926</v>
      </c>
      <c r="R698" s="5">
        <v>24.68</v>
      </c>
      <c r="S698" s="5">
        <v>10.89</v>
      </c>
    </row>
    <row r="699" spans="1:19" x14ac:dyDescent="0.25">
      <c r="A699" t="s">
        <v>2202</v>
      </c>
      <c r="B699" t="s">
        <v>1986</v>
      </c>
      <c r="C699" t="s">
        <v>2203</v>
      </c>
      <c r="D699" t="s">
        <v>51</v>
      </c>
      <c r="E699" t="s">
        <v>85</v>
      </c>
      <c r="F699" t="s">
        <v>173</v>
      </c>
      <c r="G699" t="s">
        <v>872</v>
      </c>
      <c r="H699">
        <v>2</v>
      </c>
      <c r="I699" t="s">
        <v>2204</v>
      </c>
      <c r="J699" s="2">
        <v>32.47</v>
      </c>
      <c r="K699" t="s">
        <v>19</v>
      </c>
      <c r="L699" s="3">
        <v>45016</v>
      </c>
      <c r="M699" t="s">
        <v>34</v>
      </c>
      <c r="N699" s="4">
        <v>30</v>
      </c>
      <c r="O699" t="str" cm="1">
        <f t="array" ref="O69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699" t="s">
        <v>872</v>
      </c>
      <c r="Q699" t="s">
        <v>2927</v>
      </c>
      <c r="R699" s="5">
        <v>55.44</v>
      </c>
      <c r="S699" s="5">
        <v>32.47</v>
      </c>
    </row>
    <row r="700" spans="1:19" x14ac:dyDescent="0.25">
      <c r="A700" t="s">
        <v>2205</v>
      </c>
      <c r="B700" t="s">
        <v>370</v>
      </c>
      <c r="C700" s="1">
        <v>45339</v>
      </c>
      <c r="D700" t="s">
        <v>24</v>
      </c>
      <c r="E700" t="s">
        <v>38</v>
      </c>
      <c r="F700">
        <v>54</v>
      </c>
      <c r="G700" t="s">
        <v>2206</v>
      </c>
      <c r="H700">
        <v>3</v>
      </c>
      <c r="I700">
        <v>63.13</v>
      </c>
      <c r="J700">
        <v>17.350000000000001</v>
      </c>
      <c r="K700" t="s">
        <v>41</v>
      </c>
      <c r="L700" s="3">
        <v>45339</v>
      </c>
      <c r="M700" t="s">
        <v>34</v>
      </c>
      <c r="N700" s="4">
        <v>54</v>
      </c>
      <c r="O700" t="str" cm="1">
        <f t="array" ref="O70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00" t="s">
        <v>2206</v>
      </c>
      <c r="Q700" t="s">
        <v>2939</v>
      </c>
      <c r="R700" s="5">
        <v>63.13</v>
      </c>
      <c r="S700" s="5">
        <v>17.350000000000001</v>
      </c>
    </row>
    <row r="701" spans="1:19" x14ac:dyDescent="0.25">
      <c r="A701" t="s">
        <v>2207</v>
      </c>
      <c r="B701" t="s">
        <v>110</v>
      </c>
      <c r="C701" t="s">
        <v>2208</v>
      </c>
      <c r="D701" t="s">
        <v>129</v>
      </c>
      <c r="E701" t="s">
        <v>45</v>
      </c>
      <c r="F701">
        <v>28</v>
      </c>
      <c r="G701" t="s">
        <v>2209</v>
      </c>
      <c r="H701">
        <v>1</v>
      </c>
      <c r="I701" s="2">
        <v>12.43</v>
      </c>
      <c r="J701" s="2">
        <v>4.96</v>
      </c>
      <c r="K701" t="s">
        <v>19</v>
      </c>
      <c r="L701" s="3">
        <v>45428</v>
      </c>
      <c r="M701" t="s">
        <v>48</v>
      </c>
      <c r="N701" s="4">
        <v>28</v>
      </c>
      <c r="O701" t="str" cm="1">
        <f t="array" ref="O70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01" t="s">
        <v>2209</v>
      </c>
      <c r="Q701" t="s">
        <v>2931</v>
      </c>
      <c r="R701" s="5">
        <v>12.43</v>
      </c>
      <c r="S701" s="5">
        <v>4.96</v>
      </c>
    </row>
    <row r="702" spans="1:19" x14ac:dyDescent="0.25">
      <c r="A702" t="s">
        <v>2210</v>
      </c>
      <c r="B702" t="s">
        <v>2211</v>
      </c>
      <c r="C702" s="3">
        <v>45652</v>
      </c>
      <c r="D702" t="s">
        <v>16</v>
      </c>
      <c r="E702" t="s">
        <v>25</v>
      </c>
      <c r="F702">
        <v>13</v>
      </c>
      <c r="G702" t="s">
        <v>2212</v>
      </c>
      <c r="H702">
        <v>1</v>
      </c>
      <c r="I702">
        <v>31.82</v>
      </c>
      <c r="J702">
        <v>10.68</v>
      </c>
      <c r="K702" t="s">
        <v>41</v>
      </c>
      <c r="L702" s="3">
        <v>45652</v>
      </c>
      <c r="M702" t="s">
        <v>20</v>
      </c>
      <c r="N702" s="4">
        <v>13</v>
      </c>
      <c r="O702" t="str" cm="1">
        <f t="array" ref="O70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702" t="s">
        <v>845</v>
      </c>
      <c r="Q702" t="s">
        <v>2927</v>
      </c>
      <c r="R702" s="5">
        <v>31.82</v>
      </c>
      <c r="S702" s="5">
        <v>10.68</v>
      </c>
    </row>
    <row r="703" spans="1:19" x14ac:dyDescent="0.25">
      <c r="A703" t="s">
        <v>2213</v>
      </c>
      <c r="B703" t="s">
        <v>2214</v>
      </c>
      <c r="C703" s="1">
        <v>44957</v>
      </c>
      <c r="D703" t="s">
        <v>16</v>
      </c>
      <c r="E703" t="s">
        <v>25</v>
      </c>
      <c r="F703">
        <v>29</v>
      </c>
      <c r="G703" t="s">
        <v>2215</v>
      </c>
      <c r="H703">
        <v>1</v>
      </c>
      <c r="I703">
        <v>34.090000000000003</v>
      </c>
      <c r="J703">
        <v>7.99</v>
      </c>
      <c r="K703" t="s">
        <v>19</v>
      </c>
      <c r="L703" s="3">
        <v>44957</v>
      </c>
      <c r="M703" t="s">
        <v>20</v>
      </c>
      <c r="N703" s="4">
        <v>29</v>
      </c>
      <c r="O703" t="str" cm="1">
        <f t="array" ref="O70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03" t="s">
        <v>2215</v>
      </c>
      <c r="Q703" t="s">
        <v>2926</v>
      </c>
      <c r="R703" s="5">
        <v>34.090000000000003</v>
      </c>
      <c r="S703" s="5">
        <v>7.99</v>
      </c>
    </row>
    <row r="704" spans="1:19" x14ac:dyDescent="0.25">
      <c r="A704" t="s">
        <v>2216</v>
      </c>
      <c r="B704" t="s">
        <v>1429</v>
      </c>
      <c r="C704" s="3">
        <v>44937</v>
      </c>
      <c r="D704" t="s">
        <v>129</v>
      </c>
      <c r="E704" t="s">
        <v>31</v>
      </c>
      <c r="F704">
        <v>26</v>
      </c>
      <c r="G704" t="s">
        <v>2217</v>
      </c>
      <c r="H704">
        <v>2</v>
      </c>
      <c r="I704" s="2">
        <v>24.2</v>
      </c>
      <c r="J704">
        <v>9.86</v>
      </c>
      <c r="K704" t="s">
        <v>19</v>
      </c>
      <c r="L704" s="3">
        <v>44937</v>
      </c>
      <c r="M704" t="s">
        <v>34</v>
      </c>
      <c r="N704" s="4">
        <v>26</v>
      </c>
      <c r="O704" t="str" cm="1">
        <f t="array" ref="O70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04" t="s">
        <v>2971</v>
      </c>
      <c r="Q704" t="s">
        <v>2929</v>
      </c>
      <c r="R704" s="5">
        <v>24.2</v>
      </c>
      <c r="S704" s="5">
        <v>9.86</v>
      </c>
    </row>
    <row r="705" spans="1:19" x14ac:dyDescent="0.25">
      <c r="A705" t="s">
        <v>2218</v>
      </c>
      <c r="B705" t="s">
        <v>2219</v>
      </c>
      <c r="C705" s="1">
        <v>45233</v>
      </c>
      <c r="D705" t="s">
        <v>30</v>
      </c>
      <c r="E705" t="s">
        <v>85</v>
      </c>
      <c r="F705">
        <v>72</v>
      </c>
      <c r="G705" t="s">
        <v>1111</v>
      </c>
      <c r="H705">
        <v>1</v>
      </c>
      <c r="I705" t="s">
        <v>2220</v>
      </c>
      <c r="J705">
        <v>22.68</v>
      </c>
      <c r="K705" t="s">
        <v>19</v>
      </c>
      <c r="L705" s="3">
        <v>45233</v>
      </c>
      <c r="M705" t="s">
        <v>34</v>
      </c>
      <c r="N705" s="4">
        <v>72</v>
      </c>
      <c r="O705" t="str" cm="1">
        <f t="array" ref="O70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05" t="s">
        <v>1111</v>
      </c>
      <c r="Q705" t="s">
        <v>2926</v>
      </c>
      <c r="R705" s="5">
        <v>39.49</v>
      </c>
      <c r="S705" s="5">
        <v>22.68</v>
      </c>
    </row>
    <row r="706" spans="1:19" x14ac:dyDescent="0.25">
      <c r="A706" t="s">
        <v>2221</v>
      </c>
      <c r="B706" t="s">
        <v>2222</v>
      </c>
      <c r="C706" t="s">
        <v>1297</v>
      </c>
      <c r="D706" t="s">
        <v>129</v>
      </c>
      <c r="E706" t="s">
        <v>31</v>
      </c>
      <c r="F706">
        <v>29</v>
      </c>
      <c r="G706" t="s">
        <v>2223</v>
      </c>
      <c r="H706">
        <v>1</v>
      </c>
      <c r="I706">
        <v>17.52</v>
      </c>
      <c r="J706">
        <v>6</v>
      </c>
      <c r="K706" t="s">
        <v>19</v>
      </c>
      <c r="L706" s="3">
        <v>45654</v>
      </c>
      <c r="M706" t="s">
        <v>34</v>
      </c>
      <c r="N706" s="4">
        <v>29</v>
      </c>
      <c r="O706" t="str" cm="1">
        <f t="array" ref="O70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06" t="s">
        <v>2972</v>
      </c>
      <c r="Q706" t="s">
        <v>2930</v>
      </c>
      <c r="R706" s="5">
        <v>17.52</v>
      </c>
      <c r="S706" s="5">
        <v>6</v>
      </c>
    </row>
    <row r="707" spans="1:19" x14ac:dyDescent="0.25">
      <c r="A707" t="s">
        <v>2224</v>
      </c>
      <c r="B707" t="s">
        <v>1457</v>
      </c>
      <c r="C707" s="1">
        <v>45412</v>
      </c>
      <c r="D707" t="s">
        <v>24</v>
      </c>
      <c r="E707" t="s">
        <v>85</v>
      </c>
      <c r="F707">
        <v>59</v>
      </c>
      <c r="G707" t="s">
        <v>2225</v>
      </c>
      <c r="H707">
        <v>1</v>
      </c>
      <c r="I707">
        <v>4.46</v>
      </c>
      <c r="J707" t="s">
        <v>205</v>
      </c>
      <c r="K707" t="s">
        <v>19</v>
      </c>
      <c r="L707" s="3">
        <v>45412</v>
      </c>
      <c r="M707" t="s">
        <v>34</v>
      </c>
      <c r="N707" s="4">
        <v>59</v>
      </c>
      <c r="O707" t="str" cm="1">
        <f t="array" ref="O70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07" t="s">
        <v>2225</v>
      </c>
      <c r="Q707" t="s">
        <v>2931</v>
      </c>
      <c r="R707" s="5">
        <v>4.46</v>
      </c>
      <c r="S707" s="5"/>
    </row>
    <row r="708" spans="1:19" x14ac:dyDescent="0.25">
      <c r="A708" t="s">
        <v>1390</v>
      </c>
      <c r="B708" t="s">
        <v>2226</v>
      </c>
      <c r="C708" s="3">
        <v>44979</v>
      </c>
      <c r="D708" t="s">
        <v>24</v>
      </c>
      <c r="E708" t="s">
        <v>31</v>
      </c>
      <c r="F708">
        <v>27</v>
      </c>
      <c r="G708" t="s">
        <v>1550</v>
      </c>
      <c r="H708">
        <v>2</v>
      </c>
      <c r="I708" t="s">
        <v>1393</v>
      </c>
      <c r="J708" s="2">
        <v>11.17</v>
      </c>
      <c r="K708" t="s">
        <v>19</v>
      </c>
      <c r="L708" s="3">
        <v>44979</v>
      </c>
      <c r="M708" t="s">
        <v>34</v>
      </c>
      <c r="N708" s="4">
        <v>27</v>
      </c>
      <c r="O708" t="str" cm="1">
        <f t="array" ref="O70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08" t="s">
        <v>1550</v>
      </c>
      <c r="Q708" t="s">
        <v>2925</v>
      </c>
      <c r="R708" s="5">
        <v>30.26</v>
      </c>
      <c r="S708" s="5">
        <v>11.17</v>
      </c>
    </row>
    <row r="709" spans="1:19" x14ac:dyDescent="0.25">
      <c r="A709" t="s">
        <v>2227</v>
      </c>
      <c r="B709" t="s">
        <v>487</v>
      </c>
      <c r="C709" s="1">
        <v>45157</v>
      </c>
      <c r="D709" t="s">
        <v>24</v>
      </c>
      <c r="E709" t="s">
        <v>65</v>
      </c>
      <c r="F709">
        <v>20</v>
      </c>
      <c r="G709" t="s">
        <v>2228</v>
      </c>
      <c r="H709">
        <v>1</v>
      </c>
      <c r="I709">
        <v>19.68</v>
      </c>
      <c r="J709">
        <v>8.81</v>
      </c>
      <c r="K709" t="s">
        <v>19</v>
      </c>
      <c r="L709" s="3">
        <v>45157</v>
      </c>
      <c r="M709" t="s">
        <v>48</v>
      </c>
      <c r="N709" s="4">
        <v>20</v>
      </c>
      <c r="O709" t="str" cm="1">
        <f t="array" ref="O70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09" t="s">
        <v>2228</v>
      </c>
      <c r="Q709" t="s">
        <v>2927</v>
      </c>
      <c r="R709" s="5">
        <v>19.68</v>
      </c>
      <c r="S709" s="5">
        <v>8.81</v>
      </c>
    </row>
    <row r="710" spans="1:19" x14ac:dyDescent="0.25">
      <c r="A710" t="s">
        <v>2229</v>
      </c>
      <c r="B710" t="s">
        <v>1074</v>
      </c>
      <c r="C710" t="s">
        <v>2230</v>
      </c>
      <c r="D710" t="s">
        <v>51</v>
      </c>
      <c r="E710" t="s">
        <v>31</v>
      </c>
      <c r="F710">
        <v>19</v>
      </c>
      <c r="G710" t="s">
        <v>2231</v>
      </c>
      <c r="H710">
        <v>1</v>
      </c>
      <c r="I710" t="s">
        <v>2232</v>
      </c>
      <c r="J710">
        <v>11.27</v>
      </c>
      <c r="K710" t="s">
        <v>41</v>
      </c>
      <c r="L710" s="3">
        <v>45211</v>
      </c>
      <c r="M710" t="s">
        <v>34</v>
      </c>
      <c r="N710" s="4">
        <v>19</v>
      </c>
      <c r="O710" t="str" cm="1">
        <f t="array" ref="O71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10" t="s">
        <v>2231</v>
      </c>
      <c r="Q710" t="s">
        <v>2926</v>
      </c>
      <c r="R710" s="5">
        <v>18.62</v>
      </c>
      <c r="S710" s="5">
        <v>11.27</v>
      </c>
    </row>
    <row r="711" spans="1:19" x14ac:dyDescent="0.25">
      <c r="A711" t="s">
        <v>2233</v>
      </c>
      <c r="B711" t="s">
        <v>1130</v>
      </c>
      <c r="C711" s="1">
        <v>45321</v>
      </c>
      <c r="D711" t="s">
        <v>24</v>
      </c>
      <c r="E711" t="s">
        <v>70</v>
      </c>
      <c r="F711">
        <v>70</v>
      </c>
      <c r="G711" t="s">
        <v>2234</v>
      </c>
      <c r="H711">
        <v>1</v>
      </c>
      <c r="I711">
        <v>8.1999999999999993</v>
      </c>
      <c r="J711">
        <v>4.2699999999999996</v>
      </c>
      <c r="K711" t="s">
        <v>19</v>
      </c>
      <c r="L711" s="3">
        <v>45321</v>
      </c>
      <c r="M711" t="s">
        <v>20</v>
      </c>
      <c r="N711" s="4">
        <v>70</v>
      </c>
      <c r="O711" t="str" cm="1">
        <f t="array" ref="O71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11" t="s">
        <v>627</v>
      </c>
      <c r="Q711" t="s">
        <v>2926</v>
      </c>
      <c r="R711" s="5">
        <v>8.1999999999999993</v>
      </c>
      <c r="S711" s="5">
        <v>4.2699999999999996</v>
      </c>
    </row>
    <row r="712" spans="1:19" x14ac:dyDescent="0.25">
      <c r="A712" t="s">
        <v>2235</v>
      </c>
      <c r="B712" t="s">
        <v>405</v>
      </c>
      <c r="C712" s="1">
        <v>45115</v>
      </c>
      <c r="D712" t="s">
        <v>51</v>
      </c>
      <c r="E712" t="s">
        <v>45</v>
      </c>
      <c r="F712">
        <v>47</v>
      </c>
      <c r="G712" t="s">
        <v>2236</v>
      </c>
      <c r="H712">
        <v>1</v>
      </c>
      <c r="I712">
        <v>12.78</v>
      </c>
      <c r="J712">
        <v>2.81</v>
      </c>
      <c r="K712" t="s">
        <v>41</v>
      </c>
      <c r="L712" s="3">
        <v>45115</v>
      </c>
      <c r="M712" t="s">
        <v>48</v>
      </c>
      <c r="N712" s="4">
        <v>47</v>
      </c>
      <c r="O712" t="str" cm="1">
        <f t="array" ref="O71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12" t="s">
        <v>2236</v>
      </c>
      <c r="Q712" t="s">
        <v>2964</v>
      </c>
      <c r="R712" s="5">
        <v>12.78</v>
      </c>
      <c r="S712" s="5">
        <v>2.81</v>
      </c>
    </row>
    <row r="713" spans="1:19" x14ac:dyDescent="0.25">
      <c r="A713" t="s">
        <v>2237</v>
      </c>
      <c r="B713" t="s">
        <v>1344</v>
      </c>
      <c r="C713" s="3">
        <v>45239</v>
      </c>
      <c r="D713" t="s">
        <v>51</v>
      </c>
      <c r="E713" t="s">
        <v>60</v>
      </c>
      <c r="F713">
        <v>57</v>
      </c>
      <c r="G713" t="s">
        <v>1324</v>
      </c>
      <c r="H713">
        <v>2</v>
      </c>
      <c r="I713" s="2">
        <v>31.72</v>
      </c>
      <c r="J713" t="s">
        <v>2238</v>
      </c>
      <c r="K713" t="s">
        <v>19</v>
      </c>
      <c r="L713" s="3">
        <v>45239</v>
      </c>
      <c r="M713" t="s">
        <v>48</v>
      </c>
      <c r="N713" s="4">
        <v>57</v>
      </c>
      <c r="O713" t="str" cm="1">
        <f t="array" ref="O71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13" t="s">
        <v>1324</v>
      </c>
      <c r="Q713" t="s">
        <v>2926</v>
      </c>
      <c r="R713" s="5">
        <v>31.72</v>
      </c>
      <c r="S713" s="5">
        <v>13.73</v>
      </c>
    </row>
    <row r="714" spans="1:19" x14ac:dyDescent="0.25">
      <c r="A714" t="s">
        <v>2239</v>
      </c>
      <c r="B714" t="s">
        <v>339</v>
      </c>
      <c r="C714" s="1">
        <v>45322</v>
      </c>
      <c r="D714" t="s">
        <v>16</v>
      </c>
      <c r="E714" t="s">
        <v>70</v>
      </c>
      <c r="F714">
        <v>40</v>
      </c>
      <c r="G714" t="s">
        <v>1442</v>
      </c>
      <c r="H714">
        <v>2</v>
      </c>
      <c r="I714" t="s">
        <v>2240</v>
      </c>
      <c r="J714" t="s">
        <v>2241</v>
      </c>
      <c r="K714" t="s">
        <v>41</v>
      </c>
      <c r="L714" s="3">
        <v>45322</v>
      </c>
      <c r="M714" t="s">
        <v>20</v>
      </c>
      <c r="N714" s="4">
        <v>40</v>
      </c>
      <c r="O714" t="str" cm="1">
        <f t="array" ref="O71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14" t="s">
        <v>1442</v>
      </c>
      <c r="Q714" t="s">
        <v>2927</v>
      </c>
      <c r="R714" s="5">
        <v>21.39</v>
      </c>
      <c r="S714" s="5">
        <v>9.52</v>
      </c>
    </row>
    <row r="715" spans="1:19" x14ac:dyDescent="0.25">
      <c r="A715" t="s">
        <v>2242</v>
      </c>
      <c r="B715" t="s">
        <v>896</v>
      </c>
      <c r="C715" t="s">
        <v>2243</v>
      </c>
      <c r="D715" t="s">
        <v>16</v>
      </c>
      <c r="E715" t="s">
        <v>31</v>
      </c>
      <c r="F715">
        <v>18</v>
      </c>
      <c r="G715" t="s">
        <v>2244</v>
      </c>
      <c r="H715">
        <v>-2</v>
      </c>
      <c r="I715">
        <v>-35.76</v>
      </c>
      <c r="J715">
        <v>-17.850000000000001</v>
      </c>
      <c r="K715" t="s">
        <v>41</v>
      </c>
      <c r="L715" s="3">
        <v>45286</v>
      </c>
      <c r="M715" t="s">
        <v>34</v>
      </c>
      <c r="N715" s="4">
        <v>18</v>
      </c>
      <c r="O715" t="str" cm="1">
        <f t="array" ref="O71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15" t="s">
        <v>2244</v>
      </c>
      <c r="Q715" t="s">
        <v>2926</v>
      </c>
      <c r="R715" s="5">
        <v>-35.76</v>
      </c>
      <c r="S715" s="5">
        <v>-17.850000000000001</v>
      </c>
    </row>
    <row r="716" spans="1:19" x14ac:dyDescent="0.25">
      <c r="A716" t="s">
        <v>2245</v>
      </c>
      <c r="B716" t="s">
        <v>1367</v>
      </c>
      <c r="C716" t="s">
        <v>669</v>
      </c>
      <c r="D716" t="s">
        <v>24</v>
      </c>
      <c r="E716" t="s">
        <v>25</v>
      </c>
      <c r="F716">
        <v>16</v>
      </c>
      <c r="G716" t="s">
        <v>1462</v>
      </c>
      <c r="H716">
        <v>3</v>
      </c>
      <c r="I716">
        <v>32.47</v>
      </c>
      <c r="J716" s="2">
        <v>22.08</v>
      </c>
      <c r="K716" t="s">
        <v>41</v>
      </c>
      <c r="L716" s="3">
        <v>44982</v>
      </c>
      <c r="M716" t="s">
        <v>20</v>
      </c>
      <c r="N716" s="4">
        <v>16</v>
      </c>
      <c r="O716" t="str" cm="1">
        <f t="array" ref="O71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716" t="s">
        <v>1462</v>
      </c>
      <c r="Q716" t="s">
        <v>2926</v>
      </c>
      <c r="R716" s="5">
        <v>32.47</v>
      </c>
      <c r="S716" s="5">
        <v>22.08</v>
      </c>
    </row>
    <row r="717" spans="1:19" x14ac:dyDescent="0.25">
      <c r="A717" t="s">
        <v>2246</v>
      </c>
      <c r="B717" t="s">
        <v>2247</v>
      </c>
      <c r="C717" s="1">
        <v>45262</v>
      </c>
      <c r="D717" t="s">
        <v>51</v>
      </c>
      <c r="E717" t="s">
        <v>65</v>
      </c>
      <c r="F717">
        <v>60</v>
      </c>
      <c r="G717" t="s">
        <v>209</v>
      </c>
      <c r="H717">
        <v>1</v>
      </c>
      <c r="I717">
        <v>24.11</v>
      </c>
      <c r="J717">
        <v>16.39</v>
      </c>
      <c r="K717" t="s">
        <v>41</v>
      </c>
      <c r="L717" s="3">
        <v>45262</v>
      </c>
      <c r="M717" t="s">
        <v>48</v>
      </c>
      <c r="N717" s="4">
        <v>60</v>
      </c>
      <c r="O717" t="str" cm="1">
        <f t="array" ref="O71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17" t="s">
        <v>1019</v>
      </c>
      <c r="Q717" t="s">
        <v>2926</v>
      </c>
      <c r="R717" s="5">
        <v>24.11</v>
      </c>
      <c r="S717" s="5">
        <v>16.39</v>
      </c>
    </row>
    <row r="718" spans="1:19" x14ac:dyDescent="0.25">
      <c r="A718" t="s">
        <v>2248</v>
      </c>
      <c r="B718" t="s">
        <v>1311</v>
      </c>
      <c r="C718" s="1">
        <v>44992</v>
      </c>
      <c r="D718" t="s">
        <v>129</v>
      </c>
      <c r="E718" t="s">
        <v>85</v>
      </c>
      <c r="F718">
        <v>33</v>
      </c>
      <c r="G718" t="s">
        <v>2249</v>
      </c>
      <c r="H718">
        <v>1</v>
      </c>
      <c r="I718" s="2">
        <v>13.06</v>
      </c>
      <c r="J718" t="s">
        <v>2250</v>
      </c>
      <c r="K718" t="s">
        <v>19</v>
      </c>
      <c r="L718" s="3">
        <v>44992</v>
      </c>
      <c r="M718" t="s">
        <v>34</v>
      </c>
      <c r="N718" s="4">
        <v>33</v>
      </c>
      <c r="O718" t="str" cm="1">
        <f t="array" ref="O71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18" t="s">
        <v>2249</v>
      </c>
      <c r="Q718" t="s">
        <v>2926</v>
      </c>
      <c r="R718" s="5">
        <v>13.06</v>
      </c>
      <c r="S718" s="5">
        <v>4.17</v>
      </c>
    </row>
    <row r="719" spans="1:19" x14ac:dyDescent="0.25">
      <c r="A719" t="s">
        <v>2251</v>
      </c>
      <c r="B719" t="s">
        <v>249</v>
      </c>
      <c r="C719" s="3">
        <v>45203</v>
      </c>
      <c r="D719" t="s">
        <v>16</v>
      </c>
      <c r="E719" t="s">
        <v>38</v>
      </c>
      <c r="F719">
        <v>38</v>
      </c>
      <c r="G719" t="s">
        <v>2252</v>
      </c>
      <c r="H719">
        <v>1</v>
      </c>
      <c r="I719" t="s">
        <v>2253</v>
      </c>
      <c r="J719" t="s">
        <v>2254</v>
      </c>
      <c r="K719" t="s">
        <v>19</v>
      </c>
      <c r="L719" s="3">
        <v>45203</v>
      </c>
      <c r="M719" t="s">
        <v>34</v>
      </c>
      <c r="N719" s="4">
        <v>38</v>
      </c>
      <c r="O719" t="str" cm="1">
        <f t="array" ref="O71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19" t="s">
        <v>2252</v>
      </c>
      <c r="Q719" t="s">
        <v>2927</v>
      </c>
      <c r="R719" s="5">
        <v>28.27</v>
      </c>
      <c r="S719" s="5">
        <v>12.52</v>
      </c>
    </row>
    <row r="720" spans="1:19" x14ac:dyDescent="0.25">
      <c r="A720" t="s">
        <v>2255</v>
      </c>
      <c r="B720" t="s">
        <v>2256</v>
      </c>
      <c r="C720" s="1">
        <v>45139</v>
      </c>
      <c r="D720" t="s">
        <v>30</v>
      </c>
      <c r="E720" t="s">
        <v>65</v>
      </c>
      <c r="F720">
        <v>24</v>
      </c>
      <c r="G720" t="s">
        <v>2257</v>
      </c>
      <c r="H720">
        <v>2</v>
      </c>
      <c r="I720" s="2">
        <v>24.78</v>
      </c>
      <c r="J720" t="s">
        <v>2258</v>
      </c>
      <c r="K720" t="s">
        <v>41</v>
      </c>
      <c r="L720" s="3">
        <v>45139</v>
      </c>
      <c r="M720" t="s">
        <v>48</v>
      </c>
      <c r="N720" s="4">
        <v>24</v>
      </c>
      <c r="O720" t="str" cm="1">
        <f t="array" ref="O72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20" t="s">
        <v>2257</v>
      </c>
      <c r="Q720" t="s">
        <v>2927</v>
      </c>
      <c r="R720" s="5">
        <v>24.78</v>
      </c>
      <c r="S720" s="5">
        <v>13.4</v>
      </c>
    </row>
    <row r="721" spans="1:19" x14ac:dyDescent="0.25">
      <c r="A721" t="s">
        <v>2259</v>
      </c>
      <c r="B721" t="s">
        <v>450</v>
      </c>
      <c r="C721" s="3">
        <v>45246</v>
      </c>
      <c r="D721" t="s">
        <v>16</v>
      </c>
      <c r="E721" t="s">
        <v>38</v>
      </c>
      <c r="F721">
        <v>13</v>
      </c>
      <c r="G721" t="s">
        <v>2260</v>
      </c>
      <c r="H721">
        <v>1</v>
      </c>
      <c r="I721">
        <v>36.47</v>
      </c>
      <c r="J721">
        <v>12.82</v>
      </c>
      <c r="K721" t="s">
        <v>19</v>
      </c>
      <c r="L721" s="3">
        <v>45246</v>
      </c>
      <c r="M721" t="s">
        <v>34</v>
      </c>
      <c r="N721" s="4">
        <v>13</v>
      </c>
      <c r="O721" t="str" cm="1">
        <f t="array" ref="O72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721" t="s">
        <v>2260</v>
      </c>
      <c r="Q721" t="s">
        <v>2926</v>
      </c>
      <c r="R721" s="5">
        <v>36.47</v>
      </c>
      <c r="S721" s="5">
        <v>12.82</v>
      </c>
    </row>
    <row r="722" spans="1:19" x14ac:dyDescent="0.25">
      <c r="A722" t="s">
        <v>1211</v>
      </c>
      <c r="B722" t="s">
        <v>1212</v>
      </c>
      <c r="C722" t="s">
        <v>1213</v>
      </c>
      <c r="D722" t="s">
        <v>16</v>
      </c>
      <c r="E722" t="s">
        <v>45</v>
      </c>
      <c r="F722">
        <v>61</v>
      </c>
      <c r="G722" t="s">
        <v>1214</v>
      </c>
      <c r="H722">
        <v>4</v>
      </c>
      <c r="I722">
        <v>22.26</v>
      </c>
      <c r="J722">
        <v>9.26</v>
      </c>
      <c r="K722" t="s">
        <v>41</v>
      </c>
      <c r="L722" s="3">
        <v>45028</v>
      </c>
      <c r="M722" t="s">
        <v>48</v>
      </c>
      <c r="N722" s="4">
        <v>61</v>
      </c>
      <c r="O722" t="str" cm="1">
        <f t="array" ref="O72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22" t="s">
        <v>1214</v>
      </c>
      <c r="Q722" t="s">
        <v>2931</v>
      </c>
      <c r="R722" s="5">
        <v>22.26</v>
      </c>
      <c r="S722" s="5">
        <v>9.26</v>
      </c>
    </row>
    <row r="723" spans="1:19" x14ac:dyDescent="0.25">
      <c r="A723" t="s">
        <v>2261</v>
      </c>
      <c r="B723" t="s">
        <v>1066</v>
      </c>
      <c r="C723" t="s">
        <v>788</v>
      </c>
      <c r="D723" t="s">
        <v>30</v>
      </c>
      <c r="E723" t="s">
        <v>85</v>
      </c>
      <c r="F723">
        <v>56</v>
      </c>
      <c r="G723" t="s">
        <v>2262</v>
      </c>
      <c r="H723">
        <v>1</v>
      </c>
      <c r="I723">
        <v>25.07</v>
      </c>
      <c r="J723">
        <v>12.33</v>
      </c>
      <c r="K723" t="s">
        <v>19</v>
      </c>
      <c r="L723" s="3">
        <v>44969</v>
      </c>
      <c r="M723" t="s">
        <v>34</v>
      </c>
      <c r="N723" s="4">
        <v>56</v>
      </c>
      <c r="O723" t="str" cm="1">
        <f t="array" ref="O72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23" t="s">
        <v>2756</v>
      </c>
      <c r="Q723" t="s">
        <v>2927</v>
      </c>
      <c r="R723" s="5">
        <v>25.07</v>
      </c>
      <c r="S723" s="5">
        <v>12.33</v>
      </c>
    </row>
    <row r="724" spans="1:19" x14ac:dyDescent="0.25">
      <c r="A724" t="s">
        <v>2263</v>
      </c>
      <c r="B724" t="s">
        <v>2264</v>
      </c>
      <c r="C724" s="3">
        <v>44985</v>
      </c>
      <c r="D724" t="s">
        <v>30</v>
      </c>
      <c r="E724" t="s">
        <v>60</v>
      </c>
      <c r="F724">
        <v>75</v>
      </c>
      <c r="G724" t="s">
        <v>2265</v>
      </c>
      <c r="H724">
        <v>1</v>
      </c>
      <c r="I724" s="2">
        <v>35.89</v>
      </c>
      <c r="J724" s="2">
        <v>15.09</v>
      </c>
      <c r="K724" t="s">
        <v>41</v>
      </c>
      <c r="L724" s="3">
        <v>44985</v>
      </c>
      <c r="M724" t="s">
        <v>48</v>
      </c>
      <c r="N724" s="4">
        <v>75</v>
      </c>
      <c r="O724" t="str" cm="1">
        <f t="array" ref="O72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24" t="s">
        <v>2265</v>
      </c>
      <c r="Q724" t="s">
        <v>2925</v>
      </c>
      <c r="R724" s="5">
        <v>35.89</v>
      </c>
      <c r="S724" s="5">
        <v>15.09</v>
      </c>
    </row>
    <row r="725" spans="1:19" x14ac:dyDescent="0.25">
      <c r="A725" t="s">
        <v>2266</v>
      </c>
      <c r="B725" t="s">
        <v>1059</v>
      </c>
      <c r="C725" s="1">
        <v>45483</v>
      </c>
      <c r="D725" t="s">
        <v>51</v>
      </c>
      <c r="E725" t="s">
        <v>48</v>
      </c>
      <c r="F725">
        <v>31</v>
      </c>
      <c r="G725" t="s">
        <v>1111</v>
      </c>
      <c r="H725">
        <v>1</v>
      </c>
      <c r="I725" s="2">
        <v>37.53</v>
      </c>
      <c r="J725">
        <v>15.25</v>
      </c>
      <c r="K725" t="s">
        <v>19</v>
      </c>
      <c r="L725" s="3">
        <v>45483</v>
      </c>
      <c r="M725" t="s">
        <v>48</v>
      </c>
      <c r="N725" s="4">
        <v>31</v>
      </c>
      <c r="O725" t="str" cm="1">
        <f t="array" ref="O72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25" t="s">
        <v>1111</v>
      </c>
      <c r="Q725" t="s">
        <v>2926</v>
      </c>
      <c r="R725" s="5">
        <v>37.53</v>
      </c>
      <c r="S725" s="5">
        <v>15.25</v>
      </c>
    </row>
    <row r="726" spans="1:19" x14ac:dyDescent="0.25">
      <c r="A726" t="s">
        <v>2267</v>
      </c>
      <c r="B726" t="s">
        <v>941</v>
      </c>
      <c r="C726" s="1">
        <v>44937</v>
      </c>
      <c r="D726" t="s">
        <v>16</v>
      </c>
      <c r="E726" t="s">
        <v>25</v>
      </c>
      <c r="F726">
        <v>43</v>
      </c>
      <c r="G726" t="s">
        <v>2268</v>
      </c>
      <c r="H726">
        <v>4</v>
      </c>
      <c r="I726">
        <v>160.38</v>
      </c>
      <c r="J726" t="s">
        <v>2269</v>
      </c>
      <c r="K726" t="s">
        <v>19</v>
      </c>
      <c r="L726" s="3">
        <v>44937</v>
      </c>
      <c r="M726" t="s">
        <v>20</v>
      </c>
      <c r="N726" s="4">
        <v>43</v>
      </c>
      <c r="O726" t="str" cm="1">
        <f t="array" ref="O72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26" t="s">
        <v>2973</v>
      </c>
      <c r="Q726" t="s">
        <v>2929</v>
      </c>
      <c r="R726" s="5">
        <v>160.38</v>
      </c>
      <c r="S726" s="5">
        <v>62.14</v>
      </c>
    </row>
    <row r="727" spans="1:19" x14ac:dyDescent="0.25">
      <c r="A727" t="s">
        <v>2270</v>
      </c>
      <c r="B727" t="s">
        <v>1030</v>
      </c>
      <c r="C727" t="s">
        <v>2271</v>
      </c>
      <c r="D727" t="s">
        <v>16</v>
      </c>
      <c r="E727" t="s">
        <v>60</v>
      </c>
      <c r="F727">
        <v>27</v>
      </c>
      <c r="G727" t="s">
        <v>2272</v>
      </c>
      <c r="H727">
        <v>1</v>
      </c>
      <c r="I727">
        <v>17.690000000000001</v>
      </c>
      <c r="J727">
        <v>4.34</v>
      </c>
      <c r="K727" t="s">
        <v>41</v>
      </c>
      <c r="L727" s="3">
        <v>45205</v>
      </c>
      <c r="M727" t="s">
        <v>48</v>
      </c>
      <c r="N727" s="4">
        <v>27</v>
      </c>
      <c r="O727" t="str" cm="1">
        <f t="array" ref="O72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27" t="s">
        <v>2272</v>
      </c>
      <c r="Q727" t="s">
        <v>2926</v>
      </c>
      <c r="R727" s="5">
        <v>17.690000000000001</v>
      </c>
      <c r="S727" s="5">
        <v>4.34</v>
      </c>
    </row>
    <row r="728" spans="1:19" x14ac:dyDescent="0.25">
      <c r="A728" t="s">
        <v>2273</v>
      </c>
      <c r="B728" t="s">
        <v>374</v>
      </c>
      <c r="C728" t="s">
        <v>2274</v>
      </c>
      <c r="D728" t="s">
        <v>129</v>
      </c>
      <c r="E728" t="s">
        <v>65</v>
      </c>
      <c r="F728">
        <v>42</v>
      </c>
      <c r="G728" t="s">
        <v>1790</v>
      </c>
      <c r="H728">
        <v>1</v>
      </c>
      <c r="I728">
        <v>13.5</v>
      </c>
      <c r="J728" s="2">
        <v>5.44</v>
      </c>
      <c r="K728" t="s">
        <v>19</v>
      </c>
      <c r="L728" s="3">
        <v>45203</v>
      </c>
      <c r="M728" t="s">
        <v>48</v>
      </c>
      <c r="N728" s="4">
        <v>42</v>
      </c>
      <c r="O728" t="str" cm="1">
        <f t="array" ref="O72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28" t="s">
        <v>1790</v>
      </c>
      <c r="Q728" t="s">
        <v>2926</v>
      </c>
      <c r="R728" s="5">
        <v>13.5</v>
      </c>
      <c r="S728" s="5">
        <v>5.44</v>
      </c>
    </row>
    <row r="729" spans="1:19" x14ac:dyDescent="0.25">
      <c r="A729" t="s">
        <v>2275</v>
      </c>
      <c r="B729" t="s">
        <v>143</v>
      </c>
      <c r="C729" s="1">
        <v>45647</v>
      </c>
      <c r="D729" t="s">
        <v>24</v>
      </c>
      <c r="E729" t="s">
        <v>85</v>
      </c>
      <c r="F729">
        <v>66</v>
      </c>
      <c r="G729" t="s">
        <v>2276</v>
      </c>
      <c r="H729">
        <v>2</v>
      </c>
      <c r="I729" s="2">
        <v>66.44</v>
      </c>
      <c r="J729">
        <v>22.05</v>
      </c>
      <c r="K729" t="s">
        <v>19</v>
      </c>
      <c r="L729" s="3">
        <v>45647</v>
      </c>
      <c r="M729" t="s">
        <v>34</v>
      </c>
      <c r="N729" s="4">
        <v>66</v>
      </c>
      <c r="O729" t="str" cm="1">
        <f t="array" ref="O72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29" t="s">
        <v>2276</v>
      </c>
      <c r="Q729" t="s">
        <v>2927</v>
      </c>
      <c r="R729" s="5">
        <v>66.44</v>
      </c>
      <c r="S729" s="5">
        <v>22.05</v>
      </c>
    </row>
    <row r="730" spans="1:19" x14ac:dyDescent="0.25">
      <c r="A730" t="s">
        <v>2277</v>
      </c>
      <c r="B730" t="s">
        <v>625</v>
      </c>
      <c r="C730" s="1">
        <v>45107</v>
      </c>
      <c r="D730" t="s">
        <v>16</v>
      </c>
      <c r="E730" t="s">
        <v>70</v>
      </c>
      <c r="F730">
        <v>32</v>
      </c>
      <c r="G730" t="s">
        <v>1277</v>
      </c>
      <c r="H730">
        <v>1</v>
      </c>
      <c r="I730">
        <v>18.46</v>
      </c>
      <c r="J730" s="2">
        <v>9.26</v>
      </c>
      <c r="K730" t="s">
        <v>19</v>
      </c>
      <c r="L730" s="3">
        <v>45107</v>
      </c>
      <c r="M730" t="s">
        <v>20</v>
      </c>
      <c r="N730" s="4">
        <v>32</v>
      </c>
      <c r="O730" t="str" cm="1">
        <f t="array" ref="O73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30" t="s">
        <v>1277</v>
      </c>
      <c r="Q730" t="s">
        <v>2927</v>
      </c>
      <c r="R730" s="5">
        <v>18.46</v>
      </c>
      <c r="S730" s="5">
        <v>9.26</v>
      </c>
    </row>
    <row r="731" spans="1:19" x14ac:dyDescent="0.25">
      <c r="A731" t="s">
        <v>2278</v>
      </c>
      <c r="B731" t="s">
        <v>1062</v>
      </c>
      <c r="C731" s="3">
        <v>44985</v>
      </c>
      <c r="D731" t="s">
        <v>51</v>
      </c>
      <c r="E731" t="s">
        <v>45</v>
      </c>
      <c r="F731">
        <v>18</v>
      </c>
      <c r="G731" t="s">
        <v>2279</v>
      </c>
      <c r="H731">
        <v>2</v>
      </c>
      <c r="I731" s="2">
        <v>128.47999999999999</v>
      </c>
      <c r="J731">
        <v>42.77</v>
      </c>
      <c r="K731" t="s">
        <v>19</v>
      </c>
      <c r="L731" s="3">
        <v>44985</v>
      </c>
      <c r="M731" t="s">
        <v>48</v>
      </c>
      <c r="N731" s="4">
        <v>18</v>
      </c>
      <c r="O731" t="str" cm="1">
        <f t="array" ref="O73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31" t="s">
        <v>2279</v>
      </c>
      <c r="Q731" t="s">
        <v>2932</v>
      </c>
      <c r="R731" s="5">
        <v>128.47999999999999</v>
      </c>
      <c r="S731" s="5">
        <v>42.77</v>
      </c>
    </row>
    <row r="732" spans="1:19" x14ac:dyDescent="0.25">
      <c r="A732" t="s">
        <v>2280</v>
      </c>
      <c r="B732" t="s">
        <v>619</v>
      </c>
      <c r="C732" s="3">
        <v>44985</v>
      </c>
      <c r="D732" t="s">
        <v>129</v>
      </c>
      <c r="E732" t="s">
        <v>85</v>
      </c>
      <c r="F732">
        <v>51</v>
      </c>
      <c r="G732" t="s">
        <v>1689</v>
      </c>
      <c r="H732">
        <v>1</v>
      </c>
      <c r="I732" s="2">
        <v>9.25</v>
      </c>
      <c r="J732">
        <v>3.89</v>
      </c>
      <c r="K732" t="s">
        <v>41</v>
      </c>
      <c r="L732" s="3">
        <v>44985</v>
      </c>
      <c r="M732" t="s">
        <v>34</v>
      </c>
      <c r="N732" s="4">
        <v>51</v>
      </c>
      <c r="O732" t="str" cm="1">
        <f t="array" ref="O73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32" t="s">
        <v>1689</v>
      </c>
      <c r="Q732" t="s">
        <v>2927</v>
      </c>
      <c r="R732" s="5">
        <v>9.25</v>
      </c>
      <c r="S732" s="5">
        <v>3.89</v>
      </c>
    </row>
    <row r="733" spans="1:19" x14ac:dyDescent="0.25">
      <c r="A733" t="s">
        <v>2281</v>
      </c>
      <c r="B733" t="s">
        <v>1476</v>
      </c>
      <c r="C733" s="1">
        <v>45563</v>
      </c>
      <c r="D733" t="s">
        <v>51</v>
      </c>
      <c r="E733" t="s">
        <v>65</v>
      </c>
      <c r="F733">
        <v>43</v>
      </c>
      <c r="G733" t="s">
        <v>2282</v>
      </c>
      <c r="H733">
        <v>2</v>
      </c>
      <c r="I733">
        <v>25.69</v>
      </c>
      <c r="J733" t="s">
        <v>2283</v>
      </c>
      <c r="K733" t="s">
        <v>41</v>
      </c>
      <c r="L733" s="3">
        <v>45563</v>
      </c>
      <c r="M733" t="s">
        <v>48</v>
      </c>
      <c r="N733" s="4">
        <v>43</v>
      </c>
      <c r="O733" t="str" cm="1">
        <f t="array" ref="O73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33" t="s">
        <v>2282</v>
      </c>
      <c r="Q733" t="s">
        <v>2939</v>
      </c>
      <c r="R733" s="5">
        <v>25.69</v>
      </c>
      <c r="S733" s="5">
        <v>9.7799999999999994</v>
      </c>
    </row>
    <row r="734" spans="1:19" x14ac:dyDescent="0.25">
      <c r="A734" t="s">
        <v>2284</v>
      </c>
      <c r="B734" t="s">
        <v>1653</v>
      </c>
      <c r="C734" t="s">
        <v>2285</v>
      </c>
      <c r="D734" t="s">
        <v>129</v>
      </c>
      <c r="E734" t="s">
        <v>31</v>
      </c>
      <c r="F734">
        <v>51</v>
      </c>
      <c r="G734" t="s">
        <v>2286</v>
      </c>
      <c r="H734">
        <v>1</v>
      </c>
      <c r="I734">
        <v>13.22</v>
      </c>
      <c r="J734">
        <v>7.32</v>
      </c>
      <c r="K734" t="s">
        <v>41</v>
      </c>
      <c r="L734" s="3">
        <v>45497</v>
      </c>
      <c r="M734" t="s">
        <v>34</v>
      </c>
      <c r="N734" s="4">
        <v>51</v>
      </c>
      <c r="O734" t="str" cm="1">
        <f t="array" ref="O73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34" t="s">
        <v>2286</v>
      </c>
      <c r="Q734" t="s">
        <v>2929</v>
      </c>
      <c r="R734" s="5">
        <v>13.22</v>
      </c>
      <c r="S734" s="5">
        <v>7.32</v>
      </c>
    </row>
    <row r="735" spans="1:19" x14ac:dyDescent="0.25">
      <c r="A735" t="s">
        <v>2287</v>
      </c>
      <c r="B735" t="s">
        <v>121</v>
      </c>
      <c r="C735" t="s">
        <v>1194</v>
      </c>
      <c r="D735" t="s">
        <v>24</v>
      </c>
      <c r="E735" t="s">
        <v>85</v>
      </c>
      <c r="F735">
        <v>50</v>
      </c>
      <c r="G735" t="s">
        <v>2288</v>
      </c>
      <c r="H735">
        <v>2</v>
      </c>
      <c r="I735">
        <v>8.92</v>
      </c>
      <c r="J735" t="s">
        <v>2289</v>
      </c>
      <c r="K735" t="s">
        <v>41</v>
      </c>
      <c r="L735" s="3">
        <v>45086</v>
      </c>
      <c r="M735" t="s">
        <v>34</v>
      </c>
      <c r="N735" s="4">
        <v>50</v>
      </c>
      <c r="O735" t="str" cm="1">
        <f t="array" ref="O73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35" t="s">
        <v>2288</v>
      </c>
      <c r="Q735" t="s">
        <v>2927</v>
      </c>
      <c r="R735" s="5">
        <v>8.92</v>
      </c>
      <c r="S735" s="5">
        <v>2.16</v>
      </c>
    </row>
    <row r="736" spans="1:19" x14ac:dyDescent="0.25">
      <c r="A736" t="s">
        <v>2290</v>
      </c>
      <c r="B736" t="s">
        <v>15</v>
      </c>
      <c r="C736" s="3">
        <v>44987</v>
      </c>
      <c r="D736" t="s">
        <v>16</v>
      </c>
      <c r="E736" t="s">
        <v>38</v>
      </c>
      <c r="F736">
        <v>68</v>
      </c>
      <c r="G736" t="s">
        <v>2291</v>
      </c>
      <c r="H736">
        <v>2</v>
      </c>
      <c r="I736">
        <v>46.53</v>
      </c>
      <c r="J736">
        <v>12.85</v>
      </c>
      <c r="K736" t="s">
        <v>41</v>
      </c>
      <c r="L736" s="3">
        <v>44987</v>
      </c>
      <c r="M736" t="s">
        <v>34</v>
      </c>
      <c r="N736" s="4">
        <v>68</v>
      </c>
      <c r="O736" t="str" cm="1">
        <f t="array" ref="O73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36" t="s">
        <v>2291</v>
      </c>
      <c r="Q736" t="s">
        <v>2927</v>
      </c>
      <c r="R736" s="5">
        <v>46.53</v>
      </c>
      <c r="S736" s="5">
        <v>12.85</v>
      </c>
    </row>
    <row r="737" spans="1:19" x14ac:dyDescent="0.25">
      <c r="A737" t="s">
        <v>2292</v>
      </c>
      <c r="B737" t="s">
        <v>566</v>
      </c>
      <c r="C737" t="s">
        <v>871</v>
      </c>
      <c r="D737" t="s">
        <v>24</v>
      </c>
      <c r="E737" t="s">
        <v>60</v>
      </c>
      <c r="F737">
        <v>25</v>
      </c>
      <c r="G737" t="s">
        <v>574</v>
      </c>
      <c r="H737">
        <v>1</v>
      </c>
      <c r="I737" t="s">
        <v>2238</v>
      </c>
      <c r="J737" s="2">
        <v>4.25</v>
      </c>
      <c r="K737" t="s">
        <v>19</v>
      </c>
      <c r="L737" s="3">
        <v>45578</v>
      </c>
      <c r="M737" t="s">
        <v>48</v>
      </c>
      <c r="N737" s="4">
        <v>25</v>
      </c>
      <c r="O737" t="str" cm="1">
        <f t="array" ref="O73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37" t="s">
        <v>574</v>
      </c>
      <c r="Q737" t="s">
        <v>2926</v>
      </c>
      <c r="R737" s="5">
        <v>13.73</v>
      </c>
      <c r="S737" s="5">
        <v>4.25</v>
      </c>
    </row>
    <row r="738" spans="1:19" x14ac:dyDescent="0.25">
      <c r="A738" t="s">
        <v>2293</v>
      </c>
      <c r="B738" t="s">
        <v>679</v>
      </c>
      <c r="C738" s="1">
        <v>45132</v>
      </c>
      <c r="D738" t="s">
        <v>16</v>
      </c>
      <c r="E738" t="s">
        <v>70</v>
      </c>
      <c r="F738">
        <v>26</v>
      </c>
      <c r="G738" t="s">
        <v>2294</v>
      </c>
      <c r="H738">
        <v>1</v>
      </c>
      <c r="I738" t="s">
        <v>2295</v>
      </c>
      <c r="J738">
        <v>6.82</v>
      </c>
      <c r="K738" t="s">
        <v>41</v>
      </c>
      <c r="L738" s="3">
        <v>45132</v>
      </c>
      <c r="M738" t="s">
        <v>20</v>
      </c>
      <c r="N738" s="4">
        <v>26</v>
      </c>
      <c r="O738" t="str" cm="1">
        <f t="array" ref="O73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38" t="s">
        <v>2294</v>
      </c>
      <c r="Q738" t="s">
        <v>2928</v>
      </c>
      <c r="R738" s="5">
        <v>19.78</v>
      </c>
      <c r="S738" s="5">
        <v>6.82</v>
      </c>
    </row>
    <row r="739" spans="1:19" x14ac:dyDescent="0.25">
      <c r="A739" t="s">
        <v>2296</v>
      </c>
      <c r="B739" t="s">
        <v>981</v>
      </c>
      <c r="C739" t="s">
        <v>2297</v>
      </c>
      <c r="D739" t="s">
        <v>24</v>
      </c>
      <c r="E739" t="s">
        <v>60</v>
      </c>
      <c r="F739">
        <v>20</v>
      </c>
      <c r="G739" t="s">
        <v>1885</v>
      </c>
      <c r="H739">
        <v>2</v>
      </c>
      <c r="I739">
        <v>40.92</v>
      </c>
      <c r="J739">
        <v>19.68</v>
      </c>
      <c r="K739" t="s">
        <v>19</v>
      </c>
      <c r="L739" s="3">
        <v>45002</v>
      </c>
      <c r="M739" t="s">
        <v>48</v>
      </c>
      <c r="N739" s="4">
        <v>20</v>
      </c>
      <c r="O739" t="str" cm="1">
        <f t="array" ref="O73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39" t="s">
        <v>1885</v>
      </c>
      <c r="Q739" t="s">
        <v>2927</v>
      </c>
      <c r="R739" s="5">
        <v>40.92</v>
      </c>
      <c r="S739" s="5">
        <v>19.68</v>
      </c>
    </row>
    <row r="740" spans="1:19" x14ac:dyDescent="0.25">
      <c r="A740" t="s">
        <v>2298</v>
      </c>
      <c r="B740" t="s">
        <v>483</v>
      </c>
      <c r="C740" s="1">
        <v>44962</v>
      </c>
      <c r="D740" t="s">
        <v>24</v>
      </c>
      <c r="E740" t="s">
        <v>34</v>
      </c>
      <c r="F740">
        <v>27</v>
      </c>
      <c r="G740" t="s">
        <v>620</v>
      </c>
      <c r="H740">
        <v>2</v>
      </c>
      <c r="I740">
        <v>17.64</v>
      </c>
      <c r="J740">
        <v>7.79</v>
      </c>
      <c r="K740" t="s">
        <v>19</v>
      </c>
      <c r="L740" s="3">
        <v>44962</v>
      </c>
      <c r="M740" t="s">
        <v>34</v>
      </c>
      <c r="N740" s="4">
        <v>27</v>
      </c>
      <c r="O740" t="str" cm="1">
        <f t="array" ref="O74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40" t="s">
        <v>620</v>
      </c>
      <c r="Q740" t="s">
        <v>2930</v>
      </c>
      <c r="R740" s="5">
        <v>17.64</v>
      </c>
      <c r="S740" s="5">
        <v>7.79</v>
      </c>
    </row>
    <row r="741" spans="1:19" x14ac:dyDescent="0.25">
      <c r="A741" t="s">
        <v>2299</v>
      </c>
      <c r="B741" t="s">
        <v>157</v>
      </c>
      <c r="C741" t="s">
        <v>2300</v>
      </c>
      <c r="D741" t="s">
        <v>24</v>
      </c>
      <c r="E741" t="s">
        <v>65</v>
      </c>
      <c r="F741">
        <v>18</v>
      </c>
      <c r="G741" t="s">
        <v>2301</v>
      </c>
      <c r="H741">
        <v>1</v>
      </c>
      <c r="I741" t="s">
        <v>2302</v>
      </c>
      <c r="J741" s="2">
        <v>8.89</v>
      </c>
      <c r="K741" t="s">
        <v>41</v>
      </c>
      <c r="L741" s="3">
        <v>45113</v>
      </c>
      <c r="M741" t="s">
        <v>48</v>
      </c>
      <c r="N741" s="4">
        <v>18</v>
      </c>
      <c r="O741" t="str" cm="1">
        <f t="array" ref="O74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41" t="s">
        <v>2301</v>
      </c>
      <c r="Q741" t="s">
        <v>2926</v>
      </c>
      <c r="R741" s="5">
        <v>21.76</v>
      </c>
      <c r="S741" s="5">
        <v>8.89</v>
      </c>
    </row>
    <row r="742" spans="1:19" x14ac:dyDescent="0.25">
      <c r="A742" t="s">
        <v>2303</v>
      </c>
      <c r="B742" t="s">
        <v>2018</v>
      </c>
      <c r="C742" t="s">
        <v>2304</v>
      </c>
      <c r="D742" t="s">
        <v>30</v>
      </c>
      <c r="E742" t="s">
        <v>60</v>
      </c>
      <c r="F742">
        <v>74</v>
      </c>
      <c r="G742" t="s">
        <v>2305</v>
      </c>
      <c r="H742">
        <v>4</v>
      </c>
      <c r="I742">
        <v>32.46</v>
      </c>
      <c r="J742">
        <v>15.38</v>
      </c>
      <c r="K742" t="s">
        <v>41</v>
      </c>
      <c r="L742" s="3">
        <v>45528</v>
      </c>
      <c r="M742" t="s">
        <v>48</v>
      </c>
      <c r="N742" s="4">
        <v>74</v>
      </c>
      <c r="O742" t="str" cm="1">
        <f t="array" ref="O74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42" t="s">
        <v>2305</v>
      </c>
      <c r="Q742" t="s">
        <v>2926</v>
      </c>
      <c r="R742" s="5">
        <v>32.46</v>
      </c>
      <c r="S742" s="5">
        <v>15.38</v>
      </c>
    </row>
    <row r="743" spans="1:19" x14ac:dyDescent="0.25">
      <c r="A743" t="s">
        <v>2306</v>
      </c>
      <c r="B743" t="s">
        <v>83</v>
      </c>
      <c r="C743" s="1">
        <v>45091</v>
      </c>
      <c r="D743" t="s">
        <v>129</v>
      </c>
      <c r="E743" t="s">
        <v>48</v>
      </c>
      <c r="F743">
        <v>54</v>
      </c>
      <c r="G743" t="s">
        <v>2307</v>
      </c>
      <c r="H743">
        <v>2</v>
      </c>
      <c r="I743">
        <v>30.48</v>
      </c>
      <c r="J743">
        <v>13.55</v>
      </c>
      <c r="K743" t="s">
        <v>41</v>
      </c>
      <c r="L743" s="3">
        <v>45091</v>
      </c>
      <c r="M743" t="s">
        <v>48</v>
      </c>
      <c r="N743" s="4">
        <v>54</v>
      </c>
      <c r="O743" t="str" cm="1">
        <f t="array" ref="O74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43" t="s">
        <v>2307</v>
      </c>
      <c r="Q743" t="s">
        <v>2926</v>
      </c>
      <c r="R743" s="5">
        <v>30.48</v>
      </c>
      <c r="S743" s="5">
        <v>13.55</v>
      </c>
    </row>
    <row r="744" spans="1:19" x14ac:dyDescent="0.25">
      <c r="A744" t="s">
        <v>2308</v>
      </c>
      <c r="B744" t="s">
        <v>2309</v>
      </c>
      <c r="C744" t="s">
        <v>2310</v>
      </c>
      <c r="D744" t="s">
        <v>129</v>
      </c>
      <c r="E744" t="s">
        <v>34</v>
      </c>
      <c r="F744">
        <v>60</v>
      </c>
      <c r="G744" t="s">
        <v>2311</v>
      </c>
      <c r="H744">
        <v>2</v>
      </c>
      <c r="I744">
        <v>26.7</v>
      </c>
      <c r="J744">
        <v>9.83</v>
      </c>
      <c r="K744" t="s">
        <v>19</v>
      </c>
      <c r="L744" s="3">
        <v>45584</v>
      </c>
      <c r="M744" t="s">
        <v>34</v>
      </c>
      <c r="N744" s="4">
        <v>60</v>
      </c>
      <c r="O744" t="str" cm="1">
        <f t="array" ref="O74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44" t="s">
        <v>2311</v>
      </c>
      <c r="Q744" t="s">
        <v>2931</v>
      </c>
      <c r="R744" s="5">
        <v>26.7</v>
      </c>
      <c r="S744" s="5">
        <v>9.83</v>
      </c>
    </row>
    <row r="745" spans="1:19" x14ac:dyDescent="0.25">
      <c r="A745" t="s">
        <v>2312</v>
      </c>
      <c r="B745" t="s">
        <v>783</v>
      </c>
      <c r="C745" s="1">
        <v>45127</v>
      </c>
      <c r="D745" t="s">
        <v>30</v>
      </c>
      <c r="E745" t="s">
        <v>25</v>
      </c>
      <c r="F745">
        <v>13</v>
      </c>
      <c r="G745" t="s">
        <v>2313</v>
      </c>
      <c r="H745">
        <v>1</v>
      </c>
      <c r="I745" s="2">
        <v>8.6199999999999992</v>
      </c>
      <c r="J745" s="2">
        <v>3.28</v>
      </c>
      <c r="K745" t="s">
        <v>19</v>
      </c>
      <c r="L745" s="3">
        <v>45127</v>
      </c>
      <c r="M745" t="s">
        <v>20</v>
      </c>
      <c r="N745" s="4">
        <v>13</v>
      </c>
      <c r="O745" t="str" cm="1">
        <f t="array" ref="O74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745" t="s">
        <v>2313</v>
      </c>
      <c r="Q745" t="s">
        <v>2929</v>
      </c>
      <c r="R745" s="5">
        <v>8.6199999999999992</v>
      </c>
      <c r="S745" s="5">
        <v>3.28</v>
      </c>
    </row>
    <row r="746" spans="1:19" x14ac:dyDescent="0.25">
      <c r="A746" t="s">
        <v>2314</v>
      </c>
      <c r="B746" t="s">
        <v>2315</v>
      </c>
      <c r="C746" t="s">
        <v>2316</v>
      </c>
      <c r="D746" t="s">
        <v>16</v>
      </c>
      <c r="F746">
        <v>38</v>
      </c>
      <c r="G746" t="s">
        <v>2317</v>
      </c>
      <c r="H746">
        <v>1</v>
      </c>
      <c r="I746">
        <v>20.05</v>
      </c>
      <c r="J746">
        <v>12.34</v>
      </c>
      <c r="K746" t="s">
        <v>19</v>
      </c>
      <c r="L746" s="3">
        <v>45289</v>
      </c>
      <c r="M746" t="s">
        <v>20</v>
      </c>
      <c r="N746" s="4">
        <v>38</v>
      </c>
      <c r="O746" t="str" cm="1">
        <f t="array" ref="O74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46" t="s">
        <v>2317</v>
      </c>
      <c r="Q746" t="s">
        <v>2939</v>
      </c>
      <c r="R746" s="5">
        <v>20.05</v>
      </c>
      <c r="S746" s="5">
        <v>12.34</v>
      </c>
    </row>
    <row r="747" spans="1:19" x14ac:dyDescent="0.25">
      <c r="A747" t="s">
        <v>2318</v>
      </c>
      <c r="B747" t="s">
        <v>1344</v>
      </c>
      <c r="C747" t="s">
        <v>2319</v>
      </c>
      <c r="D747" t="s">
        <v>51</v>
      </c>
      <c r="E747" t="s">
        <v>48</v>
      </c>
      <c r="F747">
        <v>16</v>
      </c>
      <c r="G747" t="s">
        <v>2320</v>
      </c>
      <c r="H747">
        <v>3</v>
      </c>
      <c r="I747" t="s">
        <v>2321</v>
      </c>
      <c r="J747">
        <v>43.53</v>
      </c>
      <c r="K747" t="s">
        <v>41</v>
      </c>
      <c r="L747" s="3">
        <v>45081</v>
      </c>
      <c r="M747" t="s">
        <v>48</v>
      </c>
      <c r="N747" s="4">
        <v>16</v>
      </c>
      <c r="O747" t="str" cm="1">
        <f t="array" ref="O74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747" t="s">
        <v>2320</v>
      </c>
      <c r="Q747" t="s">
        <v>2928</v>
      </c>
      <c r="R747" s="5">
        <v>89.93</v>
      </c>
      <c r="S747" s="5">
        <v>43.53</v>
      </c>
    </row>
    <row r="748" spans="1:19" x14ac:dyDescent="0.25">
      <c r="A748" t="s">
        <v>2322</v>
      </c>
      <c r="B748" t="s">
        <v>660</v>
      </c>
      <c r="C748" t="s">
        <v>1627</v>
      </c>
      <c r="D748" t="s">
        <v>24</v>
      </c>
      <c r="E748" t="s">
        <v>25</v>
      </c>
      <c r="F748">
        <v>34</v>
      </c>
      <c r="G748" t="s">
        <v>2323</v>
      </c>
      <c r="H748">
        <v>2</v>
      </c>
      <c r="I748">
        <v>45.69</v>
      </c>
      <c r="J748" s="2">
        <v>20.53</v>
      </c>
      <c r="K748" t="s">
        <v>41</v>
      </c>
      <c r="L748" s="3">
        <v>45404</v>
      </c>
      <c r="M748" t="s">
        <v>20</v>
      </c>
      <c r="N748" s="4">
        <v>34</v>
      </c>
      <c r="O748" t="str" cm="1">
        <f t="array" ref="O74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48" t="s">
        <v>2323</v>
      </c>
      <c r="Q748" t="s">
        <v>2931</v>
      </c>
      <c r="R748" s="5">
        <v>45.69</v>
      </c>
      <c r="S748" s="5">
        <v>20.53</v>
      </c>
    </row>
    <row r="749" spans="1:19" x14ac:dyDescent="0.25">
      <c r="A749" t="s">
        <v>2324</v>
      </c>
      <c r="B749" t="s">
        <v>1282</v>
      </c>
      <c r="C749" s="1">
        <v>44971</v>
      </c>
      <c r="D749" t="s">
        <v>16</v>
      </c>
      <c r="E749" t="s">
        <v>48</v>
      </c>
      <c r="F749">
        <v>57</v>
      </c>
      <c r="G749" t="s">
        <v>2325</v>
      </c>
      <c r="H749">
        <v>2</v>
      </c>
      <c r="I749" t="s">
        <v>2326</v>
      </c>
      <c r="J749">
        <v>8.52</v>
      </c>
      <c r="K749" t="s">
        <v>41</v>
      </c>
      <c r="L749" s="3">
        <v>44971</v>
      </c>
      <c r="M749" t="s">
        <v>48</v>
      </c>
      <c r="N749" s="4">
        <v>57</v>
      </c>
      <c r="O749" t="str" cm="1">
        <f t="array" ref="O74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49" t="s">
        <v>2325</v>
      </c>
      <c r="Q749" t="s">
        <v>2929</v>
      </c>
      <c r="R749" s="5">
        <v>19.3</v>
      </c>
      <c r="S749" s="5">
        <v>8.52</v>
      </c>
    </row>
    <row r="750" spans="1:19" x14ac:dyDescent="0.25">
      <c r="A750" t="s">
        <v>2327</v>
      </c>
      <c r="B750" t="s">
        <v>1691</v>
      </c>
      <c r="C750" s="3">
        <v>44991</v>
      </c>
      <c r="D750" t="s">
        <v>16</v>
      </c>
      <c r="E750" t="s">
        <v>85</v>
      </c>
      <c r="F750">
        <v>45</v>
      </c>
      <c r="G750" t="s">
        <v>2328</v>
      </c>
      <c r="H750">
        <v>1</v>
      </c>
      <c r="I750">
        <v>19.100000000000001</v>
      </c>
      <c r="J750">
        <v>6.15</v>
      </c>
      <c r="K750" t="s">
        <v>41</v>
      </c>
      <c r="L750" s="3">
        <v>44991</v>
      </c>
      <c r="M750" t="s">
        <v>34</v>
      </c>
      <c r="N750" s="4">
        <v>45</v>
      </c>
      <c r="O750" t="str" cm="1">
        <f t="array" ref="O75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50" t="s">
        <v>2328</v>
      </c>
      <c r="Q750" t="s">
        <v>2926</v>
      </c>
      <c r="R750" s="5">
        <v>19.100000000000001</v>
      </c>
      <c r="S750" s="5">
        <v>6.15</v>
      </c>
    </row>
    <row r="751" spans="1:19" x14ac:dyDescent="0.25">
      <c r="A751" t="s">
        <v>2329</v>
      </c>
      <c r="B751" t="s">
        <v>154</v>
      </c>
      <c r="C751" s="3">
        <v>45037</v>
      </c>
      <c r="D751" t="s">
        <v>16</v>
      </c>
      <c r="E751" t="s">
        <v>34</v>
      </c>
      <c r="F751">
        <v>56</v>
      </c>
      <c r="G751" t="s">
        <v>2330</v>
      </c>
      <c r="H751">
        <v>3</v>
      </c>
      <c r="I751">
        <v>36.57</v>
      </c>
      <c r="J751" s="2">
        <v>12.63</v>
      </c>
      <c r="K751" t="s">
        <v>41</v>
      </c>
      <c r="L751" s="3">
        <v>45037</v>
      </c>
      <c r="M751" t="s">
        <v>34</v>
      </c>
      <c r="N751" s="4">
        <v>56</v>
      </c>
      <c r="O751" t="str" cm="1">
        <f t="array" ref="O75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51" t="s">
        <v>2330</v>
      </c>
      <c r="Q751" t="s">
        <v>2925</v>
      </c>
      <c r="R751" s="5">
        <v>36.57</v>
      </c>
      <c r="S751" s="5">
        <v>12.63</v>
      </c>
    </row>
    <row r="752" spans="1:19" x14ac:dyDescent="0.25">
      <c r="A752" t="s">
        <v>2331</v>
      </c>
      <c r="B752" t="s">
        <v>1188</v>
      </c>
      <c r="C752" t="s">
        <v>2332</v>
      </c>
      <c r="D752" t="s">
        <v>30</v>
      </c>
      <c r="E752" t="s">
        <v>45</v>
      </c>
      <c r="F752">
        <v>45</v>
      </c>
      <c r="G752" t="s">
        <v>2333</v>
      </c>
      <c r="H752">
        <v>1</v>
      </c>
      <c r="I752" s="2">
        <v>37.630000000000003</v>
      </c>
      <c r="J752" t="s">
        <v>2334</v>
      </c>
      <c r="K752" t="s">
        <v>19</v>
      </c>
      <c r="L752" s="3">
        <v>45438</v>
      </c>
      <c r="M752" t="s">
        <v>48</v>
      </c>
      <c r="N752" s="4">
        <v>45</v>
      </c>
      <c r="O752" t="str" cm="1">
        <f t="array" ref="O75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52" t="s">
        <v>2333</v>
      </c>
      <c r="Q752" t="s">
        <v>2927</v>
      </c>
      <c r="R752" s="5">
        <v>37.630000000000003</v>
      </c>
      <c r="S752" s="5">
        <v>17.75</v>
      </c>
    </row>
    <row r="753" spans="1:19" x14ac:dyDescent="0.25">
      <c r="A753" t="s">
        <v>2335</v>
      </c>
      <c r="B753" t="s">
        <v>2336</v>
      </c>
      <c r="C753" t="s">
        <v>2337</v>
      </c>
      <c r="D753" t="s">
        <v>129</v>
      </c>
      <c r="E753" t="s">
        <v>48</v>
      </c>
      <c r="F753">
        <v>59</v>
      </c>
      <c r="G753" t="s">
        <v>1630</v>
      </c>
      <c r="H753">
        <v>1</v>
      </c>
      <c r="I753">
        <v>11.77</v>
      </c>
      <c r="K753" t="s">
        <v>19</v>
      </c>
      <c r="L753" s="3">
        <v>45531</v>
      </c>
      <c r="M753" t="s">
        <v>48</v>
      </c>
      <c r="N753" s="4">
        <v>59</v>
      </c>
      <c r="O753" t="str" cm="1">
        <f t="array" ref="O75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53" t="s">
        <v>1630</v>
      </c>
      <c r="Q753" t="s">
        <v>2929</v>
      </c>
      <c r="R753" s="5">
        <v>11.77</v>
      </c>
      <c r="S753" s="5"/>
    </row>
    <row r="754" spans="1:19" x14ac:dyDescent="0.25">
      <c r="A754" t="s">
        <v>2338</v>
      </c>
      <c r="B754" t="s">
        <v>803</v>
      </c>
      <c r="C754" t="s">
        <v>2339</v>
      </c>
      <c r="D754" t="s">
        <v>30</v>
      </c>
      <c r="E754" t="s">
        <v>85</v>
      </c>
      <c r="F754">
        <v>23</v>
      </c>
      <c r="G754" t="s">
        <v>2340</v>
      </c>
      <c r="H754">
        <v>2</v>
      </c>
      <c r="I754">
        <v>14.57</v>
      </c>
      <c r="J754">
        <v>5.84</v>
      </c>
      <c r="K754" t="s">
        <v>41</v>
      </c>
      <c r="L754" s="3">
        <v>45586</v>
      </c>
      <c r="M754" t="s">
        <v>34</v>
      </c>
      <c r="N754" s="4">
        <v>23</v>
      </c>
      <c r="O754" t="str" cm="1">
        <f t="array" ref="O75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54" t="s">
        <v>2340</v>
      </c>
      <c r="Q754" t="s">
        <v>2926</v>
      </c>
      <c r="R754" s="5">
        <v>14.57</v>
      </c>
      <c r="S754" s="5">
        <v>5.84</v>
      </c>
    </row>
    <row r="755" spans="1:19" x14ac:dyDescent="0.25">
      <c r="A755" t="s">
        <v>2341</v>
      </c>
      <c r="B755" t="s">
        <v>1238</v>
      </c>
      <c r="C755" t="s">
        <v>2342</v>
      </c>
      <c r="D755" t="s">
        <v>51</v>
      </c>
      <c r="E755" t="s">
        <v>34</v>
      </c>
      <c r="F755">
        <v>60</v>
      </c>
      <c r="G755" t="s">
        <v>2343</v>
      </c>
      <c r="H755">
        <v>1</v>
      </c>
      <c r="I755">
        <v>28.3</v>
      </c>
      <c r="J755" t="s">
        <v>2344</v>
      </c>
      <c r="K755" t="s">
        <v>41</v>
      </c>
      <c r="L755" s="3">
        <v>45577</v>
      </c>
      <c r="M755" t="s">
        <v>34</v>
      </c>
      <c r="N755" s="4">
        <v>60</v>
      </c>
      <c r="O755" t="str" cm="1">
        <f t="array" ref="O75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55" t="s">
        <v>2343</v>
      </c>
      <c r="Q755" t="s">
        <v>2929</v>
      </c>
      <c r="R755" s="5">
        <v>28.3</v>
      </c>
      <c r="S755" s="5">
        <v>13.37</v>
      </c>
    </row>
    <row r="756" spans="1:19" x14ac:dyDescent="0.25">
      <c r="A756" t="s">
        <v>1402</v>
      </c>
      <c r="B756" t="s">
        <v>1403</v>
      </c>
      <c r="C756" s="3">
        <v>44985</v>
      </c>
      <c r="D756" t="s">
        <v>129</v>
      </c>
      <c r="E756" t="s">
        <v>31</v>
      </c>
      <c r="F756">
        <v>13</v>
      </c>
      <c r="G756" t="s">
        <v>1404</v>
      </c>
      <c r="H756">
        <v>2</v>
      </c>
      <c r="I756" t="s">
        <v>1405</v>
      </c>
      <c r="J756" t="s">
        <v>1406</v>
      </c>
      <c r="K756" t="s">
        <v>19</v>
      </c>
      <c r="L756" s="3">
        <v>44985</v>
      </c>
      <c r="M756" t="s">
        <v>34</v>
      </c>
      <c r="N756" s="4">
        <v>13</v>
      </c>
      <c r="O756" t="str" cm="1">
        <f t="array" ref="O75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756" t="s">
        <v>2106</v>
      </c>
      <c r="Q756" t="s">
        <v>2927</v>
      </c>
      <c r="R756" s="5">
        <v>12.03</v>
      </c>
      <c r="S756" s="5">
        <v>4.83</v>
      </c>
    </row>
    <row r="757" spans="1:19" x14ac:dyDescent="0.25">
      <c r="A757" t="s">
        <v>2345</v>
      </c>
      <c r="B757" t="s">
        <v>466</v>
      </c>
      <c r="C757" s="1">
        <v>44938</v>
      </c>
      <c r="D757" t="s">
        <v>30</v>
      </c>
      <c r="E757" t="s">
        <v>60</v>
      </c>
      <c r="F757">
        <v>29</v>
      </c>
      <c r="G757" t="s">
        <v>2346</v>
      </c>
      <c r="H757">
        <v>1</v>
      </c>
      <c r="I757">
        <v>38.4</v>
      </c>
      <c r="J757">
        <v>20.9</v>
      </c>
      <c r="K757" t="s">
        <v>41</v>
      </c>
      <c r="L757" s="3">
        <v>44938</v>
      </c>
      <c r="M757" t="s">
        <v>48</v>
      </c>
      <c r="N757" s="4">
        <v>29</v>
      </c>
      <c r="O757" t="str" cm="1">
        <f t="array" ref="O75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57" t="s">
        <v>2346</v>
      </c>
      <c r="Q757" t="s">
        <v>2929</v>
      </c>
      <c r="R757" s="5">
        <v>38.4</v>
      </c>
      <c r="S757" s="5">
        <v>20.9</v>
      </c>
    </row>
    <row r="758" spans="1:19" x14ac:dyDescent="0.25">
      <c r="A758" t="s">
        <v>2347</v>
      </c>
      <c r="B758" t="s">
        <v>2348</v>
      </c>
      <c r="C758" t="s">
        <v>2349</v>
      </c>
      <c r="D758" t="s">
        <v>51</v>
      </c>
      <c r="E758" t="s">
        <v>132</v>
      </c>
      <c r="F758">
        <v>53</v>
      </c>
      <c r="G758" t="s">
        <v>2350</v>
      </c>
      <c r="H758">
        <v>1</v>
      </c>
      <c r="I758" t="s">
        <v>2351</v>
      </c>
      <c r="J758">
        <v>11.09</v>
      </c>
      <c r="K758" t="s">
        <v>19</v>
      </c>
      <c r="L758" s="3">
        <v>45232</v>
      </c>
      <c r="M758" t="s">
        <v>132</v>
      </c>
      <c r="N758" s="4">
        <v>53</v>
      </c>
      <c r="O758" t="str" cm="1">
        <f t="array" ref="O75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58" t="s">
        <v>2350</v>
      </c>
      <c r="Q758" t="s">
        <v>2929</v>
      </c>
      <c r="R758" s="5">
        <v>32.9</v>
      </c>
      <c r="S758" s="5">
        <v>11.09</v>
      </c>
    </row>
    <row r="759" spans="1:19" x14ac:dyDescent="0.25">
      <c r="A759" t="s">
        <v>2352</v>
      </c>
      <c r="B759" t="s">
        <v>1567</v>
      </c>
      <c r="C759" t="s">
        <v>2353</v>
      </c>
      <c r="D759" t="s">
        <v>51</v>
      </c>
      <c r="E759" t="s">
        <v>60</v>
      </c>
      <c r="F759">
        <v>21</v>
      </c>
      <c r="G759" t="s">
        <v>1151</v>
      </c>
      <c r="H759">
        <v>1</v>
      </c>
      <c r="I759">
        <v>27.4</v>
      </c>
      <c r="J759">
        <v>10.64</v>
      </c>
      <c r="K759" t="s">
        <v>19</v>
      </c>
      <c r="L759" s="3">
        <v>45107</v>
      </c>
      <c r="M759" t="s">
        <v>48</v>
      </c>
      <c r="N759" s="4">
        <v>21</v>
      </c>
      <c r="O759" t="str" cm="1">
        <f t="array" ref="O75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59" t="s">
        <v>1151</v>
      </c>
      <c r="Q759" t="s">
        <v>2927</v>
      </c>
      <c r="R759" s="5">
        <v>27.4</v>
      </c>
      <c r="S759" s="5">
        <v>10.64</v>
      </c>
    </row>
    <row r="760" spans="1:19" x14ac:dyDescent="0.25">
      <c r="A760" t="s">
        <v>1725</v>
      </c>
      <c r="B760" t="s">
        <v>1238</v>
      </c>
      <c r="C760" s="3">
        <v>44985</v>
      </c>
      <c r="D760" t="s">
        <v>30</v>
      </c>
      <c r="E760" t="s">
        <v>132</v>
      </c>
      <c r="F760">
        <v>31</v>
      </c>
      <c r="G760" t="s">
        <v>553</v>
      </c>
      <c r="H760">
        <v>1</v>
      </c>
      <c r="I760" s="2">
        <v>16.84</v>
      </c>
      <c r="J760">
        <v>7.11</v>
      </c>
      <c r="K760" t="s">
        <v>41</v>
      </c>
      <c r="L760" s="3">
        <v>44985</v>
      </c>
      <c r="M760" t="s">
        <v>132</v>
      </c>
      <c r="N760" s="4">
        <v>31</v>
      </c>
      <c r="O760" t="str" cm="1">
        <f t="array" ref="O76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60" t="s">
        <v>553</v>
      </c>
      <c r="Q760" t="s">
        <v>2926</v>
      </c>
      <c r="R760" s="5">
        <v>16.84</v>
      </c>
      <c r="S760" s="5">
        <v>7.11</v>
      </c>
    </row>
    <row r="761" spans="1:19" x14ac:dyDescent="0.25">
      <c r="A761" t="s">
        <v>2354</v>
      </c>
      <c r="B761" t="s">
        <v>1422</v>
      </c>
      <c r="C761" s="1">
        <v>44980</v>
      </c>
      <c r="D761" t="s">
        <v>51</v>
      </c>
      <c r="E761" t="s">
        <v>38</v>
      </c>
      <c r="F761">
        <v>29</v>
      </c>
      <c r="G761" t="s">
        <v>2355</v>
      </c>
      <c r="H761">
        <v>-1</v>
      </c>
      <c r="I761">
        <v>-13.44</v>
      </c>
      <c r="J761">
        <v>-4.96</v>
      </c>
      <c r="K761" t="s">
        <v>19</v>
      </c>
      <c r="L761" s="3">
        <v>44980</v>
      </c>
      <c r="M761" t="s">
        <v>34</v>
      </c>
      <c r="N761" s="4">
        <v>29</v>
      </c>
      <c r="O761" t="str" cm="1">
        <f t="array" ref="O76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61" t="s">
        <v>2355</v>
      </c>
      <c r="Q761" t="s">
        <v>2925</v>
      </c>
      <c r="R761" s="5">
        <v>-13.44</v>
      </c>
      <c r="S761" s="5">
        <v>-4.96</v>
      </c>
    </row>
    <row r="762" spans="1:19" x14ac:dyDescent="0.25">
      <c r="A762" t="s">
        <v>2356</v>
      </c>
      <c r="B762" t="s">
        <v>2357</v>
      </c>
      <c r="C762" t="s">
        <v>2358</v>
      </c>
      <c r="D762" t="s">
        <v>16</v>
      </c>
      <c r="E762" t="s">
        <v>65</v>
      </c>
      <c r="F762">
        <v>74</v>
      </c>
      <c r="G762" t="s">
        <v>399</v>
      </c>
      <c r="H762">
        <v>2</v>
      </c>
      <c r="I762">
        <v>57.18</v>
      </c>
      <c r="J762" s="2">
        <v>27.04</v>
      </c>
      <c r="K762" t="s">
        <v>19</v>
      </c>
      <c r="L762" s="3">
        <v>45239</v>
      </c>
      <c r="M762" t="s">
        <v>48</v>
      </c>
      <c r="N762" s="4">
        <v>74</v>
      </c>
      <c r="O762" t="str" cm="1">
        <f t="array" ref="O76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62" t="s">
        <v>399</v>
      </c>
      <c r="Q762" t="s">
        <v>2927</v>
      </c>
      <c r="R762" s="5">
        <v>57.18</v>
      </c>
      <c r="S762" s="5">
        <v>27.04</v>
      </c>
    </row>
    <row r="763" spans="1:19" x14ac:dyDescent="0.25">
      <c r="A763" t="s">
        <v>2359</v>
      </c>
      <c r="B763" t="s">
        <v>2360</v>
      </c>
      <c r="C763" s="1">
        <v>45455</v>
      </c>
      <c r="D763" t="s">
        <v>16</v>
      </c>
      <c r="E763" t="s">
        <v>31</v>
      </c>
      <c r="F763">
        <v>15</v>
      </c>
      <c r="G763" t="s">
        <v>2361</v>
      </c>
      <c r="H763">
        <v>1</v>
      </c>
      <c r="I763">
        <v>29.91</v>
      </c>
      <c r="J763" t="s">
        <v>2362</v>
      </c>
      <c r="K763" t="s">
        <v>19</v>
      </c>
      <c r="L763" s="3">
        <v>45455</v>
      </c>
      <c r="M763" t="s">
        <v>34</v>
      </c>
      <c r="N763" s="4">
        <v>15</v>
      </c>
      <c r="O763" t="str" cm="1">
        <f t="array" ref="O76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763" t="s">
        <v>2361</v>
      </c>
      <c r="Q763" t="s">
        <v>2925</v>
      </c>
      <c r="R763" s="5">
        <v>29.91</v>
      </c>
      <c r="S763" s="5">
        <v>10.61</v>
      </c>
    </row>
    <row r="764" spans="1:19" x14ac:dyDescent="0.25">
      <c r="A764" t="s">
        <v>2363</v>
      </c>
      <c r="B764" t="s">
        <v>1633</v>
      </c>
      <c r="C764" t="s">
        <v>2364</v>
      </c>
      <c r="D764" t="s">
        <v>129</v>
      </c>
      <c r="E764" t="s">
        <v>45</v>
      </c>
      <c r="F764">
        <v>14</v>
      </c>
      <c r="G764" t="s">
        <v>337</v>
      </c>
      <c r="H764">
        <v>1</v>
      </c>
      <c r="I764">
        <v>4.6900000000000004</v>
      </c>
      <c r="J764" t="s">
        <v>2365</v>
      </c>
      <c r="K764" t="s">
        <v>41</v>
      </c>
      <c r="L764" s="3">
        <v>45400</v>
      </c>
      <c r="M764" t="s">
        <v>48</v>
      </c>
      <c r="N764" s="4">
        <v>14</v>
      </c>
      <c r="O764" t="str" cm="1">
        <f t="array" ref="O76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764" t="s">
        <v>337</v>
      </c>
      <c r="Q764" t="s">
        <v>2927</v>
      </c>
      <c r="R764" s="5">
        <v>4.6900000000000004</v>
      </c>
      <c r="S764" s="5">
        <v>1.83</v>
      </c>
    </row>
    <row r="765" spans="1:19" x14ac:dyDescent="0.25">
      <c r="A765" t="s">
        <v>2366</v>
      </c>
      <c r="B765" t="s">
        <v>2367</v>
      </c>
      <c r="C765" t="s">
        <v>2368</v>
      </c>
      <c r="D765" t="s">
        <v>16</v>
      </c>
      <c r="E765" t="s">
        <v>60</v>
      </c>
      <c r="F765">
        <v>50</v>
      </c>
      <c r="G765" t="s">
        <v>2369</v>
      </c>
      <c r="H765">
        <v>2</v>
      </c>
      <c r="I765">
        <v>41.8</v>
      </c>
      <c r="J765">
        <v>17.07</v>
      </c>
      <c r="K765" t="s">
        <v>41</v>
      </c>
      <c r="L765" s="3">
        <v>44976</v>
      </c>
      <c r="M765" t="s">
        <v>48</v>
      </c>
      <c r="N765" s="4">
        <v>50</v>
      </c>
      <c r="O765" t="str" cm="1">
        <f t="array" ref="O76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65" t="s">
        <v>2369</v>
      </c>
      <c r="Q765" t="s">
        <v>2926</v>
      </c>
      <c r="R765" s="5">
        <v>41.8</v>
      </c>
      <c r="S765" s="5">
        <v>17.07</v>
      </c>
    </row>
    <row r="766" spans="1:19" x14ac:dyDescent="0.25">
      <c r="A766" t="s">
        <v>2370</v>
      </c>
      <c r="B766" t="s">
        <v>22</v>
      </c>
      <c r="C766" s="1">
        <v>45266</v>
      </c>
      <c r="D766" t="s">
        <v>24</v>
      </c>
      <c r="E766" t="s">
        <v>38</v>
      </c>
      <c r="F766">
        <v>38</v>
      </c>
      <c r="G766" t="s">
        <v>2371</v>
      </c>
      <c r="H766">
        <v>2</v>
      </c>
      <c r="I766">
        <v>17.23</v>
      </c>
      <c r="J766" s="2">
        <v>7.9</v>
      </c>
      <c r="K766" t="s">
        <v>41</v>
      </c>
      <c r="L766" s="3">
        <v>45266</v>
      </c>
      <c r="M766" t="s">
        <v>34</v>
      </c>
      <c r="N766" s="4">
        <v>38</v>
      </c>
      <c r="O766" t="str" cm="1">
        <f t="array" ref="O76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66" t="s">
        <v>2371</v>
      </c>
      <c r="Q766" t="s">
        <v>2926</v>
      </c>
      <c r="R766" s="5">
        <v>17.23</v>
      </c>
      <c r="S766" s="5">
        <v>7.9</v>
      </c>
    </row>
    <row r="767" spans="1:19" x14ac:dyDescent="0.25">
      <c r="A767" t="s">
        <v>2372</v>
      </c>
      <c r="B767" t="s">
        <v>1762</v>
      </c>
      <c r="C767" t="s">
        <v>2373</v>
      </c>
      <c r="D767" t="s">
        <v>30</v>
      </c>
      <c r="E767" t="s">
        <v>85</v>
      </c>
      <c r="F767">
        <v>66</v>
      </c>
      <c r="G767" t="s">
        <v>2374</v>
      </c>
      <c r="H767">
        <v>1</v>
      </c>
      <c r="I767">
        <v>24.64</v>
      </c>
      <c r="J767">
        <v>13.22</v>
      </c>
      <c r="K767" t="s">
        <v>19</v>
      </c>
      <c r="L767" s="3">
        <v>45369</v>
      </c>
      <c r="M767" t="s">
        <v>34</v>
      </c>
      <c r="N767" s="4">
        <v>66</v>
      </c>
      <c r="O767" t="str" cm="1">
        <f t="array" ref="O76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67" t="s">
        <v>2374</v>
      </c>
      <c r="Q767" t="s">
        <v>2925</v>
      </c>
      <c r="R767" s="5">
        <v>24.64</v>
      </c>
      <c r="S767" s="5">
        <v>13.22</v>
      </c>
    </row>
    <row r="768" spans="1:19" x14ac:dyDescent="0.25">
      <c r="A768" t="s">
        <v>2375</v>
      </c>
      <c r="B768" t="s">
        <v>359</v>
      </c>
      <c r="C768" t="s">
        <v>2376</v>
      </c>
      <c r="D768" t="s">
        <v>30</v>
      </c>
      <c r="E768" t="s">
        <v>48</v>
      </c>
      <c r="F768">
        <v>61</v>
      </c>
      <c r="G768" t="s">
        <v>1294</v>
      </c>
      <c r="H768">
        <v>1</v>
      </c>
      <c r="I768">
        <v>26.5</v>
      </c>
      <c r="J768" t="s">
        <v>2377</v>
      </c>
      <c r="K768" t="s">
        <v>41</v>
      </c>
      <c r="L768" s="3">
        <v>45394</v>
      </c>
      <c r="M768" t="s">
        <v>48</v>
      </c>
      <c r="N768" s="4">
        <v>61</v>
      </c>
      <c r="O768" t="str" cm="1">
        <f t="array" ref="O76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68" t="s">
        <v>979</v>
      </c>
      <c r="Q768" t="s">
        <v>2927</v>
      </c>
      <c r="R768" s="5">
        <v>26.5</v>
      </c>
      <c r="S768" s="5">
        <v>9.6</v>
      </c>
    </row>
    <row r="769" spans="1:19" x14ac:dyDescent="0.25">
      <c r="A769" t="s">
        <v>379</v>
      </c>
      <c r="B769" t="s">
        <v>59</v>
      </c>
      <c r="C769" t="s">
        <v>380</v>
      </c>
      <c r="D769" t="s">
        <v>16</v>
      </c>
      <c r="E769" t="s">
        <v>38</v>
      </c>
      <c r="F769">
        <v>41</v>
      </c>
      <c r="G769" t="s">
        <v>381</v>
      </c>
      <c r="H769">
        <v>3</v>
      </c>
      <c r="I769" t="s">
        <v>205</v>
      </c>
      <c r="J769" s="2">
        <v>26.05</v>
      </c>
      <c r="K769" t="s">
        <v>19</v>
      </c>
      <c r="L769" s="3">
        <v>45269</v>
      </c>
      <c r="M769" t="s">
        <v>34</v>
      </c>
      <c r="N769" s="4">
        <v>41</v>
      </c>
      <c r="O769" t="str" cm="1">
        <f t="array" ref="O76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69" t="s">
        <v>381</v>
      </c>
      <c r="Q769" t="s">
        <v>2928</v>
      </c>
      <c r="R769" s="5"/>
      <c r="S769" s="5">
        <v>26.05</v>
      </c>
    </row>
    <row r="770" spans="1:19" x14ac:dyDescent="0.25">
      <c r="A770" t="s">
        <v>2047</v>
      </c>
      <c r="B770" t="s">
        <v>215</v>
      </c>
      <c r="C770" t="s">
        <v>2048</v>
      </c>
      <c r="D770" t="s">
        <v>24</v>
      </c>
      <c r="E770" t="s">
        <v>48</v>
      </c>
      <c r="F770">
        <v>26</v>
      </c>
      <c r="G770" t="s">
        <v>2049</v>
      </c>
      <c r="H770">
        <v>1</v>
      </c>
      <c r="I770">
        <v>13.41</v>
      </c>
      <c r="J770" t="s">
        <v>2050</v>
      </c>
      <c r="K770" t="s">
        <v>19</v>
      </c>
      <c r="L770" s="3">
        <v>45123</v>
      </c>
      <c r="M770" t="s">
        <v>48</v>
      </c>
      <c r="N770" s="4">
        <v>26</v>
      </c>
      <c r="O770" t="str" cm="1">
        <f t="array" ref="O77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70" t="s">
        <v>2049</v>
      </c>
      <c r="Q770" t="s">
        <v>2927</v>
      </c>
      <c r="R770" s="5">
        <v>13.41</v>
      </c>
      <c r="S770" s="5">
        <v>5.94</v>
      </c>
    </row>
    <row r="771" spans="1:19" x14ac:dyDescent="0.25">
      <c r="A771" t="s">
        <v>2378</v>
      </c>
      <c r="B771" t="s">
        <v>2379</v>
      </c>
      <c r="C771" s="3">
        <v>45082</v>
      </c>
      <c r="D771" t="s">
        <v>129</v>
      </c>
      <c r="E771" t="s">
        <v>25</v>
      </c>
      <c r="F771">
        <v>75</v>
      </c>
      <c r="G771" t="s">
        <v>2380</v>
      </c>
      <c r="H771">
        <v>1</v>
      </c>
      <c r="I771" t="s">
        <v>2381</v>
      </c>
      <c r="J771" s="2">
        <v>3.72</v>
      </c>
      <c r="K771" t="s">
        <v>41</v>
      </c>
      <c r="L771" s="3">
        <v>45082</v>
      </c>
      <c r="M771" t="s">
        <v>20</v>
      </c>
      <c r="N771" s="4">
        <v>75</v>
      </c>
      <c r="O771" t="str" cm="1">
        <f t="array" ref="O77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71" t="s">
        <v>2380</v>
      </c>
      <c r="Q771" t="s">
        <v>2926</v>
      </c>
      <c r="R771" s="5">
        <v>8.51</v>
      </c>
      <c r="S771" s="5">
        <v>3.72</v>
      </c>
    </row>
    <row r="772" spans="1:19" x14ac:dyDescent="0.25">
      <c r="A772" t="s">
        <v>2382</v>
      </c>
      <c r="B772" t="s">
        <v>1448</v>
      </c>
      <c r="C772" s="1">
        <v>45344</v>
      </c>
      <c r="D772" t="s">
        <v>16</v>
      </c>
      <c r="E772" t="s">
        <v>65</v>
      </c>
      <c r="F772">
        <v>28</v>
      </c>
      <c r="G772" t="s">
        <v>722</v>
      </c>
      <c r="H772">
        <v>1</v>
      </c>
      <c r="I772">
        <v>20.65</v>
      </c>
      <c r="J772" t="s">
        <v>2383</v>
      </c>
      <c r="K772" t="s">
        <v>19</v>
      </c>
      <c r="L772" s="3">
        <v>45344</v>
      </c>
      <c r="M772" t="s">
        <v>48</v>
      </c>
      <c r="N772" s="4">
        <v>28</v>
      </c>
      <c r="O772" t="str" cm="1">
        <f t="array" ref="O77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72" t="s">
        <v>722</v>
      </c>
      <c r="Q772" t="s">
        <v>2926</v>
      </c>
      <c r="R772" s="5">
        <v>20.65</v>
      </c>
      <c r="S772" s="5">
        <v>11</v>
      </c>
    </row>
    <row r="773" spans="1:19" x14ac:dyDescent="0.25">
      <c r="A773" t="s">
        <v>2384</v>
      </c>
      <c r="B773" t="s">
        <v>1199</v>
      </c>
      <c r="C773" s="3">
        <v>45034</v>
      </c>
      <c r="D773" t="s">
        <v>24</v>
      </c>
      <c r="F773">
        <v>21</v>
      </c>
      <c r="G773" t="s">
        <v>2385</v>
      </c>
      <c r="H773">
        <v>1</v>
      </c>
      <c r="I773">
        <v>23.53</v>
      </c>
      <c r="J773">
        <v>8.3800000000000008</v>
      </c>
      <c r="K773" t="s">
        <v>41</v>
      </c>
      <c r="L773" s="3">
        <v>45034</v>
      </c>
      <c r="M773" t="s">
        <v>20</v>
      </c>
      <c r="N773" s="4">
        <v>21</v>
      </c>
      <c r="O773" t="str" cm="1">
        <f t="array" ref="O77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73" t="s">
        <v>2385</v>
      </c>
      <c r="Q773" t="s">
        <v>2926</v>
      </c>
      <c r="R773" s="5">
        <v>23.53</v>
      </c>
      <c r="S773" s="5">
        <v>8.3800000000000008</v>
      </c>
    </row>
    <row r="774" spans="1:19" x14ac:dyDescent="0.25">
      <c r="A774" t="s">
        <v>2386</v>
      </c>
      <c r="B774" t="s">
        <v>551</v>
      </c>
      <c r="C774" s="3">
        <v>45537</v>
      </c>
      <c r="D774" t="s">
        <v>51</v>
      </c>
      <c r="E774" t="s">
        <v>25</v>
      </c>
      <c r="F774">
        <v>50</v>
      </c>
      <c r="G774" t="s">
        <v>2387</v>
      </c>
      <c r="H774">
        <v>1</v>
      </c>
      <c r="I774">
        <v>36.99</v>
      </c>
      <c r="J774">
        <v>21.07</v>
      </c>
      <c r="K774" t="s">
        <v>41</v>
      </c>
      <c r="L774" s="3">
        <v>45537</v>
      </c>
      <c r="M774" t="s">
        <v>20</v>
      </c>
      <c r="N774" s="4">
        <v>50</v>
      </c>
      <c r="O774" t="str" cm="1">
        <f t="array" ref="O77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74" t="s">
        <v>2387</v>
      </c>
      <c r="Q774" t="s">
        <v>2927</v>
      </c>
      <c r="R774" s="5">
        <v>36.99</v>
      </c>
      <c r="S774" s="5">
        <v>21.07</v>
      </c>
    </row>
    <row r="775" spans="1:19" x14ac:dyDescent="0.25">
      <c r="A775" t="s">
        <v>2388</v>
      </c>
      <c r="B775" t="s">
        <v>1762</v>
      </c>
      <c r="C775" t="s">
        <v>2389</v>
      </c>
      <c r="D775" t="s">
        <v>129</v>
      </c>
      <c r="E775" t="s">
        <v>31</v>
      </c>
      <c r="F775" t="s">
        <v>75</v>
      </c>
      <c r="G775" t="s">
        <v>2390</v>
      </c>
      <c r="H775">
        <v>2</v>
      </c>
      <c r="I775">
        <v>19.91</v>
      </c>
      <c r="J775" s="2">
        <v>8.44</v>
      </c>
      <c r="K775" t="s">
        <v>19</v>
      </c>
      <c r="L775" s="3">
        <v>45093</v>
      </c>
      <c r="M775" t="s">
        <v>34</v>
      </c>
      <c r="N775" s="4">
        <v>20</v>
      </c>
      <c r="O775" t="str" cm="1">
        <f t="array" ref="O77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75" t="s">
        <v>2390</v>
      </c>
      <c r="Q775" t="s">
        <v>2926</v>
      </c>
      <c r="R775" s="5">
        <v>19.91</v>
      </c>
      <c r="S775" s="5">
        <v>8.44</v>
      </c>
    </row>
    <row r="776" spans="1:19" x14ac:dyDescent="0.25">
      <c r="A776" t="s">
        <v>2391</v>
      </c>
      <c r="B776" t="s">
        <v>2392</v>
      </c>
      <c r="C776" s="1">
        <v>44972</v>
      </c>
      <c r="D776" t="s">
        <v>24</v>
      </c>
      <c r="E776" t="s">
        <v>45</v>
      </c>
      <c r="F776" t="s">
        <v>25</v>
      </c>
      <c r="G776" t="s">
        <v>2393</v>
      </c>
      <c r="H776">
        <v>2</v>
      </c>
      <c r="I776">
        <v>12.49</v>
      </c>
      <c r="J776" s="2">
        <v>6.44</v>
      </c>
      <c r="K776" t="s">
        <v>41</v>
      </c>
      <c r="L776" s="3">
        <v>44972</v>
      </c>
      <c r="M776" t="s">
        <v>48</v>
      </c>
      <c r="N776" s="4"/>
      <c r="O776" t="str" cm="1">
        <f t="array" ref="O77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776" t="s">
        <v>508</v>
      </c>
      <c r="Q776" t="s">
        <v>2926</v>
      </c>
      <c r="R776" s="5">
        <v>12.49</v>
      </c>
      <c r="S776" s="5">
        <v>6.44</v>
      </c>
    </row>
    <row r="777" spans="1:19" x14ac:dyDescent="0.25">
      <c r="A777" t="s">
        <v>2394</v>
      </c>
      <c r="B777" t="s">
        <v>2395</v>
      </c>
      <c r="C777" t="s">
        <v>2396</v>
      </c>
      <c r="D777" t="s">
        <v>129</v>
      </c>
      <c r="E777" t="s">
        <v>34</v>
      </c>
      <c r="F777">
        <v>53</v>
      </c>
      <c r="G777" t="s">
        <v>2397</v>
      </c>
      <c r="H777">
        <v>1</v>
      </c>
      <c r="I777" s="2">
        <v>3.89</v>
      </c>
      <c r="J777" s="2">
        <v>1.97</v>
      </c>
      <c r="K777" t="s">
        <v>41</v>
      </c>
      <c r="L777" s="3">
        <v>45617</v>
      </c>
      <c r="M777" t="s">
        <v>34</v>
      </c>
      <c r="N777" s="4">
        <v>53</v>
      </c>
      <c r="O777" t="str" cm="1">
        <f t="array" ref="O77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77" t="s">
        <v>2397</v>
      </c>
      <c r="Q777" t="s">
        <v>2926</v>
      </c>
      <c r="R777" s="5">
        <v>3.89</v>
      </c>
      <c r="S777" s="5">
        <v>1.97</v>
      </c>
    </row>
    <row r="778" spans="1:19" x14ac:dyDescent="0.25">
      <c r="A778" t="s">
        <v>2398</v>
      </c>
      <c r="B778" t="s">
        <v>2379</v>
      </c>
      <c r="C778" t="s">
        <v>2399</v>
      </c>
      <c r="D778" t="s">
        <v>16</v>
      </c>
      <c r="E778" t="s">
        <v>38</v>
      </c>
      <c r="F778">
        <v>60</v>
      </c>
      <c r="G778" t="s">
        <v>2400</v>
      </c>
      <c r="H778">
        <v>2</v>
      </c>
      <c r="I778" t="s">
        <v>2401</v>
      </c>
      <c r="J778">
        <v>17.760000000000002</v>
      </c>
      <c r="K778" t="s">
        <v>41</v>
      </c>
      <c r="L778" s="3">
        <v>45581</v>
      </c>
      <c r="M778" t="s">
        <v>34</v>
      </c>
      <c r="N778" s="4">
        <v>60</v>
      </c>
      <c r="O778" t="str" cm="1">
        <f t="array" ref="O77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78" t="s">
        <v>2400</v>
      </c>
      <c r="Q778" t="s">
        <v>2926</v>
      </c>
      <c r="R778" s="5">
        <v>42.86</v>
      </c>
      <c r="S778" s="5">
        <v>17.760000000000002</v>
      </c>
    </row>
    <row r="779" spans="1:19" x14ac:dyDescent="0.25">
      <c r="A779" t="s">
        <v>2402</v>
      </c>
      <c r="B779" t="s">
        <v>1758</v>
      </c>
      <c r="C779" s="1">
        <v>45487</v>
      </c>
      <c r="D779" t="s">
        <v>51</v>
      </c>
      <c r="E779" t="s">
        <v>31</v>
      </c>
      <c r="F779">
        <v>70</v>
      </c>
      <c r="G779" t="s">
        <v>2403</v>
      </c>
      <c r="H779">
        <v>2</v>
      </c>
      <c r="I779" s="2">
        <v>49.91</v>
      </c>
      <c r="J779">
        <v>22.53</v>
      </c>
      <c r="K779" t="s">
        <v>19</v>
      </c>
      <c r="L779" s="3">
        <v>45487</v>
      </c>
      <c r="M779" t="s">
        <v>34</v>
      </c>
      <c r="N779" s="4">
        <v>70</v>
      </c>
      <c r="O779" t="str" cm="1">
        <f t="array" ref="O77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79" t="s">
        <v>1826</v>
      </c>
      <c r="Q779" t="s">
        <v>2926</v>
      </c>
      <c r="R779" s="5">
        <v>49.91</v>
      </c>
      <c r="S779" s="5">
        <v>22.53</v>
      </c>
    </row>
    <row r="780" spans="1:19" x14ac:dyDescent="0.25">
      <c r="A780" t="s">
        <v>2404</v>
      </c>
      <c r="B780" t="s">
        <v>150</v>
      </c>
      <c r="C780" t="s">
        <v>2405</v>
      </c>
      <c r="D780" t="s">
        <v>30</v>
      </c>
      <c r="E780" t="s">
        <v>85</v>
      </c>
      <c r="F780">
        <v>65</v>
      </c>
      <c r="G780" t="s">
        <v>2406</v>
      </c>
      <c r="H780">
        <v>2</v>
      </c>
      <c r="I780">
        <v>47.13</v>
      </c>
      <c r="J780">
        <v>20.73</v>
      </c>
      <c r="K780" t="s">
        <v>41</v>
      </c>
      <c r="L780" s="3">
        <v>44995</v>
      </c>
      <c r="M780" t="s">
        <v>34</v>
      </c>
      <c r="N780" s="4">
        <v>65</v>
      </c>
      <c r="O780" t="str" cm="1">
        <f t="array" ref="O78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80" t="s">
        <v>2406</v>
      </c>
      <c r="Q780" t="s">
        <v>2927</v>
      </c>
      <c r="R780" s="5">
        <v>47.13</v>
      </c>
      <c r="S780" s="5">
        <v>20.73</v>
      </c>
    </row>
    <row r="781" spans="1:19" x14ac:dyDescent="0.25">
      <c r="A781" t="s">
        <v>2407</v>
      </c>
      <c r="B781" t="s">
        <v>1408</v>
      </c>
      <c r="C781" s="1">
        <v>45644</v>
      </c>
      <c r="D781" t="s">
        <v>30</v>
      </c>
      <c r="E781" t="s">
        <v>48</v>
      </c>
      <c r="F781">
        <v>59</v>
      </c>
      <c r="G781" t="s">
        <v>2408</v>
      </c>
      <c r="H781">
        <v>1</v>
      </c>
      <c r="I781" t="s">
        <v>2409</v>
      </c>
      <c r="K781" t="s">
        <v>41</v>
      </c>
      <c r="L781" s="3">
        <v>45644</v>
      </c>
      <c r="M781" t="s">
        <v>48</v>
      </c>
      <c r="N781" s="4">
        <v>59</v>
      </c>
      <c r="O781" t="str" cm="1">
        <f t="array" ref="O78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81" t="s">
        <v>2408</v>
      </c>
      <c r="Q781" t="s">
        <v>2926</v>
      </c>
      <c r="R781" s="5">
        <v>13.39</v>
      </c>
      <c r="S781" s="5"/>
    </row>
    <row r="782" spans="1:19" x14ac:dyDescent="0.25">
      <c r="A782" t="s">
        <v>2410</v>
      </c>
      <c r="B782" t="s">
        <v>402</v>
      </c>
      <c r="C782" t="s">
        <v>2411</v>
      </c>
      <c r="D782" t="s">
        <v>51</v>
      </c>
      <c r="E782" t="s">
        <v>45</v>
      </c>
      <c r="F782">
        <v>18</v>
      </c>
      <c r="G782" t="s">
        <v>290</v>
      </c>
      <c r="H782">
        <v>1</v>
      </c>
      <c r="I782" s="2">
        <v>31.89</v>
      </c>
      <c r="J782">
        <v>10.02</v>
      </c>
      <c r="K782" t="s">
        <v>41</v>
      </c>
      <c r="L782" s="3">
        <v>45642</v>
      </c>
      <c r="M782" t="s">
        <v>48</v>
      </c>
      <c r="N782" s="4">
        <v>18</v>
      </c>
      <c r="O782" t="str" cm="1">
        <f t="array" ref="O78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82" t="s">
        <v>290</v>
      </c>
      <c r="Q782" t="s">
        <v>2926</v>
      </c>
      <c r="R782" s="5">
        <v>31.89</v>
      </c>
      <c r="S782" s="5">
        <v>10.02</v>
      </c>
    </row>
    <row r="783" spans="1:19" x14ac:dyDescent="0.25">
      <c r="A783" t="s">
        <v>2412</v>
      </c>
      <c r="B783" t="s">
        <v>453</v>
      </c>
      <c r="C783" s="1">
        <v>45193</v>
      </c>
      <c r="D783" t="s">
        <v>24</v>
      </c>
      <c r="E783" t="s">
        <v>48</v>
      </c>
      <c r="F783">
        <v>21</v>
      </c>
      <c r="G783" t="s">
        <v>2413</v>
      </c>
      <c r="H783">
        <v>2</v>
      </c>
      <c r="I783">
        <v>9.0299999999999994</v>
      </c>
      <c r="J783">
        <v>4.03</v>
      </c>
      <c r="K783" t="s">
        <v>19</v>
      </c>
      <c r="L783" s="3">
        <v>45193</v>
      </c>
      <c r="M783" t="s">
        <v>48</v>
      </c>
      <c r="N783" s="4">
        <v>21</v>
      </c>
      <c r="O783" t="str" cm="1">
        <f t="array" ref="O78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83" t="s">
        <v>2413</v>
      </c>
      <c r="Q783" t="s">
        <v>2939</v>
      </c>
      <c r="R783" s="5">
        <v>9.0299999999999994</v>
      </c>
      <c r="S783" s="5">
        <v>4.03</v>
      </c>
    </row>
    <row r="784" spans="1:19" x14ac:dyDescent="0.25">
      <c r="A784" t="s">
        <v>2414</v>
      </c>
      <c r="B784" t="s">
        <v>345</v>
      </c>
      <c r="C784" t="s">
        <v>423</v>
      </c>
      <c r="D784" t="s">
        <v>129</v>
      </c>
      <c r="E784" t="s">
        <v>38</v>
      </c>
      <c r="F784">
        <v>35</v>
      </c>
      <c r="G784" t="s">
        <v>1874</v>
      </c>
      <c r="H784">
        <v>3</v>
      </c>
      <c r="I784" t="s">
        <v>2415</v>
      </c>
      <c r="J784">
        <v>11.14</v>
      </c>
      <c r="K784" t="s">
        <v>41</v>
      </c>
      <c r="L784" s="3">
        <v>45355</v>
      </c>
      <c r="M784" t="s">
        <v>34</v>
      </c>
      <c r="N784" s="4">
        <v>35</v>
      </c>
      <c r="O784" t="str" cm="1">
        <f t="array" ref="O78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84" t="s">
        <v>1874</v>
      </c>
      <c r="Q784" t="s">
        <v>2929</v>
      </c>
      <c r="R784" s="5">
        <v>23.45</v>
      </c>
      <c r="S784" s="5">
        <v>11.14</v>
      </c>
    </row>
    <row r="785" spans="1:19" x14ac:dyDescent="0.25">
      <c r="A785" t="s">
        <v>2416</v>
      </c>
      <c r="B785" t="s">
        <v>390</v>
      </c>
      <c r="C785" t="s">
        <v>2417</v>
      </c>
      <c r="D785" t="s">
        <v>129</v>
      </c>
      <c r="E785" t="s">
        <v>34</v>
      </c>
      <c r="F785">
        <v>43</v>
      </c>
      <c r="G785" t="s">
        <v>2418</v>
      </c>
      <c r="H785">
        <v>1</v>
      </c>
      <c r="I785">
        <v>4.13</v>
      </c>
      <c r="J785" s="2">
        <v>1.4</v>
      </c>
      <c r="K785" t="s">
        <v>41</v>
      </c>
      <c r="L785" s="3">
        <v>45242</v>
      </c>
      <c r="M785" t="s">
        <v>34</v>
      </c>
      <c r="N785" s="4">
        <v>43</v>
      </c>
      <c r="O785" t="str" cm="1">
        <f t="array" ref="O78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85" t="s">
        <v>2974</v>
      </c>
      <c r="Q785" t="s">
        <v>2939</v>
      </c>
      <c r="R785" s="5">
        <v>4.13</v>
      </c>
      <c r="S785" s="5">
        <v>1.4</v>
      </c>
    </row>
    <row r="786" spans="1:19" x14ac:dyDescent="0.25">
      <c r="A786" t="s">
        <v>2419</v>
      </c>
      <c r="B786" t="s">
        <v>2420</v>
      </c>
      <c r="C786" t="s">
        <v>2421</v>
      </c>
      <c r="D786" t="s">
        <v>129</v>
      </c>
      <c r="E786" t="s">
        <v>60</v>
      </c>
      <c r="F786">
        <v>49</v>
      </c>
      <c r="G786" t="s">
        <v>2422</v>
      </c>
      <c r="H786">
        <v>2</v>
      </c>
      <c r="I786">
        <v>33.07</v>
      </c>
      <c r="J786">
        <v>16.16</v>
      </c>
      <c r="K786" t="s">
        <v>19</v>
      </c>
      <c r="L786" s="3">
        <v>45095</v>
      </c>
      <c r="M786" t="s">
        <v>48</v>
      </c>
      <c r="N786" s="4">
        <v>49</v>
      </c>
      <c r="O786" t="str" cm="1">
        <f t="array" ref="O78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86" t="s">
        <v>2422</v>
      </c>
      <c r="Q786" t="s">
        <v>2927</v>
      </c>
      <c r="R786" s="5">
        <v>33.07</v>
      </c>
      <c r="S786" s="5">
        <v>16.16</v>
      </c>
    </row>
    <row r="787" spans="1:19" x14ac:dyDescent="0.25">
      <c r="A787" t="s">
        <v>2423</v>
      </c>
      <c r="B787" t="s">
        <v>28</v>
      </c>
      <c r="C787" t="s">
        <v>1654</v>
      </c>
      <c r="D787" t="s">
        <v>16</v>
      </c>
      <c r="E787" t="s">
        <v>38</v>
      </c>
      <c r="F787">
        <v>72</v>
      </c>
      <c r="G787" t="s">
        <v>1790</v>
      </c>
      <c r="H787">
        <v>1</v>
      </c>
      <c r="I787">
        <v>15.17</v>
      </c>
      <c r="J787">
        <v>6.33</v>
      </c>
      <c r="K787" t="s">
        <v>19</v>
      </c>
      <c r="L787" s="3">
        <v>45611</v>
      </c>
      <c r="M787" t="s">
        <v>34</v>
      </c>
      <c r="N787" s="4">
        <v>72</v>
      </c>
      <c r="O787" t="str" cm="1">
        <f t="array" ref="O78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87" t="s">
        <v>1790</v>
      </c>
      <c r="Q787" t="s">
        <v>2926</v>
      </c>
      <c r="R787" s="5">
        <v>15.17</v>
      </c>
      <c r="S787" s="5">
        <v>6.33</v>
      </c>
    </row>
    <row r="788" spans="1:19" x14ac:dyDescent="0.25">
      <c r="A788" t="s">
        <v>909</v>
      </c>
      <c r="B788" t="s">
        <v>118</v>
      </c>
      <c r="C788" s="1">
        <v>45305</v>
      </c>
      <c r="D788" t="s">
        <v>51</v>
      </c>
      <c r="E788" t="s">
        <v>45</v>
      </c>
      <c r="F788">
        <v>19</v>
      </c>
      <c r="G788" t="s">
        <v>303</v>
      </c>
      <c r="H788">
        <v>2</v>
      </c>
      <c r="I788">
        <v>63.93</v>
      </c>
      <c r="J788">
        <v>26.48</v>
      </c>
      <c r="K788" t="s">
        <v>41</v>
      </c>
      <c r="L788" s="3">
        <v>45305</v>
      </c>
      <c r="M788" t="s">
        <v>48</v>
      </c>
      <c r="N788" s="4">
        <v>19</v>
      </c>
      <c r="O788" t="str" cm="1">
        <f t="array" ref="O78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88" t="s">
        <v>303</v>
      </c>
      <c r="Q788" t="s">
        <v>2926</v>
      </c>
      <c r="R788" s="5">
        <v>63.93</v>
      </c>
      <c r="S788" s="5">
        <v>26.48</v>
      </c>
    </row>
    <row r="789" spans="1:19" x14ac:dyDescent="0.25">
      <c r="A789" t="s">
        <v>2424</v>
      </c>
      <c r="B789" t="s">
        <v>1653</v>
      </c>
      <c r="C789" s="1">
        <v>45649</v>
      </c>
      <c r="D789" t="s">
        <v>129</v>
      </c>
      <c r="E789" t="s">
        <v>45</v>
      </c>
      <c r="F789">
        <v>58</v>
      </c>
      <c r="G789" t="s">
        <v>2425</v>
      </c>
      <c r="H789">
        <v>2</v>
      </c>
      <c r="I789" s="2">
        <v>25.82</v>
      </c>
      <c r="J789">
        <v>6.21</v>
      </c>
      <c r="K789" t="s">
        <v>19</v>
      </c>
      <c r="L789" s="3">
        <v>45649</v>
      </c>
      <c r="M789" t="s">
        <v>48</v>
      </c>
      <c r="N789" s="4">
        <v>58</v>
      </c>
      <c r="O789" t="str" cm="1">
        <f t="array" ref="O78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89" t="s">
        <v>2425</v>
      </c>
      <c r="Q789" t="s">
        <v>2927</v>
      </c>
      <c r="R789" s="5">
        <v>25.82</v>
      </c>
      <c r="S789" s="5">
        <v>6.21</v>
      </c>
    </row>
    <row r="790" spans="1:19" x14ac:dyDescent="0.25">
      <c r="A790" t="s">
        <v>532</v>
      </c>
      <c r="B790" t="s">
        <v>610</v>
      </c>
      <c r="C790" s="3">
        <v>45186</v>
      </c>
      <c r="D790" t="s">
        <v>16</v>
      </c>
      <c r="E790" t="s">
        <v>45</v>
      </c>
      <c r="F790">
        <v>19</v>
      </c>
      <c r="G790" t="s">
        <v>2426</v>
      </c>
      <c r="H790">
        <v>1</v>
      </c>
      <c r="I790" t="s">
        <v>536</v>
      </c>
      <c r="J790" t="s">
        <v>537</v>
      </c>
      <c r="K790" t="s">
        <v>19</v>
      </c>
      <c r="L790" s="3">
        <v>45186</v>
      </c>
      <c r="M790" t="s">
        <v>48</v>
      </c>
      <c r="N790" s="4">
        <v>19</v>
      </c>
      <c r="O790" t="str" cm="1">
        <f t="array" ref="O79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90" t="s">
        <v>2426</v>
      </c>
      <c r="Q790" t="s">
        <v>2931</v>
      </c>
      <c r="R790" s="5">
        <v>14.16</v>
      </c>
      <c r="S790" s="5">
        <v>6.68</v>
      </c>
    </row>
    <row r="791" spans="1:19" x14ac:dyDescent="0.25">
      <c r="A791" t="s">
        <v>2427</v>
      </c>
      <c r="B791" t="s">
        <v>1876</v>
      </c>
      <c r="C791" t="s">
        <v>2428</v>
      </c>
      <c r="D791" t="s">
        <v>16</v>
      </c>
      <c r="E791" t="s">
        <v>85</v>
      </c>
      <c r="F791">
        <v>23</v>
      </c>
      <c r="G791" t="s">
        <v>2429</v>
      </c>
      <c r="H791">
        <v>2</v>
      </c>
      <c r="I791">
        <v>24.07</v>
      </c>
      <c r="J791">
        <v>12.19</v>
      </c>
      <c r="K791" t="s">
        <v>19</v>
      </c>
      <c r="L791" s="3">
        <v>45035</v>
      </c>
      <c r="M791" t="s">
        <v>34</v>
      </c>
      <c r="N791" s="4">
        <v>23</v>
      </c>
      <c r="O791" t="str" cm="1">
        <f t="array" ref="O79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91" t="s">
        <v>2429</v>
      </c>
      <c r="Q791" t="s">
        <v>2927</v>
      </c>
      <c r="R791" s="5">
        <v>24.07</v>
      </c>
      <c r="S791" s="5">
        <v>12.19</v>
      </c>
    </row>
    <row r="792" spans="1:19" x14ac:dyDescent="0.25">
      <c r="A792" t="s">
        <v>2430</v>
      </c>
      <c r="B792" t="s">
        <v>1103</v>
      </c>
      <c r="C792" t="s">
        <v>2431</v>
      </c>
      <c r="D792" t="s">
        <v>51</v>
      </c>
      <c r="E792" t="s">
        <v>34</v>
      </c>
      <c r="F792">
        <v>35</v>
      </c>
      <c r="G792" t="s">
        <v>2180</v>
      </c>
      <c r="H792">
        <v>1</v>
      </c>
      <c r="I792">
        <v>31.02</v>
      </c>
      <c r="J792">
        <v>16.91</v>
      </c>
      <c r="K792" t="s">
        <v>41</v>
      </c>
      <c r="L792" s="3">
        <v>45566</v>
      </c>
      <c r="M792" t="s">
        <v>34</v>
      </c>
      <c r="N792" s="4">
        <v>35</v>
      </c>
      <c r="O792" t="str" cm="1">
        <f t="array" ref="O79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92" t="s">
        <v>2180</v>
      </c>
      <c r="Q792" t="s">
        <v>2926</v>
      </c>
      <c r="R792" s="5">
        <v>31.02</v>
      </c>
      <c r="S792" s="5">
        <v>16.91</v>
      </c>
    </row>
    <row r="793" spans="1:19" x14ac:dyDescent="0.25">
      <c r="A793" t="s">
        <v>2432</v>
      </c>
      <c r="B793" t="s">
        <v>1448</v>
      </c>
      <c r="C793" s="1">
        <v>45260</v>
      </c>
      <c r="D793" t="s">
        <v>129</v>
      </c>
      <c r="E793" t="s">
        <v>45</v>
      </c>
      <c r="F793">
        <v>27</v>
      </c>
      <c r="G793" t="s">
        <v>2385</v>
      </c>
      <c r="H793">
        <v>2</v>
      </c>
      <c r="I793" s="2">
        <v>12.95</v>
      </c>
      <c r="J793" t="s">
        <v>2159</v>
      </c>
      <c r="K793" t="s">
        <v>19</v>
      </c>
      <c r="L793" s="3">
        <v>45260</v>
      </c>
      <c r="M793" t="s">
        <v>48</v>
      </c>
      <c r="N793" s="4">
        <v>27</v>
      </c>
      <c r="O793" t="str" cm="1">
        <f t="array" ref="O79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793" t="s">
        <v>2385</v>
      </c>
      <c r="Q793" t="s">
        <v>2926</v>
      </c>
      <c r="R793" s="5">
        <v>12.95</v>
      </c>
      <c r="S793" s="5">
        <v>5.67</v>
      </c>
    </row>
    <row r="794" spans="1:19" x14ac:dyDescent="0.25">
      <c r="A794" t="s">
        <v>2433</v>
      </c>
      <c r="B794" t="s">
        <v>411</v>
      </c>
      <c r="C794" t="s">
        <v>2434</v>
      </c>
      <c r="D794" t="s">
        <v>51</v>
      </c>
      <c r="E794" t="s">
        <v>34</v>
      </c>
      <c r="F794">
        <v>73</v>
      </c>
      <c r="G794" t="s">
        <v>970</v>
      </c>
      <c r="H794">
        <v>2</v>
      </c>
      <c r="J794">
        <v>14.66</v>
      </c>
      <c r="K794" t="s">
        <v>19</v>
      </c>
      <c r="L794" s="3">
        <v>45287</v>
      </c>
      <c r="M794" t="s">
        <v>34</v>
      </c>
      <c r="N794" s="4">
        <v>73</v>
      </c>
      <c r="O794" t="str" cm="1">
        <f t="array" ref="O79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94" t="s">
        <v>970</v>
      </c>
      <c r="Q794" t="s">
        <v>2925</v>
      </c>
      <c r="R794" s="5"/>
      <c r="S794" s="5">
        <v>14.66</v>
      </c>
    </row>
    <row r="795" spans="1:19" x14ac:dyDescent="0.25">
      <c r="A795" t="s">
        <v>2435</v>
      </c>
      <c r="B795" t="s">
        <v>1691</v>
      </c>
      <c r="C795" s="1">
        <v>45026</v>
      </c>
      <c r="D795" t="s">
        <v>16</v>
      </c>
      <c r="E795" t="s">
        <v>38</v>
      </c>
      <c r="F795">
        <v>20</v>
      </c>
      <c r="G795" t="s">
        <v>2436</v>
      </c>
      <c r="H795">
        <v>1</v>
      </c>
      <c r="I795" s="2">
        <v>31.94</v>
      </c>
      <c r="J795">
        <v>16.079999999999998</v>
      </c>
      <c r="K795" t="s">
        <v>19</v>
      </c>
      <c r="L795" s="3">
        <v>45026</v>
      </c>
      <c r="M795" t="s">
        <v>34</v>
      </c>
      <c r="N795" s="4">
        <v>20</v>
      </c>
      <c r="O795" t="str" cm="1">
        <f t="array" ref="O79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795" t="s">
        <v>2436</v>
      </c>
      <c r="Q795" t="s">
        <v>2929</v>
      </c>
      <c r="R795" s="5">
        <v>31.94</v>
      </c>
      <c r="S795" s="5">
        <v>16.079999999999998</v>
      </c>
    </row>
    <row r="796" spans="1:19" x14ac:dyDescent="0.25">
      <c r="A796" t="s">
        <v>2437</v>
      </c>
      <c r="B796" t="s">
        <v>2438</v>
      </c>
      <c r="C796" t="s">
        <v>2439</v>
      </c>
      <c r="D796" t="s">
        <v>51</v>
      </c>
      <c r="E796" t="s">
        <v>25</v>
      </c>
      <c r="F796">
        <v>40</v>
      </c>
      <c r="G796" t="s">
        <v>2440</v>
      </c>
      <c r="H796">
        <v>2</v>
      </c>
      <c r="I796">
        <v>43.24</v>
      </c>
      <c r="J796">
        <v>22.96</v>
      </c>
      <c r="K796" t="s">
        <v>41</v>
      </c>
      <c r="L796" s="3">
        <v>45062</v>
      </c>
      <c r="M796" t="s">
        <v>20</v>
      </c>
      <c r="N796" s="4">
        <v>40</v>
      </c>
      <c r="O796" t="str" cm="1">
        <f t="array" ref="O79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796" t="s">
        <v>2440</v>
      </c>
      <c r="Q796" t="s">
        <v>2926</v>
      </c>
      <c r="R796" s="5">
        <v>43.24</v>
      </c>
      <c r="S796" s="5">
        <v>22.96</v>
      </c>
    </row>
    <row r="797" spans="1:19" x14ac:dyDescent="0.25">
      <c r="A797" t="s">
        <v>2441</v>
      </c>
      <c r="B797" t="s">
        <v>619</v>
      </c>
      <c r="C797" s="3">
        <v>45469</v>
      </c>
      <c r="D797" t="s">
        <v>24</v>
      </c>
      <c r="E797" t="s">
        <v>48</v>
      </c>
      <c r="F797">
        <v>74</v>
      </c>
      <c r="G797" t="s">
        <v>2442</v>
      </c>
      <c r="H797">
        <v>2</v>
      </c>
      <c r="I797" t="s">
        <v>2443</v>
      </c>
      <c r="J797">
        <v>12.07</v>
      </c>
      <c r="K797" t="s">
        <v>19</v>
      </c>
      <c r="L797" s="3">
        <v>45469</v>
      </c>
      <c r="M797" t="s">
        <v>48</v>
      </c>
      <c r="N797" s="4">
        <v>74</v>
      </c>
      <c r="O797" t="str" cm="1">
        <f t="array" ref="O79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97" t="s">
        <v>2442</v>
      </c>
      <c r="Q797" t="s">
        <v>2926</v>
      </c>
      <c r="R797" s="5">
        <v>22.98</v>
      </c>
      <c r="S797" s="5">
        <v>12.07</v>
      </c>
    </row>
    <row r="798" spans="1:19" x14ac:dyDescent="0.25">
      <c r="A798" t="s">
        <v>2444</v>
      </c>
      <c r="B798" t="s">
        <v>2445</v>
      </c>
      <c r="C798" s="1">
        <v>45405</v>
      </c>
      <c r="D798" t="s">
        <v>24</v>
      </c>
      <c r="E798" t="s">
        <v>31</v>
      </c>
      <c r="F798">
        <v>56</v>
      </c>
      <c r="G798" t="s">
        <v>2446</v>
      </c>
      <c r="H798">
        <v>2</v>
      </c>
      <c r="I798">
        <v>23.15</v>
      </c>
      <c r="J798">
        <v>9.81</v>
      </c>
      <c r="K798" t="s">
        <v>19</v>
      </c>
      <c r="L798" s="3">
        <v>45405</v>
      </c>
      <c r="M798" t="s">
        <v>34</v>
      </c>
      <c r="N798" s="4">
        <v>56</v>
      </c>
      <c r="O798" t="str" cm="1">
        <f t="array" ref="O79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98" t="s">
        <v>2446</v>
      </c>
      <c r="Q798" t="s">
        <v>2926</v>
      </c>
      <c r="R798" s="5">
        <v>23.15</v>
      </c>
      <c r="S798" s="5">
        <v>9.81</v>
      </c>
    </row>
    <row r="799" spans="1:19" x14ac:dyDescent="0.25">
      <c r="A799" t="s">
        <v>2447</v>
      </c>
      <c r="B799" t="s">
        <v>521</v>
      </c>
      <c r="C799" s="3">
        <v>45255</v>
      </c>
      <c r="D799" t="s">
        <v>51</v>
      </c>
      <c r="E799" t="s">
        <v>45</v>
      </c>
      <c r="F799">
        <v>64</v>
      </c>
      <c r="G799" t="s">
        <v>2448</v>
      </c>
      <c r="H799">
        <v>1</v>
      </c>
      <c r="I799" t="s">
        <v>2449</v>
      </c>
      <c r="J799">
        <v>9.43</v>
      </c>
      <c r="K799" t="s">
        <v>19</v>
      </c>
      <c r="L799" s="3">
        <v>45255</v>
      </c>
      <c r="M799" t="s">
        <v>48</v>
      </c>
      <c r="N799" s="4">
        <v>64</v>
      </c>
      <c r="O799" t="str" cm="1">
        <f t="array" ref="O79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799" t="s">
        <v>2448</v>
      </c>
      <c r="Q799" t="s">
        <v>2925</v>
      </c>
      <c r="R799" s="5">
        <v>16.440000000000001</v>
      </c>
      <c r="S799" s="5">
        <v>9.43</v>
      </c>
    </row>
    <row r="800" spans="1:19" x14ac:dyDescent="0.25">
      <c r="A800" t="s">
        <v>2450</v>
      </c>
      <c r="B800" t="s">
        <v>783</v>
      </c>
      <c r="C800" t="s">
        <v>2451</v>
      </c>
      <c r="D800" t="s">
        <v>129</v>
      </c>
      <c r="E800" t="s">
        <v>45</v>
      </c>
      <c r="F800">
        <v>58</v>
      </c>
      <c r="G800" t="s">
        <v>754</v>
      </c>
      <c r="H800">
        <v>1</v>
      </c>
      <c r="I800">
        <v>4.45</v>
      </c>
      <c r="J800">
        <v>1.48</v>
      </c>
      <c r="K800" t="s">
        <v>19</v>
      </c>
      <c r="L800" s="3">
        <v>44936</v>
      </c>
      <c r="M800" t="s">
        <v>48</v>
      </c>
      <c r="N800" s="4">
        <v>58</v>
      </c>
      <c r="O800" t="str" cm="1">
        <f t="array" ref="O80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00" t="s">
        <v>754</v>
      </c>
      <c r="Q800" t="s">
        <v>2926</v>
      </c>
      <c r="R800" s="5">
        <v>4.45</v>
      </c>
      <c r="S800" s="5">
        <v>1.48</v>
      </c>
    </row>
    <row r="801" spans="1:19" x14ac:dyDescent="0.25">
      <c r="A801" t="s">
        <v>2452</v>
      </c>
      <c r="B801" t="s">
        <v>110</v>
      </c>
      <c r="C801" s="1">
        <v>45558</v>
      </c>
      <c r="D801" t="s">
        <v>51</v>
      </c>
      <c r="E801" t="s">
        <v>70</v>
      </c>
      <c r="F801">
        <v>42</v>
      </c>
      <c r="G801" t="s">
        <v>2453</v>
      </c>
      <c r="H801">
        <v>1</v>
      </c>
      <c r="I801" t="s">
        <v>2454</v>
      </c>
      <c r="J801">
        <v>11.08</v>
      </c>
      <c r="K801" t="s">
        <v>41</v>
      </c>
      <c r="L801" s="3">
        <v>45558</v>
      </c>
      <c r="M801" t="s">
        <v>20</v>
      </c>
      <c r="N801" s="4">
        <v>42</v>
      </c>
      <c r="O801" t="str" cm="1">
        <f t="array" ref="O80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01" t="s">
        <v>2453</v>
      </c>
      <c r="Q801" t="s">
        <v>2925</v>
      </c>
      <c r="R801" s="5">
        <v>34.36</v>
      </c>
      <c r="S801" s="5">
        <v>11.08</v>
      </c>
    </row>
    <row r="802" spans="1:19" x14ac:dyDescent="0.25">
      <c r="A802" t="s">
        <v>2455</v>
      </c>
      <c r="B802" t="s">
        <v>397</v>
      </c>
      <c r="C802" s="3">
        <v>44985</v>
      </c>
      <c r="D802" t="s">
        <v>51</v>
      </c>
      <c r="F802">
        <v>34</v>
      </c>
      <c r="G802" t="s">
        <v>2456</v>
      </c>
      <c r="H802">
        <v>2</v>
      </c>
      <c r="I802" t="s">
        <v>2457</v>
      </c>
      <c r="J802">
        <v>51.83</v>
      </c>
      <c r="K802" t="s">
        <v>41</v>
      </c>
      <c r="L802" s="3">
        <v>44985</v>
      </c>
      <c r="M802" t="s">
        <v>20</v>
      </c>
      <c r="N802" s="4">
        <v>34</v>
      </c>
      <c r="O802" t="str" cm="1">
        <f t="array" ref="O80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02" t="s">
        <v>2456</v>
      </c>
      <c r="Q802" t="s">
        <v>2927</v>
      </c>
      <c r="R802" s="5">
        <v>87.29</v>
      </c>
      <c r="S802" s="5">
        <v>51.83</v>
      </c>
    </row>
    <row r="803" spans="1:19" x14ac:dyDescent="0.25">
      <c r="A803" t="s">
        <v>2086</v>
      </c>
      <c r="B803" t="s">
        <v>1030</v>
      </c>
      <c r="C803" s="1">
        <v>45471</v>
      </c>
      <c r="D803" t="s">
        <v>129</v>
      </c>
      <c r="E803" t="s">
        <v>70</v>
      </c>
      <c r="F803">
        <v>19</v>
      </c>
      <c r="G803" t="s">
        <v>280</v>
      </c>
      <c r="H803">
        <v>1</v>
      </c>
      <c r="I803" s="2">
        <v>11.69</v>
      </c>
      <c r="J803">
        <v>3.85</v>
      </c>
      <c r="K803" t="s">
        <v>41</v>
      </c>
      <c r="L803" s="3">
        <v>45471</v>
      </c>
      <c r="M803" t="s">
        <v>20</v>
      </c>
      <c r="N803" s="4">
        <v>19</v>
      </c>
      <c r="O803" t="str" cm="1">
        <f t="array" ref="O80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803" t="s">
        <v>280</v>
      </c>
      <c r="Q803" t="s">
        <v>2928</v>
      </c>
      <c r="R803" s="5">
        <v>11.69</v>
      </c>
      <c r="S803" s="5">
        <v>3.85</v>
      </c>
    </row>
    <row r="804" spans="1:19" x14ac:dyDescent="0.25">
      <c r="A804" t="s">
        <v>2458</v>
      </c>
      <c r="B804" t="s">
        <v>2459</v>
      </c>
      <c r="C804" s="1">
        <v>45107</v>
      </c>
      <c r="D804" t="s">
        <v>30</v>
      </c>
      <c r="E804" t="s">
        <v>48</v>
      </c>
      <c r="F804">
        <v>73</v>
      </c>
      <c r="G804" t="s">
        <v>2460</v>
      </c>
      <c r="H804">
        <v>2</v>
      </c>
      <c r="I804">
        <v>28.83</v>
      </c>
      <c r="J804">
        <v>16.64</v>
      </c>
      <c r="K804" t="s">
        <v>19</v>
      </c>
      <c r="L804" s="3">
        <v>45107</v>
      </c>
      <c r="M804" t="s">
        <v>48</v>
      </c>
      <c r="N804" s="4">
        <v>73</v>
      </c>
      <c r="O804" t="str" cm="1">
        <f t="array" ref="O80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04" t="s">
        <v>2460</v>
      </c>
      <c r="Q804" t="s">
        <v>2932</v>
      </c>
      <c r="R804" s="5">
        <v>28.83</v>
      </c>
      <c r="S804" s="5">
        <v>16.64</v>
      </c>
    </row>
    <row r="805" spans="1:19" x14ac:dyDescent="0.25">
      <c r="A805" t="s">
        <v>2461</v>
      </c>
      <c r="B805" t="s">
        <v>1080</v>
      </c>
      <c r="C805" t="s">
        <v>1549</v>
      </c>
      <c r="D805" t="s">
        <v>16</v>
      </c>
      <c r="E805" t="s">
        <v>45</v>
      </c>
      <c r="F805">
        <v>72</v>
      </c>
      <c r="G805" t="s">
        <v>2462</v>
      </c>
      <c r="H805">
        <v>3</v>
      </c>
      <c r="I805">
        <v>83.23</v>
      </c>
      <c r="J805" t="s">
        <v>2463</v>
      </c>
      <c r="K805" t="s">
        <v>19</v>
      </c>
      <c r="L805" s="3">
        <v>45446</v>
      </c>
      <c r="M805" t="s">
        <v>48</v>
      </c>
      <c r="N805" s="4">
        <v>72</v>
      </c>
      <c r="O805" t="str" cm="1">
        <f t="array" ref="O80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05" t="s">
        <v>2462</v>
      </c>
      <c r="Q805" t="s">
        <v>2929</v>
      </c>
      <c r="R805" s="5">
        <v>83.23</v>
      </c>
      <c r="S805" s="5">
        <v>43.4</v>
      </c>
    </row>
    <row r="806" spans="1:19" x14ac:dyDescent="0.25">
      <c r="A806" t="s">
        <v>2464</v>
      </c>
      <c r="B806" t="s">
        <v>2214</v>
      </c>
      <c r="C806" s="1">
        <v>44929</v>
      </c>
      <c r="D806" t="s">
        <v>16</v>
      </c>
      <c r="E806" t="s">
        <v>48</v>
      </c>
      <c r="F806">
        <v>55</v>
      </c>
      <c r="G806" t="s">
        <v>1812</v>
      </c>
      <c r="H806">
        <v>5</v>
      </c>
      <c r="I806" t="s">
        <v>2465</v>
      </c>
      <c r="J806">
        <v>76.44</v>
      </c>
      <c r="K806" t="s">
        <v>19</v>
      </c>
      <c r="L806" s="3">
        <v>44929</v>
      </c>
      <c r="M806" t="s">
        <v>48</v>
      </c>
      <c r="N806" s="4">
        <v>55</v>
      </c>
      <c r="O806" t="str" cm="1">
        <f t="array" ref="O80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06" t="s">
        <v>1812</v>
      </c>
      <c r="Q806" t="s">
        <v>2927</v>
      </c>
      <c r="R806" s="5">
        <v>174.89</v>
      </c>
      <c r="S806" s="5">
        <v>76.44</v>
      </c>
    </row>
    <row r="807" spans="1:19" x14ac:dyDescent="0.25">
      <c r="A807" t="s">
        <v>2466</v>
      </c>
      <c r="B807" t="s">
        <v>521</v>
      </c>
      <c r="C807" s="1">
        <v>45013</v>
      </c>
      <c r="D807" t="s">
        <v>24</v>
      </c>
      <c r="E807" t="s">
        <v>34</v>
      </c>
      <c r="F807">
        <v>16</v>
      </c>
      <c r="G807" t="s">
        <v>2291</v>
      </c>
      <c r="H807">
        <v>2</v>
      </c>
      <c r="I807">
        <v>15.19</v>
      </c>
      <c r="J807">
        <v>5.63</v>
      </c>
      <c r="K807" t="s">
        <v>19</v>
      </c>
      <c r="L807" s="3">
        <v>45013</v>
      </c>
      <c r="M807" t="s">
        <v>34</v>
      </c>
      <c r="N807" s="4">
        <v>16</v>
      </c>
      <c r="O807" t="str" cm="1">
        <f t="array" ref="O80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807" t="s">
        <v>2291</v>
      </c>
      <c r="Q807" t="s">
        <v>2927</v>
      </c>
      <c r="R807" s="5">
        <v>15.19</v>
      </c>
      <c r="S807" s="5">
        <v>5.63</v>
      </c>
    </row>
    <row r="808" spans="1:19" x14ac:dyDescent="0.25">
      <c r="A808" t="s">
        <v>2467</v>
      </c>
      <c r="B808" t="s">
        <v>83</v>
      </c>
      <c r="C808" s="1">
        <v>45638</v>
      </c>
      <c r="D808" t="s">
        <v>30</v>
      </c>
      <c r="E808" t="s">
        <v>25</v>
      </c>
      <c r="F808">
        <v>64</v>
      </c>
      <c r="G808" t="s">
        <v>1320</v>
      </c>
      <c r="H808">
        <v>1</v>
      </c>
      <c r="I808" t="s">
        <v>2468</v>
      </c>
      <c r="J808">
        <v>12.41</v>
      </c>
      <c r="K808" t="s">
        <v>19</v>
      </c>
      <c r="L808" s="3">
        <v>45638</v>
      </c>
      <c r="M808" t="s">
        <v>20</v>
      </c>
      <c r="N808" s="4">
        <v>64</v>
      </c>
      <c r="O808" t="str" cm="1">
        <f t="array" ref="O80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08" t="s">
        <v>1320</v>
      </c>
      <c r="Q808" t="s">
        <v>2927</v>
      </c>
      <c r="R808" s="5">
        <v>33.020000000000003</v>
      </c>
      <c r="S808" s="5">
        <v>12.41</v>
      </c>
    </row>
    <row r="809" spans="1:19" x14ac:dyDescent="0.25">
      <c r="A809" t="s">
        <v>2469</v>
      </c>
      <c r="B809" t="s">
        <v>461</v>
      </c>
      <c r="C809" s="1">
        <v>45171</v>
      </c>
      <c r="D809" t="s">
        <v>16</v>
      </c>
      <c r="E809" t="s">
        <v>65</v>
      </c>
      <c r="F809">
        <v>56</v>
      </c>
      <c r="G809" t="s">
        <v>2470</v>
      </c>
      <c r="H809">
        <v>5</v>
      </c>
      <c r="I809">
        <v>64.709999999999994</v>
      </c>
      <c r="J809" t="s">
        <v>2471</v>
      </c>
      <c r="K809" t="s">
        <v>19</v>
      </c>
      <c r="L809" s="3">
        <v>45171</v>
      </c>
      <c r="M809" t="s">
        <v>48</v>
      </c>
      <c r="N809" s="4">
        <v>56</v>
      </c>
      <c r="O809" t="str" cm="1">
        <f t="array" ref="O80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09" t="s">
        <v>2975</v>
      </c>
      <c r="Q809" t="s">
        <v>2931</v>
      </c>
      <c r="R809" s="5">
        <v>64.709999999999994</v>
      </c>
      <c r="S809" s="5">
        <v>30.6</v>
      </c>
    </row>
    <row r="810" spans="1:19" x14ac:dyDescent="0.25">
      <c r="A810" t="s">
        <v>2472</v>
      </c>
      <c r="B810" t="s">
        <v>1493</v>
      </c>
      <c r="C810" s="1">
        <v>45584</v>
      </c>
      <c r="D810" t="s">
        <v>51</v>
      </c>
      <c r="E810" t="s">
        <v>48</v>
      </c>
      <c r="F810">
        <v>39</v>
      </c>
      <c r="G810" t="s">
        <v>2123</v>
      </c>
      <c r="H810">
        <v>1</v>
      </c>
      <c r="I810">
        <v>16.64</v>
      </c>
      <c r="J810">
        <v>7.21</v>
      </c>
      <c r="K810" t="s">
        <v>19</v>
      </c>
      <c r="L810" s="3">
        <v>45584</v>
      </c>
      <c r="M810" t="s">
        <v>48</v>
      </c>
      <c r="N810" s="4">
        <v>39</v>
      </c>
      <c r="O810" t="str" cm="1">
        <f t="array" ref="O81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10" t="s">
        <v>2123</v>
      </c>
      <c r="Q810" t="s">
        <v>2927</v>
      </c>
      <c r="R810" s="5">
        <v>16.64</v>
      </c>
      <c r="S810" s="5">
        <v>7.21</v>
      </c>
    </row>
    <row r="811" spans="1:19" x14ac:dyDescent="0.25">
      <c r="A811" t="s">
        <v>2473</v>
      </c>
      <c r="B811" t="s">
        <v>1770</v>
      </c>
      <c r="C811" s="3">
        <v>45047</v>
      </c>
      <c r="D811" t="s">
        <v>16</v>
      </c>
      <c r="E811" t="s">
        <v>60</v>
      </c>
      <c r="F811">
        <v>71</v>
      </c>
      <c r="G811" t="s">
        <v>2474</v>
      </c>
      <c r="H811">
        <v>1</v>
      </c>
      <c r="I811" t="s">
        <v>2475</v>
      </c>
      <c r="J811">
        <v>3.28</v>
      </c>
      <c r="K811" t="s">
        <v>41</v>
      </c>
      <c r="L811" s="3">
        <v>45047</v>
      </c>
      <c r="M811" t="s">
        <v>48</v>
      </c>
      <c r="N811" s="4">
        <v>71</v>
      </c>
      <c r="O811" t="str" cm="1">
        <f t="array" ref="O81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11" t="s">
        <v>2474</v>
      </c>
      <c r="Q811" t="s">
        <v>2929</v>
      </c>
      <c r="R811" s="5">
        <v>7.75</v>
      </c>
      <c r="S811" s="5">
        <v>3.28</v>
      </c>
    </row>
    <row r="812" spans="1:19" x14ac:dyDescent="0.25">
      <c r="A812" t="s">
        <v>2088</v>
      </c>
      <c r="B812" t="s">
        <v>1229</v>
      </c>
      <c r="C812" s="1">
        <v>45505</v>
      </c>
      <c r="D812" t="s">
        <v>30</v>
      </c>
      <c r="E812" t="s">
        <v>85</v>
      </c>
      <c r="F812">
        <v>39</v>
      </c>
      <c r="G812" t="s">
        <v>2089</v>
      </c>
      <c r="H812">
        <v>1</v>
      </c>
      <c r="I812" s="2">
        <v>16.54</v>
      </c>
      <c r="J812" t="s">
        <v>2090</v>
      </c>
      <c r="K812" t="s">
        <v>19</v>
      </c>
      <c r="L812" s="3">
        <v>45505</v>
      </c>
      <c r="M812" t="s">
        <v>34</v>
      </c>
      <c r="N812" s="4">
        <v>39</v>
      </c>
      <c r="O812" t="str" cm="1">
        <f t="array" ref="O81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12" t="s">
        <v>2089</v>
      </c>
      <c r="Q812" t="s">
        <v>2926</v>
      </c>
      <c r="R812" s="5">
        <v>16.54</v>
      </c>
      <c r="S812" s="5">
        <v>7.67</v>
      </c>
    </row>
    <row r="813" spans="1:19" x14ac:dyDescent="0.25">
      <c r="A813" t="s">
        <v>2476</v>
      </c>
      <c r="B813" t="s">
        <v>1605</v>
      </c>
      <c r="C813" s="3">
        <v>45239</v>
      </c>
      <c r="D813" t="s">
        <v>129</v>
      </c>
      <c r="E813" t="s">
        <v>34</v>
      </c>
      <c r="F813">
        <v>39</v>
      </c>
      <c r="G813" t="s">
        <v>2477</v>
      </c>
      <c r="H813">
        <v>1</v>
      </c>
      <c r="I813">
        <v>15.25</v>
      </c>
      <c r="J813" t="s">
        <v>2478</v>
      </c>
      <c r="K813" t="s">
        <v>19</v>
      </c>
      <c r="L813" s="3">
        <v>45239</v>
      </c>
      <c r="M813" t="s">
        <v>34</v>
      </c>
      <c r="N813" s="4">
        <v>39</v>
      </c>
      <c r="O813" t="str" cm="1">
        <f t="array" ref="O81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13" t="s">
        <v>2477</v>
      </c>
      <c r="Q813" t="s">
        <v>2925</v>
      </c>
      <c r="R813" s="5">
        <v>15.25</v>
      </c>
      <c r="S813" s="5">
        <v>6.8</v>
      </c>
    </row>
    <row r="814" spans="1:19" x14ac:dyDescent="0.25">
      <c r="A814" t="s">
        <v>2479</v>
      </c>
      <c r="B814" t="s">
        <v>2480</v>
      </c>
      <c r="C814" t="s">
        <v>2481</v>
      </c>
      <c r="D814" t="s">
        <v>24</v>
      </c>
      <c r="E814" t="s">
        <v>65</v>
      </c>
      <c r="F814">
        <v>69</v>
      </c>
      <c r="G814" t="s">
        <v>2482</v>
      </c>
      <c r="H814">
        <v>1</v>
      </c>
      <c r="I814">
        <v>5.49</v>
      </c>
      <c r="J814">
        <v>2.2999999999999998</v>
      </c>
      <c r="K814" t="s">
        <v>19</v>
      </c>
      <c r="L814" s="3">
        <v>45297</v>
      </c>
      <c r="M814" t="s">
        <v>48</v>
      </c>
      <c r="N814" s="4">
        <v>69</v>
      </c>
      <c r="O814" t="str" cm="1">
        <f t="array" ref="O81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14" t="s">
        <v>2482</v>
      </c>
      <c r="Q814" t="s">
        <v>2925</v>
      </c>
      <c r="R814" s="5">
        <v>5.49</v>
      </c>
      <c r="S814" s="5">
        <v>2.2999999999999998</v>
      </c>
    </row>
    <row r="815" spans="1:19" x14ac:dyDescent="0.25">
      <c r="A815" t="s">
        <v>2483</v>
      </c>
      <c r="B815" t="s">
        <v>2484</v>
      </c>
      <c r="C815" s="1">
        <v>45209</v>
      </c>
      <c r="D815" t="s">
        <v>51</v>
      </c>
      <c r="E815" t="s">
        <v>34</v>
      </c>
      <c r="F815">
        <v>71</v>
      </c>
      <c r="G815" t="s">
        <v>718</v>
      </c>
      <c r="H815">
        <v>1</v>
      </c>
      <c r="I815">
        <v>23.22</v>
      </c>
      <c r="J815" s="2">
        <v>6.79</v>
      </c>
      <c r="K815" t="s">
        <v>19</v>
      </c>
      <c r="L815" s="3">
        <v>45209</v>
      </c>
      <c r="M815" t="s">
        <v>34</v>
      </c>
      <c r="N815" s="4">
        <v>71</v>
      </c>
      <c r="O815" t="str" cm="1">
        <f t="array" ref="O81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15" t="s">
        <v>718</v>
      </c>
      <c r="Q815" t="s">
        <v>2929</v>
      </c>
      <c r="R815" s="5">
        <v>23.22</v>
      </c>
      <c r="S815" s="5">
        <v>6.79</v>
      </c>
    </row>
    <row r="816" spans="1:19" x14ac:dyDescent="0.25">
      <c r="A816" t="s">
        <v>2433</v>
      </c>
      <c r="B816" t="s">
        <v>411</v>
      </c>
      <c r="C816" t="s">
        <v>2434</v>
      </c>
      <c r="D816" t="s">
        <v>51</v>
      </c>
      <c r="E816" t="s">
        <v>34</v>
      </c>
      <c r="F816">
        <v>73</v>
      </c>
      <c r="G816" t="s">
        <v>970</v>
      </c>
      <c r="H816">
        <v>2</v>
      </c>
      <c r="J816">
        <v>14.66</v>
      </c>
      <c r="K816" t="s">
        <v>19</v>
      </c>
      <c r="L816" s="3">
        <v>45287</v>
      </c>
      <c r="M816" t="s">
        <v>34</v>
      </c>
      <c r="N816" s="4">
        <v>73</v>
      </c>
      <c r="O816" t="str" cm="1">
        <f t="array" ref="O81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16" t="s">
        <v>970</v>
      </c>
      <c r="Q816" t="s">
        <v>2925</v>
      </c>
      <c r="R816" s="5"/>
      <c r="S816" s="5">
        <v>14.66</v>
      </c>
    </row>
    <row r="817" spans="1:19" x14ac:dyDescent="0.25">
      <c r="A817" t="s">
        <v>2485</v>
      </c>
      <c r="B817" t="s">
        <v>1121</v>
      </c>
      <c r="C817" t="s">
        <v>2486</v>
      </c>
      <c r="D817" t="s">
        <v>51</v>
      </c>
      <c r="E817" t="s">
        <v>38</v>
      </c>
      <c r="F817">
        <v>34</v>
      </c>
      <c r="G817" t="s">
        <v>2487</v>
      </c>
      <c r="H817">
        <v>4</v>
      </c>
      <c r="I817">
        <v>144.32</v>
      </c>
      <c r="J817" s="2">
        <v>78.11</v>
      </c>
      <c r="K817" t="s">
        <v>19</v>
      </c>
      <c r="L817" s="3">
        <v>45065</v>
      </c>
      <c r="M817" t="s">
        <v>34</v>
      </c>
      <c r="N817" s="4">
        <v>34</v>
      </c>
      <c r="O817" t="str" cm="1">
        <f t="array" ref="O81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17" t="s">
        <v>1623</v>
      </c>
      <c r="Q817" t="s">
        <v>2926</v>
      </c>
      <c r="R817" s="5">
        <v>144.32</v>
      </c>
      <c r="S817" s="5">
        <v>78.11</v>
      </c>
    </row>
    <row r="818" spans="1:19" x14ac:dyDescent="0.25">
      <c r="A818" t="s">
        <v>2488</v>
      </c>
      <c r="B818" t="s">
        <v>2489</v>
      </c>
      <c r="C818" s="1">
        <v>45059</v>
      </c>
      <c r="D818" t="s">
        <v>129</v>
      </c>
      <c r="E818" t="s">
        <v>48</v>
      </c>
      <c r="F818">
        <v>25</v>
      </c>
      <c r="G818" t="s">
        <v>484</v>
      </c>
      <c r="H818">
        <v>2</v>
      </c>
      <c r="I818" t="s">
        <v>2490</v>
      </c>
      <c r="J818" s="2">
        <v>7.12</v>
      </c>
      <c r="K818" t="s">
        <v>19</v>
      </c>
      <c r="L818" s="3">
        <v>45059</v>
      </c>
      <c r="M818" t="s">
        <v>48</v>
      </c>
      <c r="N818" s="4">
        <v>25</v>
      </c>
      <c r="O818" t="str" cm="1">
        <f t="array" ref="O81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18" t="s">
        <v>484</v>
      </c>
      <c r="Q818" t="s">
        <v>2926</v>
      </c>
      <c r="R818" s="5">
        <v>12.75</v>
      </c>
      <c r="S818" s="5">
        <v>7.12</v>
      </c>
    </row>
    <row r="819" spans="1:19" x14ac:dyDescent="0.25">
      <c r="A819" t="s">
        <v>2491</v>
      </c>
      <c r="B819" t="s">
        <v>1758</v>
      </c>
      <c r="C819" s="3">
        <v>45618</v>
      </c>
      <c r="D819" t="s">
        <v>24</v>
      </c>
      <c r="E819" t="s">
        <v>38</v>
      </c>
      <c r="F819" t="s">
        <v>173</v>
      </c>
      <c r="G819" t="s">
        <v>2492</v>
      </c>
      <c r="H819">
        <v>1</v>
      </c>
      <c r="I819" s="2">
        <v>15.31</v>
      </c>
      <c r="J819" t="s">
        <v>2493</v>
      </c>
      <c r="K819" t="s">
        <v>19</v>
      </c>
      <c r="L819" s="3">
        <v>45618</v>
      </c>
      <c r="M819" t="s">
        <v>34</v>
      </c>
      <c r="N819" s="4">
        <v>30</v>
      </c>
      <c r="O819" t="str" cm="1">
        <f t="array" ref="O81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19" t="s">
        <v>2492</v>
      </c>
      <c r="Q819" t="s">
        <v>2930</v>
      </c>
      <c r="R819" s="5">
        <v>15.31</v>
      </c>
      <c r="S819" s="5">
        <v>8.7200000000000006</v>
      </c>
    </row>
    <row r="820" spans="1:19" x14ac:dyDescent="0.25">
      <c r="A820" t="s">
        <v>2494</v>
      </c>
      <c r="B820" t="s">
        <v>102</v>
      </c>
      <c r="C820" s="1">
        <v>45452</v>
      </c>
      <c r="D820" t="s">
        <v>51</v>
      </c>
      <c r="E820" t="s">
        <v>70</v>
      </c>
      <c r="F820">
        <v>58</v>
      </c>
      <c r="G820" t="s">
        <v>46</v>
      </c>
      <c r="H820">
        <v>1</v>
      </c>
      <c r="I820">
        <v>22.08</v>
      </c>
      <c r="J820" t="s">
        <v>2495</v>
      </c>
      <c r="K820" t="s">
        <v>41</v>
      </c>
      <c r="L820" s="3">
        <v>45452</v>
      </c>
      <c r="M820" t="s">
        <v>20</v>
      </c>
      <c r="N820" s="4">
        <v>58</v>
      </c>
      <c r="O820" t="str" cm="1">
        <f t="array" ref="O82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20" t="s">
        <v>46</v>
      </c>
      <c r="Q820" t="s">
        <v>2926</v>
      </c>
      <c r="R820" s="5">
        <v>22.08</v>
      </c>
      <c r="S820" s="5">
        <v>12.17</v>
      </c>
    </row>
    <row r="821" spans="1:19" x14ac:dyDescent="0.25">
      <c r="A821" t="s">
        <v>2496</v>
      </c>
      <c r="B821" t="s">
        <v>1288</v>
      </c>
      <c r="C821" s="1">
        <v>45312</v>
      </c>
      <c r="D821" t="s">
        <v>24</v>
      </c>
      <c r="E821" t="s">
        <v>70</v>
      </c>
      <c r="F821">
        <v>39</v>
      </c>
      <c r="G821" t="s">
        <v>2497</v>
      </c>
      <c r="H821">
        <v>4</v>
      </c>
      <c r="I821">
        <v>65.58</v>
      </c>
      <c r="J821">
        <v>23.82</v>
      </c>
      <c r="K821" t="s">
        <v>19</v>
      </c>
      <c r="L821" s="3">
        <v>45312</v>
      </c>
      <c r="M821" t="s">
        <v>20</v>
      </c>
      <c r="N821" s="4">
        <v>39</v>
      </c>
      <c r="O821" t="str" cm="1">
        <f t="array" ref="O82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21" t="s">
        <v>2497</v>
      </c>
      <c r="Q821" t="s">
        <v>2927</v>
      </c>
      <c r="R821" s="5">
        <v>65.58</v>
      </c>
      <c r="S821" s="5">
        <v>23.82</v>
      </c>
    </row>
    <row r="822" spans="1:19" x14ac:dyDescent="0.25">
      <c r="A822" t="s">
        <v>2498</v>
      </c>
      <c r="B822" t="s">
        <v>434</v>
      </c>
      <c r="C822" t="s">
        <v>2499</v>
      </c>
      <c r="D822" t="s">
        <v>129</v>
      </c>
      <c r="E822" t="s">
        <v>48</v>
      </c>
      <c r="F822">
        <v>23</v>
      </c>
      <c r="G822" t="s">
        <v>528</v>
      </c>
      <c r="H822">
        <v>4</v>
      </c>
      <c r="I822" t="s">
        <v>2500</v>
      </c>
      <c r="J822">
        <v>4.84</v>
      </c>
      <c r="K822" t="s">
        <v>41</v>
      </c>
      <c r="L822" s="3">
        <v>45578</v>
      </c>
      <c r="M822" t="s">
        <v>48</v>
      </c>
      <c r="N822" s="4">
        <v>23</v>
      </c>
      <c r="O822" t="str" cm="1">
        <f t="array" ref="O82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822" t="s">
        <v>528</v>
      </c>
      <c r="Q822" t="s">
        <v>2926</v>
      </c>
      <c r="R822" s="5">
        <v>11.97</v>
      </c>
      <c r="S822" s="5">
        <v>4.84</v>
      </c>
    </row>
    <row r="823" spans="1:19" x14ac:dyDescent="0.25">
      <c r="A823" t="s">
        <v>2501</v>
      </c>
      <c r="B823" t="s">
        <v>1703</v>
      </c>
      <c r="C823" t="s">
        <v>2502</v>
      </c>
      <c r="D823" t="s">
        <v>24</v>
      </c>
      <c r="E823" t="s">
        <v>85</v>
      </c>
      <c r="F823">
        <v>64</v>
      </c>
      <c r="G823" t="s">
        <v>2503</v>
      </c>
      <c r="H823">
        <v>2</v>
      </c>
      <c r="I823">
        <v>48.44</v>
      </c>
      <c r="J823" s="2">
        <v>24.58</v>
      </c>
      <c r="K823" t="s">
        <v>19</v>
      </c>
      <c r="L823" s="3">
        <v>45408</v>
      </c>
      <c r="M823" t="s">
        <v>34</v>
      </c>
      <c r="N823" s="4">
        <v>64</v>
      </c>
      <c r="O823" t="str" cm="1">
        <f t="array" ref="O82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23" t="s">
        <v>2503</v>
      </c>
      <c r="Q823" t="s">
        <v>2931</v>
      </c>
      <c r="R823" s="5">
        <v>48.44</v>
      </c>
      <c r="S823" s="5">
        <v>24.58</v>
      </c>
    </row>
    <row r="824" spans="1:19" x14ac:dyDescent="0.25">
      <c r="A824" t="s">
        <v>2504</v>
      </c>
      <c r="B824" t="s">
        <v>207</v>
      </c>
      <c r="C824" t="s">
        <v>2505</v>
      </c>
      <c r="D824" t="s">
        <v>16</v>
      </c>
      <c r="E824" t="s">
        <v>38</v>
      </c>
      <c r="F824">
        <v>47</v>
      </c>
      <c r="G824" t="s">
        <v>2506</v>
      </c>
      <c r="H824">
        <v>3</v>
      </c>
      <c r="I824">
        <v>76.150000000000006</v>
      </c>
      <c r="J824" s="2">
        <v>41.22</v>
      </c>
      <c r="K824" t="s">
        <v>19</v>
      </c>
      <c r="L824" s="3">
        <v>45634</v>
      </c>
      <c r="M824" t="s">
        <v>34</v>
      </c>
      <c r="N824" s="4">
        <v>47</v>
      </c>
      <c r="O824" t="str" cm="1">
        <f t="array" ref="O82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24" t="s">
        <v>2506</v>
      </c>
      <c r="Q824" t="s">
        <v>2930</v>
      </c>
      <c r="R824" s="5">
        <v>76.150000000000006</v>
      </c>
      <c r="S824" s="5">
        <v>41.22</v>
      </c>
    </row>
    <row r="825" spans="1:19" x14ac:dyDescent="0.25">
      <c r="A825" t="s">
        <v>2507</v>
      </c>
      <c r="B825" t="s">
        <v>93</v>
      </c>
      <c r="C825" t="s">
        <v>2508</v>
      </c>
      <c r="D825" t="s">
        <v>24</v>
      </c>
      <c r="E825" t="s">
        <v>34</v>
      </c>
      <c r="F825">
        <v>37</v>
      </c>
      <c r="G825" t="s">
        <v>108</v>
      </c>
      <c r="H825">
        <v>1</v>
      </c>
      <c r="I825" s="2">
        <v>18.27</v>
      </c>
      <c r="J825" t="s">
        <v>2509</v>
      </c>
      <c r="K825" t="s">
        <v>19</v>
      </c>
      <c r="L825" s="3">
        <v>45271</v>
      </c>
      <c r="M825" t="s">
        <v>34</v>
      </c>
      <c r="N825" s="4">
        <v>37</v>
      </c>
      <c r="O825" t="str" cm="1">
        <f t="array" ref="O82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25" t="s">
        <v>108</v>
      </c>
      <c r="Q825" t="s">
        <v>2927</v>
      </c>
      <c r="R825" s="5">
        <v>18.27</v>
      </c>
      <c r="S825" s="5">
        <v>3.54</v>
      </c>
    </row>
    <row r="826" spans="1:19" x14ac:dyDescent="0.25">
      <c r="A826" t="s">
        <v>2510</v>
      </c>
      <c r="B826" t="s">
        <v>160</v>
      </c>
      <c r="C826" s="1">
        <v>45335</v>
      </c>
      <c r="D826" t="s">
        <v>16</v>
      </c>
      <c r="E826" t="s">
        <v>65</v>
      </c>
      <c r="F826">
        <v>64</v>
      </c>
      <c r="G826" t="s">
        <v>2511</v>
      </c>
      <c r="H826">
        <v>6</v>
      </c>
      <c r="I826">
        <v>131.61000000000001</v>
      </c>
      <c r="J826" t="s">
        <v>2512</v>
      </c>
      <c r="K826" t="s">
        <v>41</v>
      </c>
      <c r="L826" s="3">
        <v>45335</v>
      </c>
      <c r="M826" t="s">
        <v>48</v>
      </c>
      <c r="N826" s="4">
        <v>64</v>
      </c>
      <c r="O826" t="str" cm="1">
        <f t="array" ref="O82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26" t="s">
        <v>2976</v>
      </c>
      <c r="Q826" t="s">
        <v>2925</v>
      </c>
      <c r="R826" s="5">
        <v>131.61000000000001</v>
      </c>
      <c r="S826" s="5">
        <v>51.2</v>
      </c>
    </row>
    <row r="827" spans="1:19" x14ac:dyDescent="0.25">
      <c r="A827" t="s">
        <v>2513</v>
      </c>
      <c r="B827" t="s">
        <v>594</v>
      </c>
      <c r="C827" t="s">
        <v>2514</v>
      </c>
      <c r="D827" t="s">
        <v>51</v>
      </c>
      <c r="F827">
        <v>32</v>
      </c>
      <c r="G827" t="s">
        <v>612</v>
      </c>
      <c r="H827">
        <v>2</v>
      </c>
      <c r="I827">
        <v>54.91</v>
      </c>
      <c r="J827">
        <v>23.13</v>
      </c>
      <c r="K827" t="s">
        <v>19</v>
      </c>
      <c r="L827" s="3">
        <v>45555</v>
      </c>
      <c r="M827" t="s">
        <v>20</v>
      </c>
      <c r="N827" s="4">
        <v>32</v>
      </c>
      <c r="O827" t="str" cm="1">
        <f t="array" ref="O82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27" t="s">
        <v>612</v>
      </c>
      <c r="Q827" t="s">
        <v>2927</v>
      </c>
      <c r="R827" s="5">
        <v>54.91</v>
      </c>
      <c r="S827" s="5">
        <v>23.13</v>
      </c>
    </row>
    <row r="828" spans="1:19" x14ac:dyDescent="0.25">
      <c r="A828" t="s">
        <v>2515</v>
      </c>
      <c r="B828" t="s">
        <v>2516</v>
      </c>
      <c r="C828" t="s">
        <v>2517</v>
      </c>
      <c r="D828" t="s">
        <v>30</v>
      </c>
      <c r="E828" t="s">
        <v>34</v>
      </c>
      <c r="F828">
        <v>74</v>
      </c>
      <c r="G828" t="s">
        <v>1768</v>
      </c>
      <c r="H828">
        <v>1</v>
      </c>
      <c r="I828" s="2">
        <v>36.03</v>
      </c>
      <c r="J828" t="s">
        <v>2518</v>
      </c>
      <c r="K828" t="s">
        <v>41</v>
      </c>
      <c r="L828" s="3">
        <v>45517</v>
      </c>
      <c r="M828" t="s">
        <v>34</v>
      </c>
      <c r="N828" s="4">
        <v>74</v>
      </c>
      <c r="O828" t="str" cm="1">
        <f t="array" ref="O82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28" t="s">
        <v>1768</v>
      </c>
      <c r="Q828" t="s">
        <v>2926</v>
      </c>
      <c r="R828" s="5">
        <v>36.03</v>
      </c>
      <c r="S828" s="5">
        <v>9.58</v>
      </c>
    </row>
    <row r="829" spans="1:19" x14ac:dyDescent="0.25">
      <c r="A829" t="s">
        <v>2519</v>
      </c>
      <c r="B829" t="s">
        <v>1758</v>
      </c>
      <c r="C829" s="3">
        <v>44984</v>
      </c>
      <c r="D829" t="s">
        <v>51</v>
      </c>
      <c r="E829" t="s">
        <v>65</v>
      </c>
      <c r="F829">
        <v>75</v>
      </c>
      <c r="G829" t="s">
        <v>2520</v>
      </c>
      <c r="H829">
        <v>4</v>
      </c>
      <c r="I829" s="2">
        <v>160.35</v>
      </c>
      <c r="J829">
        <v>70.260000000000005</v>
      </c>
      <c r="K829" t="s">
        <v>19</v>
      </c>
      <c r="L829" s="3">
        <v>44984</v>
      </c>
      <c r="M829" t="s">
        <v>48</v>
      </c>
      <c r="N829" s="4">
        <v>75</v>
      </c>
      <c r="O829" t="str" cm="1">
        <f t="array" ref="O82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29" t="s">
        <v>2520</v>
      </c>
      <c r="Q829" t="s">
        <v>2926</v>
      </c>
      <c r="R829" s="5">
        <v>160.35</v>
      </c>
      <c r="S829" s="5">
        <v>70.260000000000005</v>
      </c>
    </row>
    <row r="830" spans="1:19" x14ac:dyDescent="0.25">
      <c r="A830" t="s">
        <v>2521</v>
      </c>
      <c r="B830" t="s">
        <v>558</v>
      </c>
      <c r="C830" t="s">
        <v>2522</v>
      </c>
      <c r="D830" t="s">
        <v>51</v>
      </c>
      <c r="E830" t="s">
        <v>132</v>
      </c>
      <c r="F830">
        <v>23</v>
      </c>
      <c r="G830" t="s">
        <v>2523</v>
      </c>
      <c r="H830">
        <v>2</v>
      </c>
      <c r="I830" s="2">
        <v>43.91</v>
      </c>
      <c r="J830" s="2">
        <v>23.51</v>
      </c>
      <c r="K830" t="s">
        <v>41</v>
      </c>
      <c r="L830" s="3">
        <v>45065</v>
      </c>
      <c r="M830" t="s">
        <v>132</v>
      </c>
      <c r="N830" s="4">
        <v>23</v>
      </c>
      <c r="O830" t="str" cm="1">
        <f t="array" ref="O83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830" t="s">
        <v>2523</v>
      </c>
      <c r="Q830" t="s">
        <v>2928</v>
      </c>
      <c r="R830" s="5">
        <v>43.91</v>
      </c>
      <c r="S830" s="5">
        <v>23.51</v>
      </c>
    </row>
    <row r="831" spans="1:19" x14ac:dyDescent="0.25">
      <c r="A831" t="s">
        <v>2524</v>
      </c>
      <c r="B831" t="s">
        <v>2525</v>
      </c>
      <c r="C831" t="s">
        <v>2526</v>
      </c>
      <c r="D831" t="s">
        <v>16</v>
      </c>
      <c r="E831" t="s">
        <v>31</v>
      </c>
      <c r="F831">
        <v>60</v>
      </c>
      <c r="G831" t="s">
        <v>2527</v>
      </c>
      <c r="H831">
        <v>5</v>
      </c>
      <c r="I831">
        <v>48.24</v>
      </c>
      <c r="J831" s="2">
        <v>13.8</v>
      </c>
      <c r="K831" t="s">
        <v>19</v>
      </c>
      <c r="L831" s="3">
        <v>45503</v>
      </c>
      <c r="M831" t="s">
        <v>34</v>
      </c>
      <c r="N831" s="4">
        <v>60</v>
      </c>
      <c r="O831" t="str" cm="1">
        <f t="array" ref="O83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31" t="s">
        <v>2527</v>
      </c>
      <c r="Q831" t="s">
        <v>2925</v>
      </c>
      <c r="R831" s="5">
        <v>48.24</v>
      </c>
      <c r="S831" s="5">
        <v>13.8</v>
      </c>
    </row>
    <row r="832" spans="1:19" x14ac:dyDescent="0.25">
      <c r="A832" t="s">
        <v>2528</v>
      </c>
      <c r="B832" t="s">
        <v>2529</v>
      </c>
      <c r="C832" s="1">
        <v>45551</v>
      </c>
      <c r="D832" t="s">
        <v>16</v>
      </c>
      <c r="E832" t="s">
        <v>65</v>
      </c>
      <c r="F832">
        <v>71</v>
      </c>
      <c r="G832" t="s">
        <v>2530</v>
      </c>
      <c r="H832">
        <v>2</v>
      </c>
      <c r="I832">
        <v>23.26</v>
      </c>
      <c r="J832">
        <v>8.6999999999999993</v>
      </c>
      <c r="K832" t="s">
        <v>19</v>
      </c>
      <c r="L832" s="3">
        <v>45551</v>
      </c>
      <c r="M832" t="s">
        <v>48</v>
      </c>
      <c r="N832" s="4">
        <v>71</v>
      </c>
      <c r="O832" t="str" cm="1">
        <f t="array" ref="O83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32" t="s">
        <v>2530</v>
      </c>
      <c r="Q832" t="s">
        <v>2926</v>
      </c>
      <c r="R832" s="5">
        <v>23.26</v>
      </c>
      <c r="S832" s="5">
        <v>8.6999999999999993</v>
      </c>
    </row>
    <row r="833" spans="1:19" x14ac:dyDescent="0.25">
      <c r="A833" t="s">
        <v>1868</v>
      </c>
      <c r="B833" t="s">
        <v>1869</v>
      </c>
      <c r="C833" t="s">
        <v>1870</v>
      </c>
      <c r="D833" t="s">
        <v>30</v>
      </c>
      <c r="E833" t="s">
        <v>85</v>
      </c>
      <c r="F833">
        <v>60</v>
      </c>
      <c r="G833" t="s">
        <v>1871</v>
      </c>
      <c r="H833">
        <v>2</v>
      </c>
      <c r="I833">
        <v>36.979999999999997</v>
      </c>
      <c r="J833">
        <v>11.05</v>
      </c>
      <c r="K833" t="s">
        <v>41</v>
      </c>
      <c r="L833" s="3">
        <v>45513</v>
      </c>
      <c r="M833" t="s">
        <v>34</v>
      </c>
      <c r="N833" s="4">
        <v>60</v>
      </c>
      <c r="O833" t="str" cm="1">
        <f t="array" ref="O83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33" t="s">
        <v>1871</v>
      </c>
      <c r="Q833" t="s">
        <v>2929</v>
      </c>
      <c r="R833" s="5">
        <v>36.979999999999997</v>
      </c>
      <c r="S833" s="5">
        <v>11.05</v>
      </c>
    </row>
    <row r="834" spans="1:19" x14ac:dyDescent="0.25">
      <c r="A834" t="s">
        <v>2531</v>
      </c>
      <c r="B834" t="s">
        <v>664</v>
      </c>
      <c r="C834" s="3">
        <v>44985</v>
      </c>
      <c r="D834" t="s">
        <v>51</v>
      </c>
      <c r="E834" t="s">
        <v>34</v>
      </c>
      <c r="F834">
        <v>33</v>
      </c>
      <c r="G834" t="s">
        <v>2532</v>
      </c>
      <c r="H834">
        <v>3</v>
      </c>
      <c r="I834" s="2">
        <v>86.86</v>
      </c>
      <c r="J834" s="2">
        <v>34.799999999999997</v>
      </c>
      <c r="K834" t="s">
        <v>19</v>
      </c>
      <c r="L834" s="3">
        <v>44985</v>
      </c>
      <c r="M834" t="s">
        <v>34</v>
      </c>
      <c r="N834" s="4">
        <v>33</v>
      </c>
      <c r="O834" t="str" cm="1">
        <f t="array" ref="O83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34" t="s">
        <v>2532</v>
      </c>
      <c r="Q834" t="s">
        <v>2927</v>
      </c>
      <c r="R834" s="5">
        <v>86.86</v>
      </c>
      <c r="S834" s="5">
        <v>34.799999999999997</v>
      </c>
    </row>
    <row r="835" spans="1:19" x14ac:dyDescent="0.25">
      <c r="A835" t="s">
        <v>2533</v>
      </c>
      <c r="B835" t="s">
        <v>1229</v>
      </c>
      <c r="C835" t="s">
        <v>1498</v>
      </c>
      <c r="D835" t="s">
        <v>16</v>
      </c>
      <c r="E835" t="s">
        <v>60</v>
      </c>
      <c r="F835">
        <v>38</v>
      </c>
      <c r="G835" t="s">
        <v>1768</v>
      </c>
      <c r="H835">
        <v>1</v>
      </c>
      <c r="I835">
        <v>29.25</v>
      </c>
      <c r="J835" s="2">
        <v>15.66</v>
      </c>
      <c r="K835" t="s">
        <v>41</v>
      </c>
      <c r="L835" s="3">
        <v>45089</v>
      </c>
      <c r="M835" t="s">
        <v>48</v>
      </c>
      <c r="N835" s="4">
        <v>38</v>
      </c>
      <c r="O835" t="str" cm="1">
        <f t="array" ref="O83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35" t="s">
        <v>1768</v>
      </c>
      <c r="Q835" t="s">
        <v>2926</v>
      </c>
      <c r="R835" s="5">
        <v>29.25</v>
      </c>
      <c r="S835" s="5">
        <v>15.66</v>
      </c>
    </row>
    <row r="836" spans="1:19" x14ac:dyDescent="0.25">
      <c r="A836" t="s">
        <v>2534</v>
      </c>
      <c r="B836" t="s">
        <v>1762</v>
      </c>
      <c r="C836" t="s">
        <v>2535</v>
      </c>
      <c r="D836" t="s">
        <v>129</v>
      </c>
      <c r="F836">
        <v>45</v>
      </c>
      <c r="G836" t="s">
        <v>2536</v>
      </c>
      <c r="H836">
        <v>1</v>
      </c>
      <c r="I836">
        <v>8.26</v>
      </c>
      <c r="J836" s="2">
        <v>2.72</v>
      </c>
      <c r="K836" t="s">
        <v>41</v>
      </c>
      <c r="L836" s="3">
        <v>45080</v>
      </c>
      <c r="M836" t="s">
        <v>20</v>
      </c>
      <c r="N836" s="4">
        <v>45</v>
      </c>
      <c r="O836" t="str" cm="1">
        <f t="array" ref="O83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36" t="s">
        <v>2536</v>
      </c>
      <c r="Q836" t="s">
        <v>2926</v>
      </c>
      <c r="R836" s="5">
        <v>8.26</v>
      </c>
      <c r="S836" s="5">
        <v>2.72</v>
      </c>
    </row>
    <row r="837" spans="1:19" x14ac:dyDescent="0.25">
      <c r="A837" t="s">
        <v>2537</v>
      </c>
      <c r="B837" t="s">
        <v>2538</v>
      </c>
      <c r="C837" s="1">
        <v>45179</v>
      </c>
      <c r="D837" t="s">
        <v>51</v>
      </c>
      <c r="E837" t="s">
        <v>31</v>
      </c>
      <c r="F837">
        <v>59</v>
      </c>
      <c r="G837" t="s">
        <v>2539</v>
      </c>
      <c r="H837">
        <v>1</v>
      </c>
      <c r="I837">
        <v>32.380000000000003</v>
      </c>
      <c r="J837" t="s">
        <v>2540</v>
      </c>
      <c r="K837" t="s">
        <v>19</v>
      </c>
      <c r="L837" s="3">
        <v>45179</v>
      </c>
      <c r="M837" t="s">
        <v>34</v>
      </c>
      <c r="N837" s="4">
        <v>59</v>
      </c>
      <c r="O837" t="str" cm="1">
        <f t="array" ref="O83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37" t="s">
        <v>2539</v>
      </c>
      <c r="Q837" t="s">
        <v>2925</v>
      </c>
      <c r="R837" s="5">
        <v>32.380000000000003</v>
      </c>
      <c r="S837" s="5">
        <v>13.08</v>
      </c>
    </row>
    <row r="838" spans="1:19" x14ac:dyDescent="0.25">
      <c r="A838" t="s">
        <v>2541</v>
      </c>
      <c r="B838" t="s">
        <v>1282</v>
      </c>
      <c r="C838" s="3">
        <v>45005</v>
      </c>
      <c r="D838" t="s">
        <v>24</v>
      </c>
      <c r="E838" t="s">
        <v>38</v>
      </c>
      <c r="F838">
        <v>28</v>
      </c>
      <c r="G838" t="s">
        <v>1190</v>
      </c>
      <c r="H838">
        <v>-5</v>
      </c>
      <c r="I838">
        <v>-46.32</v>
      </c>
      <c r="J838" t="s">
        <v>2542</v>
      </c>
      <c r="K838" t="s">
        <v>41</v>
      </c>
      <c r="L838" s="3">
        <v>45005</v>
      </c>
      <c r="M838" t="s">
        <v>34</v>
      </c>
      <c r="N838" s="4">
        <v>28</v>
      </c>
      <c r="O838" t="str" cm="1">
        <f t="array" ref="O83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38" t="s">
        <v>1190</v>
      </c>
      <c r="Q838" t="s">
        <v>2925</v>
      </c>
      <c r="R838" s="5">
        <v>-46.32</v>
      </c>
      <c r="S838" s="5">
        <v>-10.08</v>
      </c>
    </row>
    <row r="839" spans="1:19" x14ac:dyDescent="0.25">
      <c r="A839" t="s">
        <v>2543</v>
      </c>
      <c r="B839" t="s">
        <v>2226</v>
      </c>
      <c r="C839" s="1">
        <v>44954</v>
      </c>
      <c r="D839" t="s">
        <v>30</v>
      </c>
      <c r="E839" t="s">
        <v>38</v>
      </c>
      <c r="F839">
        <v>38</v>
      </c>
      <c r="G839" t="s">
        <v>2544</v>
      </c>
      <c r="H839">
        <v>1</v>
      </c>
      <c r="I839">
        <v>33.03</v>
      </c>
      <c r="J839" t="s">
        <v>205</v>
      </c>
      <c r="K839" t="s">
        <v>41</v>
      </c>
      <c r="L839" s="3">
        <v>44954</v>
      </c>
      <c r="M839" t="s">
        <v>34</v>
      </c>
      <c r="N839" s="4">
        <v>38</v>
      </c>
      <c r="O839" t="str" cm="1">
        <f t="array" ref="O83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39" t="s">
        <v>2544</v>
      </c>
      <c r="Q839" t="s">
        <v>2927</v>
      </c>
      <c r="R839" s="5">
        <v>33.03</v>
      </c>
      <c r="S839" s="5"/>
    </row>
    <row r="840" spans="1:19" x14ac:dyDescent="0.25">
      <c r="A840" t="s">
        <v>2545</v>
      </c>
      <c r="B840" t="s">
        <v>2014</v>
      </c>
      <c r="C840" t="s">
        <v>2546</v>
      </c>
      <c r="D840" t="s">
        <v>24</v>
      </c>
      <c r="E840" t="s">
        <v>45</v>
      </c>
      <c r="F840">
        <v>13</v>
      </c>
      <c r="G840" t="s">
        <v>182</v>
      </c>
      <c r="H840">
        <v>1</v>
      </c>
      <c r="I840">
        <v>8.4700000000000006</v>
      </c>
      <c r="J840">
        <v>2.93</v>
      </c>
      <c r="K840" t="s">
        <v>41</v>
      </c>
      <c r="L840" s="3">
        <v>45476</v>
      </c>
      <c r="M840" t="s">
        <v>48</v>
      </c>
      <c r="N840" s="4">
        <v>13</v>
      </c>
      <c r="O840" t="str" cm="1">
        <f t="array" ref="O84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840" t="s">
        <v>182</v>
      </c>
      <c r="Q840" t="s">
        <v>2927</v>
      </c>
      <c r="R840" s="5">
        <v>8.4700000000000006</v>
      </c>
      <c r="S840" s="5">
        <v>2.93</v>
      </c>
    </row>
    <row r="841" spans="1:19" x14ac:dyDescent="0.25">
      <c r="A841" t="s">
        <v>2547</v>
      </c>
      <c r="B841" t="s">
        <v>330</v>
      </c>
      <c r="C841" t="s">
        <v>2548</v>
      </c>
      <c r="D841" t="s">
        <v>16</v>
      </c>
      <c r="E841" t="s">
        <v>45</v>
      </c>
      <c r="F841">
        <v>40</v>
      </c>
      <c r="G841" t="s">
        <v>1570</v>
      </c>
      <c r="H841">
        <v>4</v>
      </c>
      <c r="I841" t="s">
        <v>2549</v>
      </c>
      <c r="J841" t="s">
        <v>2550</v>
      </c>
      <c r="K841" t="s">
        <v>41</v>
      </c>
      <c r="L841" s="3">
        <v>45121</v>
      </c>
      <c r="M841" t="s">
        <v>48</v>
      </c>
      <c r="N841" s="4">
        <v>40</v>
      </c>
      <c r="O841" t="str" cm="1">
        <f t="array" ref="O84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41" t="s">
        <v>1570</v>
      </c>
      <c r="Q841" t="s">
        <v>2925</v>
      </c>
      <c r="R841" s="5">
        <v>43.65</v>
      </c>
      <c r="S841" s="5">
        <v>12.73</v>
      </c>
    </row>
    <row r="842" spans="1:19" x14ac:dyDescent="0.25">
      <c r="A842" t="s">
        <v>2551</v>
      </c>
      <c r="B842" t="s">
        <v>430</v>
      </c>
      <c r="C842" s="1">
        <v>44955</v>
      </c>
      <c r="D842" t="s">
        <v>30</v>
      </c>
      <c r="E842" t="s">
        <v>45</v>
      </c>
      <c r="F842">
        <v>33</v>
      </c>
      <c r="G842" t="s">
        <v>2552</v>
      </c>
      <c r="H842">
        <v>1</v>
      </c>
      <c r="I842">
        <v>18.84</v>
      </c>
      <c r="J842" s="2">
        <v>6.66</v>
      </c>
      <c r="K842" t="s">
        <v>41</v>
      </c>
      <c r="L842" s="3">
        <v>44955</v>
      </c>
      <c r="M842" t="s">
        <v>48</v>
      </c>
      <c r="N842" s="4">
        <v>33</v>
      </c>
      <c r="O842" t="str" cm="1">
        <f t="array" ref="O84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42" t="s">
        <v>2552</v>
      </c>
      <c r="Q842" t="s">
        <v>2927</v>
      </c>
      <c r="R842" s="5">
        <v>18.84</v>
      </c>
      <c r="S842" s="5">
        <v>6.66</v>
      </c>
    </row>
    <row r="843" spans="1:19" x14ac:dyDescent="0.25">
      <c r="A843" t="s">
        <v>2553</v>
      </c>
      <c r="B843" t="s">
        <v>154</v>
      </c>
      <c r="C843" s="1">
        <v>44956</v>
      </c>
      <c r="D843" t="s">
        <v>51</v>
      </c>
      <c r="E843" t="s">
        <v>85</v>
      </c>
      <c r="F843" t="s">
        <v>25</v>
      </c>
      <c r="G843" t="s">
        <v>2554</v>
      </c>
      <c r="H843">
        <v>1</v>
      </c>
      <c r="I843">
        <v>62.2</v>
      </c>
      <c r="J843" s="2">
        <v>28.25</v>
      </c>
      <c r="K843" t="s">
        <v>19</v>
      </c>
      <c r="L843" s="3">
        <v>44956</v>
      </c>
      <c r="M843" t="s">
        <v>34</v>
      </c>
      <c r="N843" s="4"/>
      <c r="O843" t="str" cm="1">
        <f t="array" ref="O84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843" t="s">
        <v>2554</v>
      </c>
      <c r="Q843" t="s">
        <v>2926</v>
      </c>
      <c r="R843" s="5">
        <v>62.2</v>
      </c>
      <c r="S843" s="5">
        <v>28.25</v>
      </c>
    </row>
    <row r="844" spans="1:19" x14ac:dyDescent="0.25">
      <c r="A844" t="s">
        <v>2555</v>
      </c>
      <c r="B844" t="s">
        <v>2556</v>
      </c>
      <c r="C844" t="s">
        <v>2557</v>
      </c>
      <c r="D844" t="s">
        <v>51</v>
      </c>
      <c r="E844" t="s">
        <v>45</v>
      </c>
      <c r="F844">
        <v>72</v>
      </c>
      <c r="G844" t="s">
        <v>1746</v>
      </c>
      <c r="H844">
        <v>2</v>
      </c>
      <c r="I844">
        <v>33.479999999999997</v>
      </c>
      <c r="J844" t="s">
        <v>2558</v>
      </c>
      <c r="K844" t="s">
        <v>19</v>
      </c>
      <c r="L844" s="3">
        <v>45160</v>
      </c>
      <c r="M844" t="s">
        <v>48</v>
      </c>
      <c r="N844" s="4">
        <v>72</v>
      </c>
      <c r="O844" t="str" cm="1">
        <f t="array" ref="O84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44" t="s">
        <v>1746</v>
      </c>
      <c r="Q844" t="s">
        <v>2925</v>
      </c>
      <c r="R844" s="5">
        <v>33.479999999999997</v>
      </c>
      <c r="S844" s="5">
        <v>13.55</v>
      </c>
    </row>
    <row r="845" spans="1:19" x14ac:dyDescent="0.25">
      <c r="A845" t="s">
        <v>2559</v>
      </c>
      <c r="B845" t="s">
        <v>124</v>
      </c>
      <c r="C845" t="s">
        <v>2560</v>
      </c>
      <c r="D845" t="s">
        <v>16</v>
      </c>
      <c r="E845" t="s">
        <v>85</v>
      </c>
      <c r="F845">
        <v>34</v>
      </c>
      <c r="G845" t="s">
        <v>2561</v>
      </c>
      <c r="H845">
        <v>1</v>
      </c>
      <c r="I845" s="2">
        <v>8.85</v>
      </c>
      <c r="J845">
        <v>2.81</v>
      </c>
      <c r="K845" t="s">
        <v>41</v>
      </c>
      <c r="L845" s="3">
        <v>45541</v>
      </c>
      <c r="M845" t="s">
        <v>34</v>
      </c>
      <c r="N845" s="4">
        <v>34</v>
      </c>
      <c r="O845" t="str" cm="1">
        <f t="array" ref="O84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45" t="s">
        <v>2561</v>
      </c>
      <c r="Q845" t="s">
        <v>2926</v>
      </c>
      <c r="R845" s="5">
        <v>8.85</v>
      </c>
      <c r="S845" s="5">
        <v>2.81</v>
      </c>
    </row>
    <row r="846" spans="1:19" x14ac:dyDescent="0.25">
      <c r="A846" t="s">
        <v>2562</v>
      </c>
      <c r="B846" t="s">
        <v>487</v>
      </c>
      <c r="C846" s="1">
        <v>45414</v>
      </c>
      <c r="D846" t="s">
        <v>51</v>
      </c>
      <c r="E846" t="s">
        <v>45</v>
      </c>
      <c r="F846">
        <v>19</v>
      </c>
      <c r="G846" t="s">
        <v>2563</v>
      </c>
      <c r="H846">
        <v>1</v>
      </c>
      <c r="I846">
        <v>47.82</v>
      </c>
      <c r="J846">
        <v>23.33</v>
      </c>
      <c r="K846" t="s">
        <v>19</v>
      </c>
      <c r="L846" s="3">
        <v>45414</v>
      </c>
      <c r="M846" t="s">
        <v>48</v>
      </c>
      <c r="N846" s="4">
        <v>19</v>
      </c>
      <c r="O846" t="str" cm="1">
        <f t="array" ref="O84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846" t="s">
        <v>2563</v>
      </c>
      <c r="Q846" t="s">
        <v>2925</v>
      </c>
      <c r="R846" s="5">
        <v>47.82</v>
      </c>
      <c r="S846" s="5">
        <v>23.33</v>
      </c>
    </row>
    <row r="847" spans="1:19" x14ac:dyDescent="0.25">
      <c r="A847" t="s">
        <v>2564</v>
      </c>
      <c r="B847" t="s">
        <v>490</v>
      </c>
      <c r="C847" s="3">
        <v>44954</v>
      </c>
      <c r="D847" t="s">
        <v>24</v>
      </c>
      <c r="E847" t="s">
        <v>48</v>
      </c>
      <c r="F847">
        <v>64</v>
      </c>
      <c r="G847" t="s">
        <v>2565</v>
      </c>
      <c r="H847">
        <v>1</v>
      </c>
      <c r="I847" t="s">
        <v>1405</v>
      </c>
      <c r="J847">
        <v>4.75</v>
      </c>
      <c r="K847" t="s">
        <v>19</v>
      </c>
      <c r="L847" s="3">
        <v>44954</v>
      </c>
      <c r="M847" t="s">
        <v>48</v>
      </c>
      <c r="N847" s="4">
        <v>64</v>
      </c>
      <c r="O847" t="str" cm="1">
        <f t="array" ref="O84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47" t="s">
        <v>2565</v>
      </c>
      <c r="Q847" t="s">
        <v>2939</v>
      </c>
      <c r="R847" s="5">
        <v>12.03</v>
      </c>
      <c r="S847" s="5">
        <v>4.75</v>
      </c>
    </row>
    <row r="848" spans="1:19" x14ac:dyDescent="0.25">
      <c r="A848" t="s">
        <v>2566</v>
      </c>
      <c r="B848" t="s">
        <v>1226</v>
      </c>
      <c r="C848" t="s">
        <v>2567</v>
      </c>
      <c r="D848" t="s">
        <v>51</v>
      </c>
      <c r="E848" t="s">
        <v>45</v>
      </c>
      <c r="F848">
        <v>38</v>
      </c>
      <c r="G848" t="s">
        <v>2568</v>
      </c>
      <c r="H848">
        <v>3</v>
      </c>
      <c r="I848" t="s">
        <v>2569</v>
      </c>
      <c r="J848">
        <v>30.31</v>
      </c>
      <c r="K848" t="s">
        <v>19</v>
      </c>
      <c r="L848" s="3">
        <v>45308</v>
      </c>
      <c r="M848" t="s">
        <v>48</v>
      </c>
      <c r="N848" s="4">
        <v>38</v>
      </c>
      <c r="O848" t="str" cm="1">
        <f t="array" ref="O84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48" t="s">
        <v>2568</v>
      </c>
      <c r="Q848" t="s">
        <v>2927</v>
      </c>
      <c r="R848" s="5">
        <v>105.2</v>
      </c>
      <c r="S848" s="5">
        <v>30.31</v>
      </c>
    </row>
    <row r="849" spans="1:19" x14ac:dyDescent="0.25">
      <c r="A849" t="s">
        <v>456</v>
      </c>
      <c r="B849" t="s">
        <v>457</v>
      </c>
      <c r="C849" s="1">
        <v>45033</v>
      </c>
      <c r="D849" t="s">
        <v>30</v>
      </c>
      <c r="E849" t="s">
        <v>31</v>
      </c>
      <c r="F849">
        <v>70</v>
      </c>
      <c r="G849" t="s">
        <v>458</v>
      </c>
      <c r="H849">
        <v>2</v>
      </c>
      <c r="I849" t="s">
        <v>459</v>
      </c>
      <c r="J849">
        <v>13.7</v>
      </c>
      <c r="K849" t="s">
        <v>41</v>
      </c>
      <c r="L849" s="3">
        <v>45033</v>
      </c>
      <c r="M849" t="s">
        <v>34</v>
      </c>
      <c r="N849" s="4">
        <v>70</v>
      </c>
      <c r="O849" t="str" cm="1">
        <f t="array" ref="O84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49" t="s">
        <v>458</v>
      </c>
      <c r="Q849" t="s">
        <v>2926</v>
      </c>
      <c r="R849" s="5">
        <v>31.64</v>
      </c>
      <c r="S849" s="5">
        <v>13.7</v>
      </c>
    </row>
    <row r="850" spans="1:19" x14ac:dyDescent="0.25">
      <c r="A850" t="s">
        <v>2570</v>
      </c>
      <c r="B850" t="s">
        <v>124</v>
      </c>
      <c r="C850" t="s">
        <v>1569</v>
      </c>
      <c r="D850" t="s">
        <v>51</v>
      </c>
      <c r="E850" t="s">
        <v>85</v>
      </c>
      <c r="F850">
        <v>71</v>
      </c>
      <c r="G850" t="s">
        <v>2571</v>
      </c>
      <c r="H850">
        <v>1</v>
      </c>
      <c r="I850" t="s">
        <v>2572</v>
      </c>
      <c r="J850">
        <v>6.13</v>
      </c>
      <c r="K850" t="s">
        <v>19</v>
      </c>
      <c r="L850" s="3">
        <v>44972</v>
      </c>
      <c r="M850" t="s">
        <v>34</v>
      </c>
      <c r="N850" s="4">
        <v>71</v>
      </c>
      <c r="O850" t="str" cm="1">
        <f t="array" ref="O85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50" t="s">
        <v>2571</v>
      </c>
      <c r="Q850" t="s">
        <v>2929</v>
      </c>
      <c r="R850" s="5">
        <v>27.27</v>
      </c>
      <c r="S850" s="5">
        <v>6.13</v>
      </c>
    </row>
    <row r="851" spans="1:19" x14ac:dyDescent="0.25">
      <c r="A851" t="s">
        <v>2573</v>
      </c>
      <c r="B851" t="s">
        <v>539</v>
      </c>
      <c r="C851" t="s">
        <v>2574</v>
      </c>
      <c r="D851" t="s">
        <v>129</v>
      </c>
      <c r="E851" t="s">
        <v>48</v>
      </c>
      <c r="F851">
        <v>40</v>
      </c>
      <c r="G851" t="s">
        <v>2575</v>
      </c>
      <c r="H851">
        <v>1</v>
      </c>
      <c r="I851" t="s">
        <v>205</v>
      </c>
      <c r="J851">
        <v>3.07</v>
      </c>
      <c r="K851" t="s">
        <v>41</v>
      </c>
      <c r="L851" s="3">
        <v>45401</v>
      </c>
      <c r="M851" t="s">
        <v>48</v>
      </c>
      <c r="N851" s="4">
        <v>40</v>
      </c>
      <c r="O851" t="str" cm="1">
        <f t="array" ref="O85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51" t="s">
        <v>2575</v>
      </c>
      <c r="Q851" t="s">
        <v>2929</v>
      </c>
      <c r="R851" s="5"/>
      <c r="S851" s="5">
        <v>3.07</v>
      </c>
    </row>
    <row r="852" spans="1:19" x14ac:dyDescent="0.25">
      <c r="A852" t="s">
        <v>2576</v>
      </c>
      <c r="B852" t="s">
        <v>2392</v>
      </c>
      <c r="C852" t="s">
        <v>2073</v>
      </c>
      <c r="D852" t="s">
        <v>51</v>
      </c>
      <c r="E852" t="s">
        <v>65</v>
      </c>
      <c r="F852">
        <v>67</v>
      </c>
      <c r="G852" t="s">
        <v>130</v>
      </c>
      <c r="H852">
        <v>1</v>
      </c>
      <c r="I852" t="s">
        <v>2577</v>
      </c>
      <c r="J852">
        <v>2.04</v>
      </c>
      <c r="K852" t="s">
        <v>41</v>
      </c>
      <c r="L852" s="3">
        <v>45001</v>
      </c>
      <c r="M852" t="s">
        <v>48</v>
      </c>
      <c r="N852" s="4">
        <v>67</v>
      </c>
      <c r="O852" t="str" cm="1">
        <f t="array" ref="O85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52" t="s">
        <v>130</v>
      </c>
      <c r="Q852" t="s">
        <v>2926</v>
      </c>
      <c r="R852" s="5">
        <v>8.36</v>
      </c>
      <c r="S852" s="5">
        <v>2.04</v>
      </c>
    </row>
    <row r="853" spans="1:19" x14ac:dyDescent="0.25">
      <c r="A853" t="s">
        <v>2578</v>
      </c>
      <c r="B853" t="s">
        <v>2579</v>
      </c>
      <c r="C853" s="3">
        <v>45112</v>
      </c>
      <c r="D853" t="s">
        <v>51</v>
      </c>
      <c r="E853" t="s">
        <v>60</v>
      </c>
      <c r="F853">
        <v>66</v>
      </c>
      <c r="G853" t="s">
        <v>2580</v>
      </c>
      <c r="H853">
        <v>1</v>
      </c>
      <c r="I853" t="s">
        <v>2581</v>
      </c>
      <c r="J853">
        <v>14.79</v>
      </c>
      <c r="K853" t="s">
        <v>19</v>
      </c>
      <c r="L853" s="3">
        <v>45112</v>
      </c>
      <c r="M853" t="s">
        <v>48</v>
      </c>
      <c r="N853" s="4">
        <v>66</v>
      </c>
      <c r="O853" t="str" cm="1">
        <f t="array" ref="O85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53" t="s">
        <v>447</v>
      </c>
      <c r="Q853" t="s">
        <v>2926</v>
      </c>
      <c r="R853" s="5">
        <v>35.869999999999997</v>
      </c>
      <c r="S853" s="5">
        <v>14.79</v>
      </c>
    </row>
    <row r="854" spans="1:19" x14ac:dyDescent="0.25">
      <c r="A854" t="s">
        <v>2582</v>
      </c>
      <c r="B854" t="s">
        <v>1838</v>
      </c>
      <c r="C854" t="s">
        <v>2583</v>
      </c>
      <c r="D854" t="s">
        <v>129</v>
      </c>
      <c r="E854" t="s">
        <v>48</v>
      </c>
      <c r="F854">
        <v>42</v>
      </c>
      <c r="G854" t="s">
        <v>744</v>
      </c>
      <c r="H854">
        <v>1</v>
      </c>
      <c r="I854" t="s">
        <v>2584</v>
      </c>
      <c r="J854">
        <v>7.54</v>
      </c>
      <c r="K854" t="s">
        <v>41</v>
      </c>
      <c r="L854" s="3">
        <v>45278</v>
      </c>
      <c r="M854" t="s">
        <v>48</v>
      </c>
      <c r="N854" s="4">
        <v>42</v>
      </c>
      <c r="O854" t="str" cm="1">
        <f t="array" ref="O85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54" t="s">
        <v>744</v>
      </c>
      <c r="Q854" t="s">
        <v>2926</v>
      </c>
      <c r="R854" s="5">
        <v>18.98</v>
      </c>
      <c r="S854" s="5">
        <v>7.54</v>
      </c>
    </row>
    <row r="855" spans="1:19" x14ac:dyDescent="0.25">
      <c r="A855" t="s">
        <v>2585</v>
      </c>
      <c r="B855" t="s">
        <v>803</v>
      </c>
      <c r="C855" t="s">
        <v>2586</v>
      </c>
      <c r="D855" t="s">
        <v>16</v>
      </c>
      <c r="E855" t="s">
        <v>34</v>
      </c>
      <c r="F855" t="s">
        <v>435</v>
      </c>
      <c r="G855" t="s">
        <v>2587</v>
      </c>
      <c r="H855">
        <v>2</v>
      </c>
      <c r="I855" s="2">
        <v>52.17</v>
      </c>
      <c r="J855">
        <v>15.56</v>
      </c>
      <c r="K855" t="s">
        <v>41</v>
      </c>
      <c r="L855" s="3">
        <v>45490</v>
      </c>
      <c r="M855" t="s">
        <v>34</v>
      </c>
      <c r="N855" s="4"/>
      <c r="O855" t="str" cm="1">
        <f t="array" ref="O85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855" t="s">
        <v>2587</v>
      </c>
      <c r="Q855" t="s">
        <v>2927</v>
      </c>
      <c r="R855" s="5">
        <v>52.17</v>
      </c>
      <c r="S855" s="5">
        <v>15.56</v>
      </c>
    </row>
    <row r="856" spans="1:19" x14ac:dyDescent="0.25">
      <c r="A856" t="s">
        <v>2588</v>
      </c>
      <c r="B856" t="s">
        <v>43</v>
      </c>
      <c r="C856" t="s">
        <v>2589</v>
      </c>
      <c r="D856" t="s">
        <v>129</v>
      </c>
      <c r="E856" t="s">
        <v>34</v>
      </c>
      <c r="F856">
        <v>55</v>
      </c>
      <c r="G856" t="s">
        <v>2590</v>
      </c>
      <c r="H856">
        <v>2</v>
      </c>
      <c r="I856">
        <v>20.61</v>
      </c>
      <c r="J856">
        <v>7.07</v>
      </c>
      <c r="K856" t="s">
        <v>19</v>
      </c>
      <c r="L856" s="3">
        <v>45007</v>
      </c>
      <c r="M856" t="s">
        <v>34</v>
      </c>
      <c r="N856" s="4">
        <v>55</v>
      </c>
      <c r="O856" t="str" cm="1">
        <f t="array" ref="O85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56" t="s">
        <v>2590</v>
      </c>
      <c r="Q856" t="s">
        <v>2929</v>
      </c>
      <c r="R856" s="5">
        <v>20.61</v>
      </c>
      <c r="S856" s="5">
        <v>7.07</v>
      </c>
    </row>
    <row r="857" spans="1:19" x14ac:dyDescent="0.25">
      <c r="A857" t="s">
        <v>2591</v>
      </c>
      <c r="B857" t="s">
        <v>2592</v>
      </c>
      <c r="C857" s="1">
        <v>45139</v>
      </c>
      <c r="D857" t="s">
        <v>51</v>
      </c>
      <c r="E857" t="s">
        <v>70</v>
      </c>
      <c r="F857">
        <v>24</v>
      </c>
      <c r="G857" t="s">
        <v>2593</v>
      </c>
      <c r="H857">
        <v>1</v>
      </c>
      <c r="I857">
        <v>31.53</v>
      </c>
      <c r="J857">
        <v>14.81</v>
      </c>
      <c r="K857" t="s">
        <v>41</v>
      </c>
      <c r="L857" s="3">
        <v>45139</v>
      </c>
      <c r="M857" t="s">
        <v>20</v>
      </c>
      <c r="N857" s="4">
        <v>24</v>
      </c>
      <c r="O857" t="str" cm="1">
        <f t="array" ref="O85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857" t="s">
        <v>2977</v>
      </c>
      <c r="Q857" t="s">
        <v>2932</v>
      </c>
      <c r="R857" s="5">
        <v>31.53</v>
      </c>
      <c r="S857" s="5">
        <v>14.81</v>
      </c>
    </row>
    <row r="858" spans="1:19" x14ac:dyDescent="0.25">
      <c r="A858" t="s">
        <v>2594</v>
      </c>
      <c r="B858" t="s">
        <v>1273</v>
      </c>
      <c r="C858" t="s">
        <v>2595</v>
      </c>
      <c r="D858" t="s">
        <v>51</v>
      </c>
      <c r="F858">
        <v>70</v>
      </c>
      <c r="G858" t="s">
        <v>686</v>
      </c>
      <c r="H858">
        <v>2</v>
      </c>
      <c r="I858">
        <v>83.38</v>
      </c>
      <c r="J858" t="s">
        <v>2596</v>
      </c>
      <c r="K858" t="s">
        <v>19</v>
      </c>
      <c r="L858" s="3">
        <v>45099</v>
      </c>
      <c r="M858" t="s">
        <v>20</v>
      </c>
      <c r="N858" s="4">
        <v>70</v>
      </c>
      <c r="O858" t="str" cm="1">
        <f t="array" ref="O85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58" t="s">
        <v>686</v>
      </c>
      <c r="Q858" t="s">
        <v>2929</v>
      </c>
      <c r="R858" s="5">
        <v>83.38</v>
      </c>
      <c r="S858" s="5">
        <v>42.73</v>
      </c>
    </row>
    <row r="859" spans="1:19" x14ac:dyDescent="0.25">
      <c r="A859" t="s">
        <v>2597</v>
      </c>
      <c r="B859" t="s">
        <v>507</v>
      </c>
      <c r="C859" s="1">
        <v>45151</v>
      </c>
      <c r="D859" t="s">
        <v>24</v>
      </c>
      <c r="E859" t="s">
        <v>70</v>
      </c>
      <c r="F859">
        <v>15</v>
      </c>
      <c r="G859" t="s">
        <v>2598</v>
      </c>
      <c r="H859">
        <v>1</v>
      </c>
      <c r="I859" s="2">
        <v>18.190000000000001</v>
      </c>
      <c r="J859" s="2">
        <v>8.8000000000000007</v>
      </c>
      <c r="K859" t="s">
        <v>19</v>
      </c>
      <c r="L859" s="3">
        <v>45151</v>
      </c>
      <c r="M859" t="s">
        <v>20</v>
      </c>
      <c r="N859" s="4">
        <v>15</v>
      </c>
      <c r="O859" t="str" cm="1">
        <f t="array" ref="O85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859" t="s">
        <v>2598</v>
      </c>
      <c r="Q859" t="s">
        <v>2927</v>
      </c>
      <c r="R859" s="5">
        <v>18.190000000000001</v>
      </c>
      <c r="S859" s="5">
        <v>8.8000000000000007</v>
      </c>
    </row>
    <row r="860" spans="1:19" x14ac:dyDescent="0.25">
      <c r="A860" t="s">
        <v>2599</v>
      </c>
      <c r="B860" t="s">
        <v>194</v>
      </c>
      <c r="C860" s="1">
        <v>45545</v>
      </c>
      <c r="D860" t="s">
        <v>16</v>
      </c>
      <c r="E860" t="s">
        <v>38</v>
      </c>
      <c r="F860">
        <v>13</v>
      </c>
      <c r="G860" t="s">
        <v>2600</v>
      </c>
      <c r="H860">
        <v>4</v>
      </c>
      <c r="I860">
        <v>69</v>
      </c>
      <c r="J860">
        <v>34.67</v>
      </c>
      <c r="K860" t="s">
        <v>19</v>
      </c>
      <c r="L860" s="3">
        <v>45545</v>
      </c>
      <c r="M860" t="s">
        <v>34</v>
      </c>
      <c r="N860" s="4">
        <v>13</v>
      </c>
      <c r="O860" t="str" cm="1">
        <f t="array" ref="O86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860" t="s">
        <v>2600</v>
      </c>
      <c r="Q860" t="s">
        <v>2927</v>
      </c>
      <c r="R860" s="5">
        <v>69</v>
      </c>
      <c r="S860" s="5">
        <v>34.67</v>
      </c>
    </row>
    <row r="861" spans="1:19" x14ac:dyDescent="0.25">
      <c r="A861" t="s">
        <v>2601</v>
      </c>
      <c r="B861" t="s">
        <v>1130</v>
      </c>
      <c r="C861" s="1">
        <v>45037</v>
      </c>
      <c r="D861" t="s">
        <v>129</v>
      </c>
      <c r="E861" t="s">
        <v>85</v>
      </c>
      <c r="F861">
        <v>23</v>
      </c>
      <c r="G861" t="s">
        <v>2602</v>
      </c>
      <c r="H861">
        <v>3</v>
      </c>
      <c r="I861">
        <v>36.21</v>
      </c>
      <c r="J861">
        <v>24.48</v>
      </c>
      <c r="K861" t="s">
        <v>41</v>
      </c>
      <c r="L861" s="3">
        <v>45037</v>
      </c>
      <c r="M861" t="s">
        <v>34</v>
      </c>
      <c r="N861" s="4">
        <v>23</v>
      </c>
      <c r="O861" t="str" cm="1">
        <f t="array" ref="O86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861" t="s">
        <v>2602</v>
      </c>
      <c r="Q861" t="s">
        <v>2927</v>
      </c>
      <c r="R861" s="5">
        <v>36.21</v>
      </c>
      <c r="S861" s="5">
        <v>24.48</v>
      </c>
    </row>
    <row r="862" spans="1:19" x14ac:dyDescent="0.25">
      <c r="A862" t="s">
        <v>2603</v>
      </c>
      <c r="B862" t="s">
        <v>1262</v>
      </c>
      <c r="C862" s="1">
        <v>45321</v>
      </c>
      <c r="D862" t="s">
        <v>16</v>
      </c>
      <c r="E862" t="s">
        <v>85</v>
      </c>
      <c r="F862">
        <v>48</v>
      </c>
      <c r="G862" t="s">
        <v>2604</v>
      </c>
      <c r="H862">
        <v>1</v>
      </c>
      <c r="I862">
        <v>22.48</v>
      </c>
      <c r="J862" t="s">
        <v>2577</v>
      </c>
      <c r="K862" t="s">
        <v>41</v>
      </c>
      <c r="L862" s="3">
        <v>45321</v>
      </c>
      <c r="M862" t="s">
        <v>34</v>
      </c>
      <c r="N862" s="4">
        <v>48</v>
      </c>
      <c r="O862" t="str" cm="1">
        <f t="array" ref="O86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62" t="s">
        <v>2978</v>
      </c>
      <c r="Q862" t="s">
        <v>2927</v>
      </c>
      <c r="R862" s="5">
        <v>22.48</v>
      </c>
      <c r="S862" s="5">
        <v>8.36</v>
      </c>
    </row>
    <row r="863" spans="1:19" x14ac:dyDescent="0.25">
      <c r="A863" t="s">
        <v>2605</v>
      </c>
      <c r="B863" t="s">
        <v>1493</v>
      </c>
      <c r="C863" t="s">
        <v>2606</v>
      </c>
      <c r="D863" t="s">
        <v>30</v>
      </c>
      <c r="E863" t="s">
        <v>48</v>
      </c>
      <c r="F863">
        <v>54</v>
      </c>
      <c r="G863" t="s">
        <v>2607</v>
      </c>
      <c r="H863">
        <v>1</v>
      </c>
      <c r="I863" s="2">
        <v>31.02</v>
      </c>
      <c r="J863">
        <v>11.41</v>
      </c>
      <c r="K863" t="s">
        <v>41</v>
      </c>
      <c r="L863" s="3">
        <v>45168</v>
      </c>
      <c r="M863" t="s">
        <v>48</v>
      </c>
      <c r="N863" s="4">
        <v>54</v>
      </c>
      <c r="O863" t="str" cm="1">
        <f t="array" ref="O86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63" t="s">
        <v>2607</v>
      </c>
      <c r="Q863" t="s">
        <v>2926</v>
      </c>
      <c r="R863" s="5">
        <v>31.02</v>
      </c>
      <c r="S863" s="5">
        <v>11.41</v>
      </c>
    </row>
    <row r="864" spans="1:19" x14ac:dyDescent="0.25">
      <c r="A864" t="s">
        <v>929</v>
      </c>
      <c r="B864" t="s">
        <v>223</v>
      </c>
      <c r="C864" s="1">
        <v>44928</v>
      </c>
      <c r="D864" t="s">
        <v>30</v>
      </c>
      <c r="E864" t="s">
        <v>48</v>
      </c>
      <c r="F864">
        <v>73</v>
      </c>
      <c r="G864" t="s">
        <v>2608</v>
      </c>
      <c r="H864">
        <v>1</v>
      </c>
      <c r="I864">
        <v>25.71</v>
      </c>
      <c r="J864">
        <v>8.5</v>
      </c>
      <c r="K864" t="s">
        <v>41</v>
      </c>
      <c r="L864" s="3">
        <v>44928</v>
      </c>
      <c r="M864" t="s">
        <v>48</v>
      </c>
      <c r="N864" s="4">
        <v>73</v>
      </c>
      <c r="O864" t="str" cm="1">
        <f t="array" ref="O86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64" t="s">
        <v>2608</v>
      </c>
      <c r="Q864" t="s">
        <v>2927</v>
      </c>
      <c r="R864" s="5">
        <v>25.71</v>
      </c>
      <c r="S864" s="5">
        <v>8.5</v>
      </c>
    </row>
    <row r="865" spans="1:19" x14ac:dyDescent="0.25">
      <c r="A865" t="s">
        <v>2609</v>
      </c>
      <c r="B865" t="s">
        <v>566</v>
      </c>
      <c r="C865" t="s">
        <v>2610</v>
      </c>
      <c r="D865" t="s">
        <v>51</v>
      </c>
      <c r="E865" t="s">
        <v>70</v>
      </c>
      <c r="F865">
        <v>51</v>
      </c>
      <c r="G865" t="s">
        <v>2234</v>
      </c>
      <c r="H865">
        <v>1</v>
      </c>
      <c r="I865">
        <v>17.22</v>
      </c>
      <c r="J865">
        <v>9.57</v>
      </c>
      <c r="K865" t="s">
        <v>19</v>
      </c>
      <c r="L865" s="3">
        <v>45628</v>
      </c>
      <c r="M865" t="s">
        <v>20</v>
      </c>
      <c r="N865" s="4">
        <v>51</v>
      </c>
      <c r="O865" t="str" cm="1">
        <f t="array" ref="O86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65" t="s">
        <v>627</v>
      </c>
      <c r="Q865" t="s">
        <v>2926</v>
      </c>
      <c r="R865" s="5">
        <v>17.22</v>
      </c>
      <c r="S865" s="5">
        <v>9.57</v>
      </c>
    </row>
    <row r="866" spans="1:19" x14ac:dyDescent="0.25">
      <c r="A866" t="s">
        <v>2611</v>
      </c>
      <c r="B866" t="s">
        <v>1876</v>
      </c>
      <c r="C866" t="s">
        <v>2612</v>
      </c>
      <c r="D866" t="s">
        <v>24</v>
      </c>
      <c r="E866" t="s">
        <v>38</v>
      </c>
      <c r="F866">
        <v>26</v>
      </c>
      <c r="G866" t="s">
        <v>1468</v>
      </c>
      <c r="H866">
        <v>1</v>
      </c>
      <c r="I866">
        <v>39.21</v>
      </c>
      <c r="J866" t="s">
        <v>25</v>
      </c>
      <c r="K866" t="s">
        <v>41</v>
      </c>
      <c r="L866" s="3">
        <v>45236</v>
      </c>
      <c r="M866" t="s">
        <v>34</v>
      </c>
      <c r="N866" s="4">
        <v>26</v>
      </c>
      <c r="O866" t="str" cm="1">
        <f t="array" ref="O86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66" t="s">
        <v>1468</v>
      </c>
      <c r="Q866" t="s">
        <v>2926</v>
      </c>
      <c r="R866" s="5">
        <v>39.21</v>
      </c>
      <c r="S866" s="5"/>
    </row>
    <row r="867" spans="1:19" x14ac:dyDescent="0.25">
      <c r="A867" t="s">
        <v>88</v>
      </c>
      <c r="B867" t="s">
        <v>89</v>
      </c>
      <c r="C867" t="s">
        <v>90</v>
      </c>
      <c r="D867" t="s">
        <v>51</v>
      </c>
      <c r="E867" t="s">
        <v>34</v>
      </c>
      <c r="F867">
        <v>60</v>
      </c>
      <c r="G867" t="s">
        <v>91</v>
      </c>
      <c r="H867">
        <v>1</v>
      </c>
      <c r="I867" s="2">
        <v>8.39</v>
      </c>
      <c r="J867" s="2">
        <v>2.65</v>
      </c>
      <c r="K867" t="s">
        <v>41</v>
      </c>
      <c r="L867" s="3">
        <v>45037</v>
      </c>
      <c r="M867" t="s">
        <v>34</v>
      </c>
      <c r="N867" s="4">
        <v>60</v>
      </c>
      <c r="O867" t="str" cm="1">
        <f t="array" ref="O86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67" t="s">
        <v>91</v>
      </c>
      <c r="Q867" t="s">
        <v>2926</v>
      </c>
      <c r="R867" s="5">
        <v>8.39</v>
      </c>
      <c r="S867" s="5">
        <v>2.65</v>
      </c>
    </row>
    <row r="868" spans="1:19" x14ac:dyDescent="0.25">
      <c r="A868" t="s">
        <v>2613</v>
      </c>
      <c r="B868" t="s">
        <v>1188</v>
      </c>
      <c r="C868" t="s">
        <v>2614</v>
      </c>
      <c r="D868" t="s">
        <v>16</v>
      </c>
      <c r="E868" t="s">
        <v>34</v>
      </c>
      <c r="F868">
        <v>62</v>
      </c>
      <c r="G868" t="s">
        <v>824</v>
      </c>
      <c r="H868">
        <v>1</v>
      </c>
      <c r="I868">
        <v>30.47</v>
      </c>
      <c r="J868">
        <v>8.77</v>
      </c>
      <c r="K868" t="s">
        <v>41</v>
      </c>
      <c r="L868" s="3">
        <v>45454</v>
      </c>
      <c r="M868" t="s">
        <v>34</v>
      </c>
      <c r="N868" s="4">
        <v>62</v>
      </c>
      <c r="O868" t="str" cm="1">
        <f t="array" ref="O86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68" t="s">
        <v>824</v>
      </c>
      <c r="Q868" t="s">
        <v>2926</v>
      </c>
      <c r="R868" s="5">
        <v>30.47</v>
      </c>
      <c r="S868" s="5">
        <v>8.77</v>
      </c>
    </row>
    <row r="869" spans="1:19" x14ac:dyDescent="0.25">
      <c r="A869" t="s">
        <v>2615</v>
      </c>
      <c r="B869" t="s">
        <v>477</v>
      </c>
      <c r="C869" t="s">
        <v>2505</v>
      </c>
      <c r="D869" t="s">
        <v>30</v>
      </c>
      <c r="E869" t="s">
        <v>45</v>
      </c>
      <c r="F869">
        <v>65</v>
      </c>
      <c r="G869" t="s">
        <v>1433</v>
      </c>
      <c r="H869">
        <v>2</v>
      </c>
      <c r="I869">
        <v>28.86</v>
      </c>
      <c r="J869">
        <v>13.07</v>
      </c>
      <c r="K869" t="s">
        <v>19</v>
      </c>
      <c r="L869" s="3">
        <v>45634</v>
      </c>
      <c r="M869" t="s">
        <v>48</v>
      </c>
      <c r="N869" s="4">
        <v>65</v>
      </c>
      <c r="O869" t="str" cm="1">
        <f t="array" ref="O86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69" t="s">
        <v>1433</v>
      </c>
      <c r="Q869" t="s">
        <v>2932</v>
      </c>
      <c r="R869" s="5">
        <v>28.86</v>
      </c>
      <c r="S869" s="5">
        <v>13.07</v>
      </c>
    </row>
    <row r="870" spans="1:19" x14ac:dyDescent="0.25">
      <c r="A870" t="s">
        <v>2616</v>
      </c>
      <c r="B870" t="s">
        <v>589</v>
      </c>
      <c r="C870" s="3">
        <v>45256</v>
      </c>
      <c r="D870" t="s">
        <v>30</v>
      </c>
      <c r="E870" t="s">
        <v>48</v>
      </c>
      <c r="F870">
        <v>29</v>
      </c>
      <c r="G870" t="s">
        <v>1048</v>
      </c>
      <c r="H870">
        <v>1</v>
      </c>
      <c r="I870">
        <v>9.58</v>
      </c>
      <c r="J870">
        <v>5.17</v>
      </c>
      <c r="K870" t="s">
        <v>19</v>
      </c>
      <c r="L870" s="3">
        <v>45256</v>
      </c>
      <c r="M870" t="s">
        <v>48</v>
      </c>
      <c r="N870" s="4">
        <v>29</v>
      </c>
      <c r="O870" t="str" cm="1">
        <f t="array" ref="O87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70" t="s">
        <v>1048</v>
      </c>
      <c r="Q870" t="s">
        <v>2926</v>
      </c>
      <c r="R870" s="5">
        <v>9.58</v>
      </c>
      <c r="S870" s="5">
        <v>5.17</v>
      </c>
    </row>
    <row r="871" spans="1:19" x14ac:dyDescent="0.25">
      <c r="A871" t="s">
        <v>2617</v>
      </c>
      <c r="B871" t="s">
        <v>1497</v>
      </c>
      <c r="C871" s="3">
        <v>45501</v>
      </c>
      <c r="D871" t="s">
        <v>16</v>
      </c>
      <c r="E871" t="s">
        <v>65</v>
      </c>
      <c r="F871">
        <v>18</v>
      </c>
      <c r="G871" t="s">
        <v>2618</v>
      </c>
      <c r="H871">
        <v>1</v>
      </c>
      <c r="I871">
        <v>22.1</v>
      </c>
      <c r="J871">
        <v>6.18</v>
      </c>
      <c r="K871" t="s">
        <v>19</v>
      </c>
      <c r="L871" s="3">
        <v>45501</v>
      </c>
      <c r="M871" t="s">
        <v>48</v>
      </c>
      <c r="N871" s="4">
        <v>18</v>
      </c>
      <c r="O871" t="str" cm="1">
        <f t="array" ref="O87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871" t="s">
        <v>2618</v>
      </c>
      <c r="Q871" t="s">
        <v>2927</v>
      </c>
      <c r="R871" s="5">
        <v>22.1</v>
      </c>
      <c r="S871" s="5">
        <v>6.18</v>
      </c>
    </row>
    <row r="872" spans="1:19" x14ac:dyDescent="0.25">
      <c r="A872" t="s">
        <v>2619</v>
      </c>
      <c r="B872" t="s">
        <v>2620</v>
      </c>
      <c r="C872" s="3">
        <v>45135</v>
      </c>
      <c r="D872" t="s">
        <v>16</v>
      </c>
      <c r="E872" t="s">
        <v>70</v>
      </c>
      <c r="F872">
        <v>32</v>
      </c>
      <c r="G872" t="s">
        <v>635</v>
      </c>
      <c r="H872">
        <v>3</v>
      </c>
      <c r="I872">
        <v>81.67</v>
      </c>
      <c r="J872">
        <v>33.89</v>
      </c>
      <c r="K872" t="s">
        <v>41</v>
      </c>
      <c r="L872" s="3">
        <v>45135</v>
      </c>
      <c r="M872" t="s">
        <v>20</v>
      </c>
      <c r="N872" s="4">
        <v>32</v>
      </c>
      <c r="O872" t="str" cm="1">
        <f t="array" ref="O87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72" t="s">
        <v>635</v>
      </c>
      <c r="Q872" t="s">
        <v>2927</v>
      </c>
      <c r="R872" s="5">
        <v>81.67</v>
      </c>
      <c r="S872" s="5">
        <v>33.89</v>
      </c>
    </row>
    <row r="873" spans="1:19" x14ac:dyDescent="0.25">
      <c r="A873" t="s">
        <v>2621</v>
      </c>
      <c r="B873" t="s">
        <v>402</v>
      </c>
      <c r="C873" s="1">
        <v>45406</v>
      </c>
      <c r="D873" t="s">
        <v>30</v>
      </c>
      <c r="E873" t="s">
        <v>65</v>
      </c>
      <c r="F873">
        <v>41</v>
      </c>
      <c r="G873" t="s">
        <v>258</v>
      </c>
      <c r="H873">
        <v>1</v>
      </c>
      <c r="I873">
        <v>21.5</v>
      </c>
      <c r="J873">
        <v>5.09</v>
      </c>
      <c r="K873" t="s">
        <v>19</v>
      </c>
      <c r="L873" s="3">
        <v>45406</v>
      </c>
      <c r="M873" t="s">
        <v>48</v>
      </c>
      <c r="N873" s="4">
        <v>41</v>
      </c>
      <c r="O873" t="str" cm="1">
        <f t="array" ref="O87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73" t="s">
        <v>258</v>
      </c>
      <c r="Q873" t="s">
        <v>2927</v>
      </c>
      <c r="R873" s="5">
        <v>21.5</v>
      </c>
      <c r="S873" s="5">
        <v>5.09</v>
      </c>
    </row>
    <row r="874" spans="1:19" x14ac:dyDescent="0.25">
      <c r="A874" t="s">
        <v>275</v>
      </c>
      <c r="B874" t="s">
        <v>276</v>
      </c>
      <c r="C874" s="1">
        <v>45588</v>
      </c>
      <c r="D874" t="s">
        <v>129</v>
      </c>
      <c r="E874" t="s">
        <v>45</v>
      </c>
      <c r="F874">
        <v>18</v>
      </c>
      <c r="G874" t="s">
        <v>277</v>
      </c>
      <c r="H874">
        <v>-1</v>
      </c>
      <c r="I874">
        <v>-4.59</v>
      </c>
      <c r="J874">
        <v>-1.1599999999999999</v>
      </c>
      <c r="K874" t="s">
        <v>19</v>
      </c>
      <c r="L874" s="3">
        <v>45588</v>
      </c>
      <c r="M874" t="s">
        <v>48</v>
      </c>
      <c r="N874" s="4">
        <v>18</v>
      </c>
      <c r="O874" t="str" cm="1">
        <f t="array" ref="O87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874" t="s">
        <v>277</v>
      </c>
      <c r="Q874" t="s">
        <v>2929</v>
      </c>
      <c r="R874" s="5">
        <v>-4.59</v>
      </c>
      <c r="S874" s="5">
        <v>-1.1599999999999999</v>
      </c>
    </row>
    <row r="875" spans="1:19" x14ac:dyDescent="0.25">
      <c r="A875" t="s">
        <v>2622</v>
      </c>
      <c r="B875" t="s">
        <v>402</v>
      </c>
      <c r="C875" t="s">
        <v>2623</v>
      </c>
      <c r="D875" t="s">
        <v>30</v>
      </c>
      <c r="E875" t="s">
        <v>60</v>
      </c>
      <c r="F875">
        <v>17</v>
      </c>
      <c r="G875" t="s">
        <v>2380</v>
      </c>
      <c r="H875">
        <v>1</v>
      </c>
      <c r="I875" t="s">
        <v>2624</v>
      </c>
      <c r="J875">
        <v>15.17</v>
      </c>
      <c r="K875" t="s">
        <v>19</v>
      </c>
      <c r="L875" s="3">
        <v>44946</v>
      </c>
      <c r="M875" t="s">
        <v>48</v>
      </c>
      <c r="N875" s="4">
        <v>17</v>
      </c>
      <c r="O875" t="str" cm="1">
        <f t="array" ref="O87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875" t="s">
        <v>2380</v>
      </c>
      <c r="Q875" t="s">
        <v>2926</v>
      </c>
      <c r="R875" s="5">
        <v>35.99</v>
      </c>
      <c r="S875" s="5">
        <v>15.17</v>
      </c>
    </row>
    <row r="876" spans="1:19" x14ac:dyDescent="0.25">
      <c r="A876" t="s">
        <v>2625</v>
      </c>
      <c r="B876" t="s">
        <v>2626</v>
      </c>
      <c r="C876" t="s">
        <v>2627</v>
      </c>
      <c r="D876" t="s">
        <v>51</v>
      </c>
      <c r="E876" t="s">
        <v>34</v>
      </c>
      <c r="G876" t="s">
        <v>1147</v>
      </c>
      <c r="H876">
        <v>2</v>
      </c>
      <c r="I876">
        <v>83.26</v>
      </c>
      <c r="J876">
        <v>39.4</v>
      </c>
      <c r="K876" t="s">
        <v>41</v>
      </c>
      <c r="L876" s="3">
        <v>45466</v>
      </c>
      <c r="M876" t="s">
        <v>34</v>
      </c>
      <c r="N876" s="4"/>
      <c r="O876" t="str" cm="1">
        <f t="array" ref="O87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876" t="s">
        <v>1147</v>
      </c>
      <c r="Q876" t="s">
        <v>2929</v>
      </c>
      <c r="R876" s="5">
        <v>83.26</v>
      </c>
      <c r="S876" s="5">
        <v>39.4</v>
      </c>
    </row>
    <row r="877" spans="1:19" x14ac:dyDescent="0.25">
      <c r="A877" t="s">
        <v>1456</v>
      </c>
      <c r="B877" t="s">
        <v>1457</v>
      </c>
      <c r="C877" t="s">
        <v>1458</v>
      </c>
      <c r="D877" t="s">
        <v>51</v>
      </c>
      <c r="E877" t="s">
        <v>45</v>
      </c>
      <c r="F877">
        <v>36</v>
      </c>
      <c r="G877" t="s">
        <v>962</v>
      </c>
      <c r="H877">
        <v>-2</v>
      </c>
      <c r="I877" t="s">
        <v>1459</v>
      </c>
      <c r="J877">
        <v>-24.9</v>
      </c>
      <c r="K877" t="s">
        <v>41</v>
      </c>
      <c r="L877" s="3">
        <v>44934</v>
      </c>
      <c r="M877" t="s">
        <v>48</v>
      </c>
      <c r="N877" s="4">
        <v>36</v>
      </c>
      <c r="O877" t="str" cm="1">
        <f t="array" ref="O87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77" t="s">
        <v>962</v>
      </c>
      <c r="Q877" t="s">
        <v>2927</v>
      </c>
      <c r="R877" s="5">
        <v>-62.4</v>
      </c>
      <c r="S877" s="5">
        <v>-24.9</v>
      </c>
    </row>
    <row r="878" spans="1:19" x14ac:dyDescent="0.25">
      <c r="A878" t="s">
        <v>2628</v>
      </c>
      <c r="B878" t="s">
        <v>1736</v>
      </c>
      <c r="C878" s="1">
        <v>45102</v>
      </c>
      <c r="D878" t="s">
        <v>16</v>
      </c>
      <c r="E878" t="s">
        <v>38</v>
      </c>
      <c r="F878">
        <v>39</v>
      </c>
      <c r="G878" t="s">
        <v>2629</v>
      </c>
      <c r="H878">
        <v>1</v>
      </c>
      <c r="I878">
        <v>11.77</v>
      </c>
      <c r="J878" t="s">
        <v>2630</v>
      </c>
      <c r="K878" t="s">
        <v>41</v>
      </c>
      <c r="L878" s="3">
        <v>45102</v>
      </c>
      <c r="M878" t="s">
        <v>34</v>
      </c>
      <c r="N878" s="4">
        <v>39</v>
      </c>
      <c r="O878" t="str" cm="1">
        <f t="array" ref="O87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78" t="s">
        <v>2629</v>
      </c>
      <c r="Q878" t="s">
        <v>2927</v>
      </c>
      <c r="R878" s="5">
        <v>11.77</v>
      </c>
      <c r="S878" s="5">
        <v>5.21</v>
      </c>
    </row>
    <row r="879" spans="1:19" x14ac:dyDescent="0.25">
      <c r="A879" t="s">
        <v>2631</v>
      </c>
      <c r="B879" t="s">
        <v>64</v>
      </c>
      <c r="C879" s="1">
        <v>45184</v>
      </c>
      <c r="D879" t="s">
        <v>30</v>
      </c>
      <c r="E879" t="s">
        <v>34</v>
      </c>
      <c r="F879">
        <v>63</v>
      </c>
      <c r="G879" t="s">
        <v>2632</v>
      </c>
      <c r="H879">
        <v>2</v>
      </c>
      <c r="I879" t="s">
        <v>2633</v>
      </c>
      <c r="J879" s="2">
        <v>5.48</v>
      </c>
      <c r="K879" t="s">
        <v>41</v>
      </c>
      <c r="L879" s="3">
        <v>45184</v>
      </c>
      <c r="M879" t="s">
        <v>34</v>
      </c>
      <c r="N879" s="4">
        <v>63</v>
      </c>
      <c r="O879" t="str" cm="1">
        <f t="array" ref="O87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79" t="s">
        <v>1697</v>
      </c>
      <c r="Q879" t="s">
        <v>2925</v>
      </c>
      <c r="R879" s="5">
        <v>14.64</v>
      </c>
      <c r="S879" s="5">
        <v>5.48</v>
      </c>
    </row>
    <row r="880" spans="1:19" x14ac:dyDescent="0.25">
      <c r="A880" t="s">
        <v>2634</v>
      </c>
      <c r="B880" t="s">
        <v>497</v>
      </c>
      <c r="C880" s="1">
        <v>45423</v>
      </c>
      <c r="D880" t="s">
        <v>24</v>
      </c>
      <c r="E880" t="s">
        <v>25</v>
      </c>
      <c r="F880">
        <v>58</v>
      </c>
      <c r="G880" t="s">
        <v>2291</v>
      </c>
      <c r="H880">
        <v>2</v>
      </c>
      <c r="I880" t="s">
        <v>205</v>
      </c>
      <c r="J880">
        <v>21.69</v>
      </c>
      <c r="K880" t="s">
        <v>41</v>
      </c>
      <c r="L880" s="3">
        <v>45423</v>
      </c>
      <c r="M880" t="s">
        <v>20</v>
      </c>
      <c r="N880" s="4">
        <v>58</v>
      </c>
      <c r="O880" t="str" cm="1">
        <f t="array" ref="O88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80" t="s">
        <v>2291</v>
      </c>
      <c r="Q880" t="s">
        <v>2927</v>
      </c>
      <c r="R880" s="5"/>
      <c r="S880" s="5">
        <v>21.69</v>
      </c>
    </row>
    <row r="881" spans="1:19" x14ac:dyDescent="0.25">
      <c r="A881" t="s">
        <v>2635</v>
      </c>
      <c r="B881" t="s">
        <v>690</v>
      </c>
      <c r="C881" s="1">
        <v>45338</v>
      </c>
      <c r="D881" t="s">
        <v>16</v>
      </c>
      <c r="E881" t="s">
        <v>60</v>
      </c>
      <c r="F881">
        <v>68</v>
      </c>
      <c r="G881" t="s">
        <v>2636</v>
      </c>
      <c r="H881">
        <v>3</v>
      </c>
      <c r="I881">
        <v>63.9</v>
      </c>
      <c r="J881">
        <v>21.09</v>
      </c>
      <c r="K881" t="s">
        <v>41</v>
      </c>
      <c r="L881" s="3">
        <v>45338</v>
      </c>
      <c r="M881" t="s">
        <v>48</v>
      </c>
      <c r="N881" s="4">
        <v>68</v>
      </c>
      <c r="O881" t="str" cm="1">
        <f t="array" ref="O88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81" t="s">
        <v>2636</v>
      </c>
      <c r="Q881" t="s">
        <v>2929</v>
      </c>
      <c r="R881" s="5">
        <v>63.9</v>
      </c>
      <c r="S881" s="5">
        <v>21.09</v>
      </c>
    </row>
    <row r="882" spans="1:19" x14ac:dyDescent="0.25">
      <c r="A882" t="s">
        <v>2637</v>
      </c>
      <c r="B882" t="s">
        <v>2014</v>
      </c>
      <c r="C882" t="s">
        <v>2638</v>
      </c>
      <c r="D882" t="s">
        <v>129</v>
      </c>
      <c r="E882" t="s">
        <v>85</v>
      </c>
      <c r="F882">
        <v>74</v>
      </c>
      <c r="G882" t="s">
        <v>2639</v>
      </c>
      <c r="H882">
        <v>6</v>
      </c>
      <c r="I882" t="s">
        <v>2640</v>
      </c>
      <c r="J882" t="s">
        <v>205</v>
      </c>
      <c r="K882" t="s">
        <v>41</v>
      </c>
      <c r="L882" s="3">
        <v>45187</v>
      </c>
      <c r="M882" t="s">
        <v>34</v>
      </c>
      <c r="N882" s="4">
        <v>74</v>
      </c>
      <c r="O882" t="str" cm="1">
        <f t="array" ref="O88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82" t="s">
        <v>2639</v>
      </c>
      <c r="Q882" t="s">
        <v>2926</v>
      </c>
      <c r="R882" s="5">
        <v>54.03</v>
      </c>
      <c r="S882" s="5"/>
    </row>
    <row r="883" spans="1:19" x14ac:dyDescent="0.25">
      <c r="A883" t="s">
        <v>2641</v>
      </c>
      <c r="B883" t="s">
        <v>147</v>
      </c>
      <c r="C883" s="1">
        <v>45393</v>
      </c>
      <c r="D883" t="s">
        <v>129</v>
      </c>
      <c r="E883" t="s">
        <v>132</v>
      </c>
      <c r="F883">
        <v>32</v>
      </c>
      <c r="G883" t="s">
        <v>2642</v>
      </c>
      <c r="H883">
        <v>1</v>
      </c>
      <c r="I883">
        <v>6.77</v>
      </c>
      <c r="J883" s="2">
        <v>1.96</v>
      </c>
      <c r="K883" t="s">
        <v>41</v>
      </c>
      <c r="L883" s="3">
        <v>45393</v>
      </c>
      <c r="M883" t="s">
        <v>132</v>
      </c>
      <c r="N883" s="4">
        <v>32</v>
      </c>
      <c r="O883" t="str" cm="1">
        <f t="array" ref="O88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83" t="s">
        <v>2642</v>
      </c>
      <c r="Q883" t="s">
        <v>2926</v>
      </c>
      <c r="R883" s="5">
        <v>6.77</v>
      </c>
      <c r="S883" s="5">
        <v>1.96</v>
      </c>
    </row>
    <row r="884" spans="1:19" x14ac:dyDescent="0.25">
      <c r="A884" t="s">
        <v>2643</v>
      </c>
      <c r="B884" t="s">
        <v>2644</v>
      </c>
      <c r="C884" s="1">
        <v>45643</v>
      </c>
      <c r="D884" t="s">
        <v>16</v>
      </c>
      <c r="E884" t="s">
        <v>31</v>
      </c>
      <c r="F884">
        <v>64</v>
      </c>
      <c r="G884" t="s">
        <v>541</v>
      </c>
      <c r="H884">
        <v>2</v>
      </c>
      <c r="I884">
        <v>54.21</v>
      </c>
      <c r="J884">
        <v>26.56</v>
      </c>
      <c r="K884" t="s">
        <v>41</v>
      </c>
      <c r="L884" s="3">
        <v>45643</v>
      </c>
      <c r="M884" t="s">
        <v>34</v>
      </c>
      <c r="N884" s="4">
        <v>64</v>
      </c>
      <c r="O884" t="str" cm="1">
        <f t="array" ref="O88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84" t="s">
        <v>541</v>
      </c>
      <c r="Q884" t="s">
        <v>2926</v>
      </c>
      <c r="R884" s="5">
        <v>54.21</v>
      </c>
      <c r="S884" s="5">
        <v>26.56</v>
      </c>
    </row>
    <row r="885" spans="1:19" x14ac:dyDescent="0.25">
      <c r="A885" t="s">
        <v>2645</v>
      </c>
      <c r="B885" t="s">
        <v>2646</v>
      </c>
      <c r="C885" s="3">
        <v>45218</v>
      </c>
      <c r="D885" t="s">
        <v>129</v>
      </c>
      <c r="E885" t="s">
        <v>38</v>
      </c>
      <c r="F885">
        <v>52</v>
      </c>
      <c r="G885" t="s">
        <v>2647</v>
      </c>
      <c r="H885">
        <v>2</v>
      </c>
      <c r="I885">
        <v>35.700000000000003</v>
      </c>
      <c r="J885" s="2">
        <v>4.59</v>
      </c>
      <c r="K885" t="s">
        <v>19</v>
      </c>
      <c r="L885" s="3">
        <v>45218</v>
      </c>
      <c r="M885" t="s">
        <v>34</v>
      </c>
      <c r="N885" s="4">
        <v>52</v>
      </c>
      <c r="O885" t="str" cm="1">
        <f t="array" ref="O88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85" t="s">
        <v>2647</v>
      </c>
      <c r="Q885" t="s">
        <v>2925</v>
      </c>
      <c r="R885" s="5">
        <v>35.700000000000003</v>
      </c>
      <c r="S885" s="5">
        <v>4.59</v>
      </c>
    </row>
    <row r="886" spans="1:19" x14ac:dyDescent="0.25">
      <c r="A886" t="s">
        <v>2648</v>
      </c>
      <c r="B886" t="s">
        <v>322</v>
      </c>
      <c r="C886" t="s">
        <v>2649</v>
      </c>
      <c r="D886" t="s">
        <v>16</v>
      </c>
      <c r="E886" t="s">
        <v>45</v>
      </c>
      <c r="F886">
        <v>75</v>
      </c>
      <c r="G886" t="s">
        <v>2650</v>
      </c>
      <c r="H886">
        <v>1</v>
      </c>
      <c r="I886">
        <v>13.66</v>
      </c>
      <c r="J886">
        <v>7.15</v>
      </c>
      <c r="K886" t="s">
        <v>41</v>
      </c>
      <c r="L886" s="3">
        <v>45227</v>
      </c>
      <c r="M886" t="s">
        <v>48</v>
      </c>
      <c r="N886" s="4">
        <v>75</v>
      </c>
      <c r="O886" t="str" cm="1">
        <f t="array" ref="O88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86" t="s">
        <v>2650</v>
      </c>
      <c r="Q886" t="s">
        <v>2926</v>
      </c>
      <c r="R886" s="5">
        <v>13.66</v>
      </c>
      <c r="S886" s="5">
        <v>7.15</v>
      </c>
    </row>
    <row r="887" spans="1:19" x14ac:dyDescent="0.25">
      <c r="A887" t="s">
        <v>1353</v>
      </c>
      <c r="B887" t="s">
        <v>2651</v>
      </c>
      <c r="C887" t="s">
        <v>1355</v>
      </c>
      <c r="D887" t="s">
        <v>51</v>
      </c>
      <c r="E887" t="s">
        <v>31</v>
      </c>
      <c r="F887">
        <v>66</v>
      </c>
      <c r="G887" t="s">
        <v>2652</v>
      </c>
      <c r="H887">
        <v>6</v>
      </c>
      <c r="I887">
        <v>173.7</v>
      </c>
      <c r="J887">
        <v>59.09</v>
      </c>
      <c r="K887" t="s">
        <v>19</v>
      </c>
      <c r="L887" s="3">
        <v>45365</v>
      </c>
      <c r="M887" t="s">
        <v>34</v>
      </c>
      <c r="N887" s="4">
        <v>66</v>
      </c>
      <c r="O887" t="str" cm="1">
        <f t="array" ref="O88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87" t="s">
        <v>2750</v>
      </c>
      <c r="Q887" t="s">
        <v>2926</v>
      </c>
      <c r="R887" s="5">
        <v>173.7</v>
      </c>
      <c r="S887" s="5">
        <v>59.09</v>
      </c>
    </row>
    <row r="888" spans="1:19" x14ac:dyDescent="0.25">
      <c r="A888" t="s">
        <v>2653</v>
      </c>
      <c r="B888" t="s">
        <v>1438</v>
      </c>
      <c r="C888" s="1">
        <v>45551</v>
      </c>
      <c r="D888" t="s">
        <v>51</v>
      </c>
      <c r="E888" t="s">
        <v>85</v>
      </c>
      <c r="F888">
        <v>45</v>
      </c>
      <c r="G888" t="s">
        <v>2654</v>
      </c>
      <c r="H888">
        <v>2</v>
      </c>
      <c r="I888" s="2">
        <v>65.19</v>
      </c>
      <c r="J888">
        <v>27.24</v>
      </c>
      <c r="K888" t="s">
        <v>19</v>
      </c>
      <c r="L888" s="3">
        <v>45551</v>
      </c>
      <c r="M888" t="s">
        <v>34</v>
      </c>
      <c r="N888" s="4">
        <v>45</v>
      </c>
      <c r="O888" t="str" cm="1">
        <f t="array" ref="O88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88" t="s">
        <v>2654</v>
      </c>
      <c r="Q888" t="s">
        <v>2927</v>
      </c>
      <c r="R888" s="5">
        <v>65.19</v>
      </c>
      <c r="S888" s="5">
        <v>27.24</v>
      </c>
    </row>
    <row r="889" spans="1:19" x14ac:dyDescent="0.25">
      <c r="A889" t="s">
        <v>2655</v>
      </c>
      <c r="B889" t="s">
        <v>102</v>
      </c>
      <c r="C889" t="s">
        <v>2656</v>
      </c>
      <c r="D889" t="s">
        <v>24</v>
      </c>
      <c r="E889" t="s">
        <v>45</v>
      </c>
      <c r="F889">
        <v>21</v>
      </c>
      <c r="G889" t="s">
        <v>2657</v>
      </c>
      <c r="H889">
        <v>2</v>
      </c>
      <c r="I889" t="s">
        <v>25</v>
      </c>
      <c r="J889">
        <v>5.61</v>
      </c>
      <c r="K889" t="s">
        <v>19</v>
      </c>
      <c r="L889" s="3">
        <v>45426</v>
      </c>
      <c r="M889" t="s">
        <v>48</v>
      </c>
      <c r="N889" s="4">
        <v>21</v>
      </c>
      <c r="O889" t="str" cm="1">
        <f t="array" ref="O88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889" t="s">
        <v>2657</v>
      </c>
      <c r="Q889" t="s">
        <v>2939</v>
      </c>
      <c r="R889" s="5"/>
      <c r="S889" s="5">
        <v>5.61</v>
      </c>
    </row>
    <row r="890" spans="1:19" x14ac:dyDescent="0.25">
      <c r="A890" t="s">
        <v>2658</v>
      </c>
      <c r="B890" t="s">
        <v>808</v>
      </c>
      <c r="C890" t="s">
        <v>2659</v>
      </c>
      <c r="D890" t="s">
        <v>24</v>
      </c>
      <c r="E890" t="s">
        <v>38</v>
      </c>
      <c r="F890">
        <v>33</v>
      </c>
      <c r="G890" t="s">
        <v>2660</v>
      </c>
      <c r="H890">
        <v>2</v>
      </c>
      <c r="I890">
        <v>29.85</v>
      </c>
      <c r="J890" s="2">
        <v>14.34</v>
      </c>
      <c r="K890" t="s">
        <v>19</v>
      </c>
      <c r="L890" s="3">
        <v>44939</v>
      </c>
      <c r="M890" t="s">
        <v>34</v>
      </c>
      <c r="N890" s="4">
        <v>33</v>
      </c>
      <c r="O890" t="str" cm="1">
        <f t="array" ref="O89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890" t="s">
        <v>2112</v>
      </c>
      <c r="Q890" t="s">
        <v>2926</v>
      </c>
      <c r="R890" s="5">
        <v>29.85</v>
      </c>
      <c r="S890" s="5">
        <v>14.34</v>
      </c>
    </row>
    <row r="891" spans="1:19" x14ac:dyDescent="0.25">
      <c r="A891" t="s">
        <v>2661</v>
      </c>
      <c r="B891" t="s">
        <v>147</v>
      </c>
      <c r="C891" t="s">
        <v>2662</v>
      </c>
      <c r="D891" t="s">
        <v>24</v>
      </c>
      <c r="E891" t="s">
        <v>34</v>
      </c>
      <c r="F891">
        <v>22</v>
      </c>
      <c r="G891" t="s">
        <v>1988</v>
      </c>
      <c r="H891">
        <v>1</v>
      </c>
      <c r="I891">
        <v>22.29</v>
      </c>
      <c r="J891">
        <v>7.8</v>
      </c>
      <c r="K891" t="s">
        <v>41</v>
      </c>
      <c r="L891" s="3">
        <v>45223</v>
      </c>
      <c r="M891" t="s">
        <v>34</v>
      </c>
      <c r="N891" s="4">
        <v>22</v>
      </c>
      <c r="O891" t="str" cm="1">
        <f t="array" ref="O89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891" t="s">
        <v>1988</v>
      </c>
      <c r="Q891" t="s">
        <v>2926</v>
      </c>
      <c r="R891" s="5">
        <v>22.29</v>
      </c>
      <c r="S891" s="5">
        <v>7.8</v>
      </c>
    </row>
    <row r="892" spans="1:19" x14ac:dyDescent="0.25">
      <c r="A892" t="s">
        <v>2663</v>
      </c>
      <c r="B892" t="s">
        <v>660</v>
      </c>
      <c r="C892" s="1">
        <v>45318</v>
      </c>
      <c r="D892" t="s">
        <v>24</v>
      </c>
      <c r="E892" t="s">
        <v>34</v>
      </c>
      <c r="F892">
        <v>69</v>
      </c>
      <c r="G892" t="s">
        <v>2291</v>
      </c>
      <c r="H892">
        <v>1</v>
      </c>
      <c r="I892" s="2">
        <v>14.33</v>
      </c>
      <c r="J892">
        <v>4.8099999999999996</v>
      </c>
      <c r="K892" t="s">
        <v>41</v>
      </c>
      <c r="L892" s="3">
        <v>45318</v>
      </c>
      <c r="M892" t="s">
        <v>34</v>
      </c>
      <c r="N892" s="4">
        <v>69</v>
      </c>
      <c r="O892" t="str" cm="1">
        <f t="array" ref="O89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92" t="s">
        <v>2291</v>
      </c>
      <c r="Q892" t="s">
        <v>2927</v>
      </c>
      <c r="R892" s="5">
        <v>14.33</v>
      </c>
      <c r="S892" s="5">
        <v>4.8099999999999996</v>
      </c>
    </row>
    <row r="893" spans="1:19" x14ac:dyDescent="0.25">
      <c r="A893" t="s">
        <v>2664</v>
      </c>
      <c r="B893" t="s">
        <v>150</v>
      </c>
      <c r="C893" t="s">
        <v>2665</v>
      </c>
      <c r="D893" t="s">
        <v>24</v>
      </c>
      <c r="E893" t="s">
        <v>85</v>
      </c>
      <c r="F893">
        <v>67</v>
      </c>
      <c r="G893" t="s">
        <v>2666</v>
      </c>
      <c r="H893">
        <v>1</v>
      </c>
      <c r="I893" s="2">
        <v>9.0399999999999991</v>
      </c>
      <c r="J893" s="2">
        <v>4.1900000000000004</v>
      </c>
      <c r="K893" t="s">
        <v>19</v>
      </c>
      <c r="L893" s="3">
        <v>45189</v>
      </c>
      <c r="M893" t="s">
        <v>34</v>
      </c>
      <c r="N893" s="4">
        <v>67</v>
      </c>
      <c r="O893" t="str" cm="1">
        <f t="array" ref="O89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93" t="s">
        <v>2666</v>
      </c>
      <c r="Q893" t="s">
        <v>2927</v>
      </c>
      <c r="R893" s="5">
        <v>9.0399999999999991</v>
      </c>
      <c r="S893" s="5">
        <v>4.1900000000000004</v>
      </c>
    </row>
    <row r="894" spans="1:19" x14ac:dyDescent="0.25">
      <c r="A894" t="s">
        <v>2667</v>
      </c>
      <c r="B894" t="s">
        <v>1408</v>
      </c>
      <c r="C894" s="1">
        <v>45393</v>
      </c>
      <c r="D894" t="s">
        <v>129</v>
      </c>
      <c r="E894" t="s">
        <v>48</v>
      </c>
      <c r="F894">
        <v>60</v>
      </c>
      <c r="G894" t="s">
        <v>340</v>
      </c>
      <c r="H894">
        <v>1</v>
      </c>
      <c r="I894">
        <v>7.16</v>
      </c>
      <c r="J894">
        <v>3.18</v>
      </c>
      <c r="K894" t="s">
        <v>41</v>
      </c>
      <c r="L894" s="3">
        <v>45393</v>
      </c>
      <c r="M894" t="s">
        <v>48</v>
      </c>
      <c r="N894" s="4">
        <v>60</v>
      </c>
      <c r="O894" t="str" cm="1">
        <f t="array" ref="O89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94" t="s">
        <v>340</v>
      </c>
      <c r="Q894" t="s">
        <v>2926</v>
      </c>
      <c r="R894" s="5">
        <v>7.16</v>
      </c>
      <c r="S894" s="5">
        <v>3.18</v>
      </c>
    </row>
    <row r="895" spans="1:19" x14ac:dyDescent="0.25">
      <c r="A895" t="s">
        <v>2668</v>
      </c>
      <c r="B895" t="s">
        <v>772</v>
      </c>
      <c r="C895" t="s">
        <v>2669</v>
      </c>
      <c r="D895" t="s">
        <v>24</v>
      </c>
      <c r="E895" t="s">
        <v>25</v>
      </c>
      <c r="F895">
        <v>48</v>
      </c>
      <c r="G895" t="s">
        <v>368</v>
      </c>
      <c r="H895">
        <v>2</v>
      </c>
      <c r="I895" t="s">
        <v>2670</v>
      </c>
      <c r="J895" s="2">
        <v>22</v>
      </c>
      <c r="K895" t="s">
        <v>19</v>
      </c>
      <c r="L895" s="3">
        <v>45233</v>
      </c>
      <c r="M895" t="s">
        <v>20</v>
      </c>
      <c r="N895" s="4">
        <v>48</v>
      </c>
      <c r="O895" t="str" cm="1">
        <f t="array" ref="O89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95" t="s">
        <v>368</v>
      </c>
      <c r="Q895" t="s">
        <v>2926</v>
      </c>
      <c r="R895" s="5">
        <v>61.55</v>
      </c>
      <c r="S895" s="5">
        <v>22</v>
      </c>
    </row>
    <row r="896" spans="1:19" x14ac:dyDescent="0.25">
      <c r="A896" t="s">
        <v>2671</v>
      </c>
      <c r="B896" t="s">
        <v>441</v>
      </c>
      <c r="C896" t="s">
        <v>343</v>
      </c>
      <c r="D896" t="s">
        <v>51</v>
      </c>
      <c r="E896" t="s">
        <v>25</v>
      </c>
      <c r="F896">
        <v>52</v>
      </c>
      <c r="G896" t="s">
        <v>2672</v>
      </c>
      <c r="H896">
        <v>1</v>
      </c>
      <c r="I896">
        <v>29.21</v>
      </c>
      <c r="J896">
        <v>8.44</v>
      </c>
      <c r="K896" t="s">
        <v>19</v>
      </c>
      <c r="L896" s="3">
        <v>45220</v>
      </c>
      <c r="M896" t="s">
        <v>20</v>
      </c>
      <c r="N896" s="4">
        <v>52</v>
      </c>
      <c r="O896" t="str" cm="1">
        <f t="array" ref="O89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96" t="s">
        <v>2672</v>
      </c>
      <c r="Q896" t="s">
        <v>2925</v>
      </c>
      <c r="R896" s="5">
        <v>29.21</v>
      </c>
      <c r="S896" s="5">
        <v>8.44</v>
      </c>
    </row>
    <row r="897" spans="1:19" x14ac:dyDescent="0.25">
      <c r="A897" t="s">
        <v>2673</v>
      </c>
      <c r="B897" t="s">
        <v>1173</v>
      </c>
      <c r="C897" s="3">
        <v>45296</v>
      </c>
      <c r="D897" t="s">
        <v>51</v>
      </c>
      <c r="E897" t="s">
        <v>60</v>
      </c>
      <c r="F897">
        <v>55</v>
      </c>
      <c r="G897" t="s">
        <v>439</v>
      </c>
      <c r="H897">
        <v>2</v>
      </c>
      <c r="I897" t="s">
        <v>2674</v>
      </c>
      <c r="J897">
        <v>26.72</v>
      </c>
      <c r="K897" t="s">
        <v>19</v>
      </c>
      <c r="L897" s="3">
        <v>45296</v>
      </c>
      <c r="M897" t="s">
        <v>48</v>
      </c>
      <c r="N897" s="4">
        <v>55</v>
      </c>
      <c r="O897" t="str" cm="1">
        <f t="array" ref="O89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97" t="s">
        <v>439</v>
      </c>
      <c r="Q897" t="s">
        <v>2926</v>
      </c>
      <c r="R897" s="5">
        <v>48.85</v>
      </c>
      <c r="S897" s="5">
        <v>26.72</v>
      </c>
    </row>
    <row r="898" spans="1:19" x14ac:dyDescent="0.25">
      <c r="A898" t="s">
        <v>2675</v>
      </c>
      <c r="B898" t="s">
        <v>22</v>
      </c>
      <c r="C898" s="1">
        <v>45203</v>
      </c>
      <c r="D898" t="s">
        <v>24</v>
      </c>
      <c r="E898" t="s">
        <v>132</v>
      </c>
      <c r="F898">
        <v>46</v>
      </c>
      <c r="G898" t="s">
        <v>2676</v>
      </c>
      <c r="H898">
        <v>2</v>
      </c>
      <c r="I898" t="s">
        <v>2677</v>
      </c>
      <c r="J898">
        <v>21.98</v>
      </c>
      <c r="K898" t="s">
        <v>19</v>
      </c>
      <c r="L898" s="3">
        <v>45203</v>
      </c>
      <c r="M898" t="s">
        <v>132</v>
      </c>
      <c r="N898" s="4">
        <v>46</v>
      </c>
      <c r="O898" t="str" cm="1">
        <f t="array" ref="O89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898" t="s">
        <v>2676</v>
      </c>
      <c r="Q898" t="s">
        <v>2929</v>
      </c>
      <c r="R898" s="5">
        <v>53.81</v>
      </c>
      <c r="S898" s="5">
        <v>21.98</v>
      </c>
    </row>
    <row r="899" spans="1:19" x14ac:dyDescent="0.25">
      <c r="A899" t="s">
        <v>2678</v>
      </c>
      <c r="B899" t="s">
        <v>696</v>
      </c>
      <c r="C899" s="3">
        <v>45588</v>
      </c>
      <c r="D899" t="s">
        <v>129</v>
      </c>
      <c r="E899" t="s">
        <v>85</v>
      </c>
      <c r="F899">
        <v>62</v>
      </c>
      <c r="G899" t="s">
        <v>1797</v>
      </c>
      <c r="H899">
        <v>3</v>
      </c>
      <c r="I899" t="s">
        <v>2679</v>
      </c>
      <c r="J899" t="s">
        <v>2680</v>
      </c>
      <c r="K899" t="s">
        <v>19</v>
      </c>
      <c r="L899" s="3">
        <v>45588</v>
      </c>
      <c r="M899" t="s">
        <v>34</v>
      </c>
      <c r="N899" s="4">
        <v>62</v>
      </c>
      <c r="O899" t="str" cm="1">
        <f t="array" ref="O89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899" t="s">
        <v>1797</v>
      </c>
      <c r="Q899" t="s">
        <v>2927</v>
      </c>
      <c r="R899" s="5">
        <v>31.85</v>
      </c>
      <c r="S899" s="5">
        <v>13.07</v>
      </c>
    </row>
    <row r="900" spans="1:19" x14ac:dyDescent="0.25">
      <c r="A900" t="s">
        <v>2681</v>
      </c>
      <c r="B900" t="s">
        <v>215</v>
      </c>
      <c r="C900" t="s">
        <v>2682</v>
      </c>
      <c r="D900" t="s">
        <v>51</v>
      </c>
      <c r="E900" t="s">
        <v>34</v>
      </c>
      <c r="F900">
        <v>22</v>
      </c>
      <c r="G900" t="s">
        <v>2683</v>
      </c>
      <c r="H900">
        <v>1</v>
      </c>
      <c r="I900">
        <v>37.81</v>
      </c>
      <c r="J900" t="s">
        <v>2684</v>
      </c>
      <c r="K900" t="s">
        <v>41</v>
      </c>
      <c r="L900" s="3">
        <v>45236</v>
      </c>
      <c r="M900" t="s">
        <v>34</v>
      </c>
      <c r="N900" s="4">
        <v>22</v>
      </c>
      <c r="O900" t="str" cm="1">
        <f t="array" ref="O90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00" t="s">
        <v>2979</v>
      </c>
      <c r="Q900" t="s">
        <v>2925</v>
      </c>
      <c r="R900" s="5">
        <v>37.81</v>
      </c>
      <c r="S900" s="5">
        <v>20.13</v>
      </c>
    </row>
    <row r="901" spans="1:19" x14ac:dyDescent="0.25">
      <c r="A901" t="s">
        <v>706</v>
      </c>
      <c r="B901" t="s">
        <v>2685</v>
      </c>
      <c r="C901" t="s">
        <v>708</v>
      </c>
      <c r="D901" t="s">
        <v>30</v>
      </c>
      <c r="E901" t="s">
        <v>534</v>
      </c>
      <c r="F901">
        <v>45</v>
      </c>
      <c r="G901" t="s">
        <v>2686</v>
      </c>
      <c r="H901">
        <v>1</v>
      </c>
      <c r="I901">
        <v>20.43</v>
      </c>
      <c r="J901">
        <v>11.84</v>
      </c>
      <c r="K901" t="s">
        <v>19</v>
      </c>
      <c r="L901" s="3">
        <v>45128</v>
      </c>
      <c r="M901" t="s">
        <v>48</v>
      </c>
      <c r="N901" s="4">
        <v>45</v>
      </c>
      <c r="O901" t="str" cm="1">
        <f t="array" ref="O90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01" t="s">
        <v>709</v>
      </c>
      <c r="Q901" t="s">
        <v>2929</v>
      </c>
      <c r="R901" s="5">
        <v>20.43</v>
      </c>
      <c r="S901" s="5">
        <v>11.84</v>
      </c>
    </row>
    <row r="902" spans="1:19" x14ac:dyDescent="0.25">
      <c r="A902" t="s">
        <v>2687</v>
      </c>
      <c r="B902" t="s">
        <v>261</v>
      </c>
      <c r="C902" s="1">
        <v>45405</v>
      </c>
      <c r="D902" t="s">
        <v>51</v>
      </c>
      <c r="E902" t="s">
        <v>48</v>
      </c>
      <c r="F902">
        <v>41</v>
      </c>
      <c r="G902" t="s">
        <v>2688</v>
      </c>
      <c r="H902">
        <v>1</v>
      </c>
      <c r="I902">
        <v>35.590000000000003</v>
      </c>
      <c r="J902" t="s">
        <v>2689</v>
      </c>
      <c r="K902" t="s">
        <v>41</v>
      </c>
      <c r="L902" s="3">
        <v>45405</v>
      </c>
      <c r="M902" t="s">
        <v>48</v>
      </c>
      <c r="N902" s="4">
        <v>41</v>
      </c>
      <c r="O902" t="str" cm="1">
        <f t="array" ref="O90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02" t="s">
        <v>2688</v>
      </c>
      <c r="Q902" t="s">
        <v>2927</v>
      </c>
      <c r="R902" s="5">
        <v>35.590000000000003</v>
      </c>
      <c r="S902" s="5">
        <v>15.39</v>
      </c>
    </row>
    <row r="903" spans="1:19" x14ac:dyDescent="0.25">
      <c r="A903" t="s">
        <v>2690</v>
      </c>
      <c r="B903" t="s">
        <v>2691</v>
      </c>
      <c r="C903" s="3">
        <v>45106</v>
      </c>
      <c r="D903" t="s">
        <v>30</v>
      </c>
      <c r="E903" t="s">
        <v>70</v>
      </c>
      <c r="F903">
        <v>14</v>
      </c>
      <c r="G903" t="s">
        <v>2692</v>
      </c>
      <c r="H903">
        <v>2</v>
      </c>
      <c r="I903">
        <v>42.53</v>
      </c>
      <c r="J903">
        <v>19.07</v>
      </c>
      <c r="K903" t="s">
        <v>41</v>
      </c>
      <c r="L903" s="3">
        <v>45106</v>
      </c>
      <c r="M903" t="s">
        <v>20</v>
      </c>
      <c r="N903" s="4">
        <v>14</v>
      </c>
      <c r="O903" t="str" cm="1">
        <f t="array" ref="O90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903" t="s">
        <v>2692</v>
      </c>
      <c r="Q903" t="s">
        <v>2926</v>
      </c>
      <c r="R903" s="5">
        <v>42.53</v>
      </c>
      <c r="S903" s="5">
        <v>19.07</v>
      </c>
    </row>
    <row r="904" spans="1:19" x14ac:dyDescent="0.25">
      <c r="A904" t="s">
        <v>2693</v>
      </c>
      <c r="B904" t="s">
        <v>335</v>
      </c>
      <c r="C904" s="1">
        <v>45508</v>
      </c>
      <c r="D904" t="s">
        <v>24</v>
      </c>
      <c r="E904" t="s">
        <v>132</v>
      </c>
      <c r="F904">
        <v>66</v>
      </c>
      <c r="G904" t="s">
        <v>2694</v>
      </c>
      <c r="H904">
        <v>1</v>
      </c>
      <c r="I904">
        <v>19.96</v>
      </c>
      <c r="J904" t="s">
        <v>25</v>
      </c>
      <c r="K904" t="s">
        <v>19</v>
      </c>
      <c r="L904" s="3">
        <v>45508</v>
      </c>
      <c r="M904" t="s">
        <v>132</v>
      </c>
      <c r="N904" s="4">
        <v>66</v>
      </c>
      <c r="O904" t="str" cm="1">
        <f t="array" ref="O90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04" t="s">
        <v>2694</v>
      </c>
      <c r="Q904" t="s">
        <v>2926</v>
      </c>
      <c r="R904" s="5">
        <v>19.96</v>
      </c>
      <c r="S904" s="5"/>
    </row>
    <row r="905" spans="1:19" x14ac:dyDescent="0.25">
      <c r="A905" t="s">
        <v>2695</v>
      </c>
      <c r="B905" t="s">
        <v>1091</v>
      </c>
      <c r="C905" s="1">
        <v>45302</v>
      </c>
      <c r="D905" t="s">
        <v>51</v>
      </c>
      <c r="E905" t="s">
        <v>38</v>
      </c>
      <c r="F905">
        <v>29</v>
      </c>
      <c r="G905" t="s">
        <v>1100</v>
      </c>
      <c r="H905">
        <v>1</v>
      </c>
      <c r="I905">
        <v>20.059999999999999</v>
      </c>
      <c r="J905" s="2">
        <v>8.99</v>
      </c>
      <c r="K905" t="s">
        <v>19</v>
      </c>
      <c r="L905" s="3">
        <v>45302</v>
      </c>
      <c r="M905" t="s">
        <v>34</v>
      </c>
      <c r="N905" s="4">
        <v>29</v>
      </c>
      <c r="O905" t="str" cm="1">
        <f t="array" ref="O90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05" t="s">
        <v>1100</v>
      </c>
      <c r="Q905" t="s">
        <v>2926</v>
      </c>
      <c r="R905" s="5">
        <v>20.059999999999999</v>
      </c>
      <c r="S905" s="5">
        <v>8.99</v>
      </c>
    </row>
    <row r="906" spans="1:19" x14ac:dyDescent="0.25">
      <c r="A906" t="s">
        <v>2696</v>
      </c>
      <c r="B906" t="s">
        <v>1476</v>
      </c>
      <c r="C906" s="1">
        <v>45253</v>
      </c>
      <c r="D906" t="s">
        <v>30</v>
      </c>
      <c r="E906" t="s">
        <v>38</v>
      </c>
      <c r="F906">
        <v>57</v>
      </c>
      <c r="G906" t="s">
        <v>2697</v>
      </c>
      <c r="H906">
        <v>1</v>
      </c>
      <c r="I906" t="s">
        <v>2698</v>
      </c>
      <c r="J906" s="2">
        <v>25.24</v>
      </c>
      <c r="K906" t="s">
        <v>19</v>
      </c>
      <c r="L906" s="3">
        <v>45253</v>
      </c>
      <c r="M906" t="s">
        <v>34</v>
      </c>
      <c r="N906" s="4">
        <v>57</v>
      </c>
      <c r="O906" t="str" cm="1">
        <f t="array" ref="O90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06" t="s">
        <v>2980</v>
      </c>
      <c r="Q906" t="s">
        <v>2926</v>
      </c>
      <c r="R906" s="5">
        <v>48.48</v>
      </c>
      <c r="S906" s="5">
        <v>25.24</v>
      </c>
    </row>
    <row r="907" spans="1:19" x14ac:dyDescent="0.25">
      <c r="A907" t="s">
        <v>2699</v>
      </c>
      <c r="B907" t="s">
        <v>297</v>
      </c>
      <c r="C907" s="3">
        <v>45573</v>
      </c>
      <c r="D907" t="s">
        <v>129</v>
      </c>
      <c r="E907" t="s">
        <v>85</v>
      </c>
      <c r="F907">
        <v>22</v>
      </c>
      <c r="G907" t="s">
        <v>2700</v>
      </c>
      <c r="H907">
        <v>6</v>
      </c>
      <c r="I907" t="s">
        <v>25</v>
      </c>
      <c r="K907" t="s">
        <v>19</v>
      </c>
      <c r="L907" s="3">
        <v>45573</v>
      </c>
      <c r="M907" t="s">
        <v>34</v>
      </c>
      <c r="N907" s="4">
        <v>22</v>
      </c>
      <c r="O907" t="str" cm="1">
        <f t="array" ref="O90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07" t="s">
        <v>2700</v>
      </c>
      <c r="Q907" t="s">
        <v>2929</v>
      </c>
      <c r="R907" s="5"/>
      <c r="S907" s="5"/>
    </row>
    <row r="908" spans="1:19" x14ac:dyDescent="0.25">
      <c r="A908" t="s">
        <v>2701</v>
      </c>
      <c r="B908" t="s">
        <v>819</v>
      </c>
      <c r="C908" s="3">
        <v>44985</v>
      </c>
      <c r="D908" t="s">
        <v>16</v>
      </c>
      <c r="E908" t="s">
        <v>85</v>
      </c>
      <c r="F908">
        <v>29</v>
      </c>
      <c r="G908" t="s">
        <v>424</v>
      </c>
      <c r="H908">
        <v>4</v>
      </c>
      <c r="I908">
        <v>67.02</v>
      </c>
      <c r="J908">
        <v>34.35</v>
      </c>
      <c r="K908" t="s">
        <v>19</v>
      </c>
      <c r="L908" s="3">
        <v>44985</v>
      </c>
      <c r="M908" t="s">
        <v>34</v>
      </c>
      <c r="N908" s="4">
        <v>29</v>
      </c>
      <c r="O908" t="str" cm="1">
        <f t="array" ref="O90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08" t="s">
        <v>424</v>
      </c>
      <c r="Q908" t="s">
        <v>2927</v>
      </c>
      <c r="R908" s="5">
        <v>67.02</v>
      </c>
      <c r="S908" s="5">
        <v>34.35</v>
      </c>
    </row>
    <row r="909" spans="1:19" x14ac:dyDescent="0.25">
      <c r="A909" t="s">
        <v>2702</v>
      </c>
      <c r="B909" t="s">
        <v>22</v>
      </c>
      <c r="C909" s="3">
        <v>44985</v>
      </c>
      <c r="D909" t="s">
        <v>30</v>
      </c>
      <c r="E909" t="s">
        <v>85</v>
      </c>
      <c r="F909">
        <v>25</v>
      </c>
      <c r="G909" t="s">
        <v>2703</v>
      </c>
      <c r="H909">
        <v>1</v>
      </c>
      <c r="I909">
        <v>32.68</v>
      </c>
      <c r="J909" s="2">
        <v>11.81</v>
      </c>
      <c r="K909" t="s">
        <v>41</v>
      </c>
      <c r="L909" s="3">
        <v>44985</v>
      </c>
      <c r="M909" t="s">
        <v>34</v>
      </c>
      <c r="N909" s="4">
        <v>25</v>
      </c>
      <c r="O909" t="str" cm="1">
        <f t="array" ref="O90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09" t="s">
        <v>2703</v>
      </c>
      <c r="Q909" t="s">
        <v>2926</v>
      </c>
      <c r="R909" s="5">
        <v>32.68</v>
      </c>
      <c r="S909" s="5">
        <v>11.81</v>
      </c>
    </row>
    <row r="910" spans="1:19" x14ac:dyDescent="0.25">
      <c r="A910" t="s">
        <v>2704</v>
      </c>
      <c r="B910" t="s">
        <v>548</v>
      </c>
      <c r="C910" s="1">
        <v>45314</v>
      </c>
      <c r="D910" t="s">
        <v>51</v>
      </c>
      <c r="E910" t="s">
        <v>31</v>
      </c>
      <c r="F910">
        <v>44</v>
      </c>
      <c r="G910" t="s">
        <v>2705</v>
      </c>
      <c r="H910">
        <v>1</v>
      </c>
      <c r="I910">
        <v>16.79</v>
      </c>
      <c r="J910" s="2">
        <v>6.68</v>
      </c>
      <c r="K910" t="s">
        <v>41</v>
      </c>
      <c r="L910" s="3">
        <v>45314</v>
      </c>
      <c r="M910" t="s">
        <v>34</v>
      </c>
      <c r="N910" s="4">
        <v>44</v>
      </c>
      <c r="O910" t="str" cm="1">
        <f t="array" ref="O91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10" t="s">
        <v>2705</v>
      </c>
      <c r="Q910" t="s">
        <v>2928</v>
      </c>
      <c r="R910" s="5">
        <v>16.79</v>
      </c>
      <c r="S910" s="5">
        <v>6.68</v>
      </c>
    </row>
    <row r="911" spans="1:19" x14ac:dyDescent="0.25">
      <c r="A911" t="s">
        <v>2706</v>
      </c>
      <c r="B911" t="s">
        <v>266</v>
      </c>
      <c r="C911" t="s">
        <v>2707</v>
      </c>
      <c r="D911" t="s">
        <v>30</v>
      </c>
      <c r="E911" t="s">
        <v>31</v>
      </c>
      <c r="F911">
        <v>72</v>
      </c>
      <c r="G911" t="s">
        <v>2708</v>
      </c>
      <c r="H911">
        <v>1</v>
      </c>
      <c r="I911" s="2">
        <v>7.61</v>
      </c>
      <c r="J911">
        <v>1.96</v>
      </c>
      <c r="K911" t="s">
        <v>41</v>
      </c>
      <c r="L911" s="3">
        <v>44940</v>
      </c>
      <c r="M911" t="s">
        <v>34</v>
      </c>
      <c r="N911" s="4">
        <v>72</v>
      </c>
      <c r="O911" t="str" cm="1">
        <f t="array" ref="O91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11" t="s">
        <v>2708</v>
      </c>
      <c r="Q911" t="s">
        <v>2927</v>
      </c>
      <c r="R911" s="5">
        <v>7.61</v>
      </c>
      <c r="S911" s="5">
        <v>1.96</v>
      </c>
    </row>
    <row r="912" spans="1:19" x14ac:dyDescent="0.25">
      <c r="A912" t="s">
        <v>2709</v>
      </c>
      <c r="B912" t="s">
        <v>223</v>
      </c>
      <c r="C912" t="s">
        <v>1494</v>
      </c>
      <c r="D912" t="s">
        <v>24</v>
      </c>
      <c r="E912" t="s">
        <v>85</v>
      </c>
      <c r="F912">
        <v>72</v>
      </c>
      <c r="G912" t="s">
        <v>969</v>
      </c>
      <c r="H912">
        <v>2</v>
      </c>
      <c r="I912">
        <v>12.33</v>
      </c>
      <c r="J912">
        <v>5.0199999999999996</v>
      </c>
      <c r="K912" t="s">
        <v>19</v>
      </c>
      <c r="L912" s="3">
        <v>45654</v>
      </c>
      <c r="M912" t="s">
        <v>34</v>
      </c>
      <c r="N912" s="4">
        <v>72</v>
      </c>
      <c r="O912" t="str" cm="1">
        <f t="array" ref="O91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12" t="s">
        <v>969</v>
      </c>
      <c r="Q912" t="s">
        <v>2926</v>
      </c>
      <c r="R912" s="5">
        <v>12.33</v>
      </c>
      <c r="S912" s="5">
        <v>5.0199999999999996</v>
      </c>
    </row>
    <row r="913" spans="1:19" x14ac:dyDescent="0.25">
      <c r="A913" t="s">
        <v>2710</v>
      </c>
      <c r="B913" t="s">
        <v>2309</v>
      </c>
      <c r="C913" s="1">
        <v>45446</v>
      </c>
      <c r="D913" t="s">
        <v>16</v>
      </c>
      <c r="E913" t="s">
        <v>34</v>
      </c>
      <c r="F913">
        <v>25</v>
      </c>
      <c r="G913" t="s">
        <v>1550</v>
      </c>
      <c r="H913">
        <v>6</v>
      </c>
      <c r="I913">
        <v>206.42</v>
      </c>
      <c r="J913" t="s">
        <v>205</v>
      </c>
      <c r="K913" t="s">
        <v>19</v>
      </c>
      <c r="L913" s="3">
        <v>45446</v>
      </c>
      <c r="M913" t="s">
        <v>34</v>
      </c>
      <c r="N913" s="4">
        <v>25</v>
      </c>
      <c r="O913" t="str" cm="1">
        <f t="array" ref="O91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13" t="s">
        <v>1550</v>
      </c>
      <c r="Q913" t="s">
        <v>2925</v>
      </c>
      <c r="R913" s="5">
        <v>206.42</v>
      </c>
      <c r="S913" s="5"/>
    </row>
    <row r="914" spans="1:19" x14ac:dyDescent="0.25">
      <c r="A914" t="s">
        <v>2711</v>
      </c>
      <c r="B914" t="s">
        <v>1288</v>
      </c>
      <c r="C914" s="3">
        <v>45470</v>
      </c>
      <c r="D914" t="s">
        <v>129</v>
      </c>
      <c r="E914" t="s">
        <v>34</v>
      </c>
      <c r="F914">
        <v>34</v>
      </c>
      <c r="G914" t="s">
        <v>2712</v>
      </c>
      <c r="H914">
        <v>3</v>
      </c>
      <c r="I914">
        <v>16.920000000000002</v>
      </c>
      <c r="J914">
        <v>8.27</v>
      </c>
      <c r="K914" t="s">
        <v>19</v>
      </c>
      <c r="L914" s="3">
        <v>45470</v>
      </c>
      <c r="M914" t="s">
        <v>34</v>
      </c>
      <c r="N914" s="4">
        <v>34</v>
      </c>
      <c r="O914" t="str" cm="1">
        <f t="array" ref="O91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14" t="s">
        <v>2712</v>
      </c>
      <c r="Q914" t="s">
        <v>2926</v>
      </c>
      <c r="R914" s="5">
        <v>16.920000000000002</v>
      </c>
      <c r="S914" s="5">
        <v>8.27</v>
      </c>
    </row>
    <row r="915" spans="1:19" x14ac:dyDescent="0.25">
      <c r="A915" t="s">
        <v>2713</v>
      </c>
      <c r="B915" t="s">
        <v>581</v>
      </c>
      <c r="C915" s="3">
        <v>45073</v>
      </c>
      <c r="D915" t="s">
        <v>51</v>
      </c>
      <c r="E915" t="s">
        <v>48</v>
      </c>
      <c r="F915">
        <v>69</v>
      </c>
      <c r="G915" t="s">
        <v>2654</v>
      </c>
      <c r="H915">
        <v>1</v>
      </c>
      <c r="I915">
        <v>33.68</v>
      </c>
      <c r="J915">
        <v>18.11</v>
      </c>
      <c r="K915" t="s">
        <v>19</v>
      </c>
      <c r="L915" s="3">
        <v>45073</v>
      </c>
      <c r="M915" t="s">
        <v>48</v>
      </c>
      <c r="N915" s="4">
        <v>69</v>
      </c>
      <c r="O915" t="str" cm="1">
        <f t="array" ref="O91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15" t="s">
        <v>2654</v>
      </c>
      <c r="Q915" t="s">
        <v>2927</v>
      </c>
      <c r="R915" s="5">
        <v>33.68</v>
      </c>
      <c r="S915" s="5">
        <v>18.11</v>
      </c>
    </row>
    <row r="916" spans="1:19" x14ac:dyDescent="0.25">
      <c r="A916" t="s">
        <v>1845</v>
      </c>
      <c r="B916" t="s">
        <v>1497</v>
      </c>
      <c r="C916" t="s">
        <v>1847</v>
      </c>
      <c r="D916" t="s">
        <v>51</v>
      </c>
      <c r="E916" t="s">
        <v>31</v>
      </c>
      <c r="F916">
        <v>66</v>
      </c>
      <c r="G916" t="s">
        <v>2714</v>
      </c>
      <c r="H916">
        <v>1</v>
      </c>
      <c r="I916">
        <v>52.85</v>
      </c>
      <c r="J916">
        <v>23.84</v>
      </c>
      <c r="K916" t="s">
        <v>41</v>
      </c>
      <c r="L916" s="3">
        <v>45001</v>
      </c>
      <c r="M916" t="s">
        <v>34</v>
      </c>
      <c r="N916" s="4">
        <v>66</v>
      </c>
      <c r="O916" t="str" cm="1">
        <f t="array" ref="O91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16" t="s">
        <v>2714</v>
      </c>
      <c r="Q916" t="s">
        <v>2929</v>
      </c>
      <c r="R916" s="5">
        <v>52.85</v>
      </c>
      <c r="S916" s="5">
        <v>23.84</v>
      </c>
    </row>
    <row r="917" spans="1:19" x14ac:dyDescent="0.25">
      <c r="A917" t="s">
        <v>2715</v>
      </c>
      <c r="B917" t="s">
        <v>518</v>
      </c>
      <c r="C917" s="3">
        <v>44948</v>
      </c>
      <c r="D917" t="s">
        <v>24</v>
      </c>
      <c r="F917">
        <v>49</v>
      </c>
      <c r="G917" t="s">
        <v>1840</v>
      </c>
      <c r="H917">
        <v>1</v>
      </c>
      <c r="I917">
        <v>21.08</v>
      </c>
      <c r="J917" t="s">
        <v>2716</v>
      </c>
      <c r="K917" t="s">
        <v>19</v>
      </c>
      <c r="L917" s="3">
        <v>44948</v>
      </c>
      <c r="M917" t="s">
        <v>20</v>
      </c>
      <c r="N917" s="4">
        <v>49</v>
      </c>
      <c r="O917" t="str" cm="1">
        <f t="array" ref="O91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17" t="s">
        <v>1840</v>
      </c>
      <c r="Q917" t="s">
        <v>2926</v>
      </c>
      <c r="R917" s="5">
        <v>21.08</v>
      </c>
      <c r="S917" s="5">
        <v>8.61</v>
      </c>
    </row>
    <row r="918" spans="1:19" x14ac:dyDescent="0.25">
      <c r="A918" t="s">
        <v>2717</v>
      </c>
      <c r="B918" t="s">
        <v>1473</v>
      </c>
      <c r="C918" s="3">
        <v>45281</v>
      </c>
      <c r="D918" t="s">
        <v>30</v>
      </c>
      <c r="E918" t="s">
        <v>65</v>
      </c>
      <c r="F918">
        <v>37</v>
      </c>
      <c r="G918" t="s">
        <v>324</v>
      </c>
      <c r="H918">
        <v>1</v>
      </c>
      <c r="I918">
        <v>17.11</v>
      </c>
      <c r="J918">
        <v>6.96</v>
      </c>
      <c r="K918" t="s">
        <v>19</v>
      </c>
      <c r="L918" s="3">
        <v>45281</v>
      </c>
      <c r="M918" t="s">
        <v>48</v>
      </c>
      <c r="N918" s="4">
        <v>37</v>
      </c>
      <c r="O918" t="str" cm="1">
        <f t="array" ref="O91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18" t="s">
        <v>324</v>
      </c>
      <c r="Q918" t="s">
        <v>2927</v>
      </c>
      <c r="R918" s="5">
        <v>17.11</v>
      </c>
      <c r="S918" s="5">
        <v>6.96</v>
      </c>
    </row>
    <row r="919" spans="1:19" x14ac:dyDescent="0.25">
      <c r="A919" t="s">
        <v>983</v>
      </c>
      <c r="B919" t="s">
        <v>956</v>
      </c>
      <c r="C919" t="s">
        <v>984</v>
      </c>
      <c r="D919" t="s">
        <v>129</v>
      </c>
      <c r="E919" t="s">
        <v>34</v>
      </c>
      <c r="F919">
        <v>34</v>
      </c>
      <c r="G919" t="s">
        <v>985</v>
      </c>
      <c r="H919">
        <v>1</v>
      </c>
      <c r="I919" t="s">
        <v>986</v>
      </c>
      <c r="J919" t="s">
        <v>987</v>
      </c>
      <c r="K919" t="s">
        <v>19</v>
      </c>
      <c r="L919" s="3">
        <v>45031</v>
      </c>
      <c r="M919" t="s">
        <v>34</v>
      </c>
      <c r="N919" s="4">
        <v>34</v>
      </c>
      <c r="O919" t="str" cm="1">
        <f t="array" ref="O91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19" t="s">
        <v>2857</v>
      </c>
      <c r="Q919" t="s">
        <v>2927</v>
      </c>
      <c r="R919" s="5">
        <v>5.53</v>
      </c>
      <c r="S919" s="5">
        <v>2.77</v>
      </c>
    </row>
    <row r="920" spans="1:19" x14ac:dyDescent="0.25">
      <c r="A920" t="s">
        <v>2718</v>
      </c>
      <c r="B920" t="s">
        <v>1691</v>
      </c>
      <c r="C920" s="1">
        <v>45004</v>
      </c>
      <c r="D920" t="s">
        <v>16</v>
      </c>
      <c r="E920" t="s">
        <v>60</v>
      </c>
      <c r="F920" t="s">
        <v>75</v>
      </c>
      <c r="G920" t="s">
        <v>39</v>
      </c>
      <c r="H920">
        <v>1</v>
      </c>
      <c r="I920" t="s">
        <v>2719</v>
      </c>
      <c r="J920">
        <v>2.0699999999999998</v>
      </c>
      <c r="K920" t="s">
        <v>41</v>
      </c>
      <c r="L920" s="3">
        <v>45004</v>
      </c>
      <c r="M920" t="s">
        <v>48</v>
      </c>
      <c r="N920" s="4">
        <v>20</v>
      </c>
      <c r="O920" t="str" cm="1">
        <f t="array" ref="O92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20" t="s">
        <v>39</v>
      </c>
      <c r="Q920" t="s">
        <v>2926</v>
      </c>
      <c r="R920" s="5">
        <v>5.59</v>
      </c>
      <c r="S920" s="5">
        <v>2.0699999999999998</v>
      </c>
    </row>
    <row r="921" spans="1:19" x14ac:dyDescent="0.25">
      <c r="A921" t="s">
        <v>2720</v>
      </c>
      <c r="B921" t="s">
        <v>2721</v>
      </c>
      <c r="C921" s="1">
        <v>45177</v>
      </c>
      <c r="D921" t="s">
        <v>24</v>
      </c>
      <c r="E921" t="s">
        <v>45</v>
      </c>
      <c r="F921">
        <v>54</v>
      </c>
      <c r="G921" t="s">
        <v>2722</v>
      </c>
      <c r="H921">
        <v>1</v>
      </c>
      <c r="I921" s="2">
        <v>4.92</v>
      </c>
      <c r="J921">
        <v>2.09</v>
      </c>
      <c r="K921" t="s">
        <v>41</v>
      </c>
      <c r="L921" s="3">
        <v>45177</v>
      </c>
      <c r="M921" t="s">
        <v>48</v>
      </c>
      <c r="N921" s="4">
        <v>54</v>
      </c>
      <c r="O921" t="str" cm="1">
        <f t="array" ref="O92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21" t="s">
        <v>2722</v>
      </c>
      <c r="Q921" t="s">
        <v>2926</v>
      </c>
      <c r="R921" s="5">
        <v>4.92</v>
      </c>
      <c r="S921" s="5">
        <v>2.09</v>
      </c>
    </row>
    <row r="922" spans="1:19" x14ac:dyDescent="0.25">
      <c r="A922" t="s">
        <v>2723</v>
      </c>
      <c r="B922" t="s">
        <v>276</v>
      </c>
      <c r="C922" s="1">
        <v>45103</v>
      </c>
      <c r="D922" t="s">
        <v>24</v>
      </c>
      <c r="E922" t="s">
        <v>34</v>
      </c>
      <c r="F922">
        <v>29</v>
      </c>
      <c r="G922" t="s">
        <v>2724</v>
      </c>
      <c r="H922">
        <v>2</v>
      </c>
      <c r="I922">
        <v>27.97</v>
      </c>
      <c r="J922">
        <v>7.08</v>
      </c>
      <c r="K922" t="s">
        <v>19</v>
      </c>
      <c r="L922" s="3">
        <v>45103</v>
      </c>
      <c r="M922" t="s">
        <v>34</v>
      </c>
      <c r="N922" s="4">
        <v>29</v>
      </c>
      <c r="O922" t="str" cm="1">
        <f t="array" ref="O92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22" t="s">
        <v>2724</v>
      </c>
      <c r="Q922" t="s">
        <v>2929</v>
      </c>
      <c r="R922" s="5">
        <v>27.97</v>
      </c>
      <c r="S922" s="5">
        <v>7.08</v>
      </c>
    </row>
    <row r="923" spans="1:19" x14ac:dyDescent="0.25">
      <c r="A923" t="s">
        <v>2725</v>
      </c>
      <c r="B923" t="s">
        <v>2256</v>
      </c>
      <c r="C923" s="1">
        <v>45121</v>
      </c>
      <c r="D923" t="s">
        <v>51</v>
      </c>
      <c r="E923" t="s">
        <v>85</v>
      </c>
      <c r="F923">
        <v>61</v>
      </c>
      <c r="G923" t="s">
        <v>2726</v>
      </c>
      <c r="H923">
        <v>5</v>
      </c>
      <c r="I923">
        <v>152.54</v>
      </c>
      <c r="J923" t="s">
        <v>2727</v>
      </c>
      <c r="K923" t="s">
        <v>41</v>
      </c>
      <c r="L923" s="3">
        <v>45121</v>
      </c>
      <c r="M923" t="s">
        <v>34</v>
      </c>
      <c r="N923" s="4">
        <v>61</v>
      </c>
      <c r="O923" t="str" cm="1">
        <f t="array" ref="O92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23" t="s">
        <v>2726</v>
      </c>
      <c r="Q923" t="s">
        <v>2927</v>
      </c>
      <c r="R923" s="5">
        <v>152.54</v>
      </c>
      <c r="S923" s="5">
        <v>56</v>
      </c>
    </row>
    <row r="924" spans="1:19" x14ac:dyDescent="0.25">
      <c r="A924" t="s">
        <v>2728</v>
      </c>
      <c r="B924" t="s">
        <v>707</v>
      </c>
      <c r="C924" t="s">
        <v>2729</v>
      </c>
      <c r="D924" t="s">
        <v>24</v>
      </c>
      <c r="E924" t="s">
        <v>38</v>
      </c>
      <c r="F924">
        <v>74</v>
      </c>
      <c r="G924" t="s">
        <v>2730</v>
      </c>
      <c r="H924">
        <v>2</v>
      </c>
      <c r="I924">
        <v>10.68</v>
      </c>
      <c r="J924" t="s">
        <v>2731</v>
      </c>
      <c r="K924" t="s">
        <v>41</v>
      </c>
      <c r="L924" s="3">
        <v>45405</v>
      </c>
      <c r="M924" t="s">
        <v>34</v>
      </c>
      <c r="N924" s="4">
        <v>74</v>
      </c>
      <c r="O924" t="str" cm="1">
        <f t="array" ref="O92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24" t="s">
        <v>2981</v>
      </c>
      <c r="Q924" t="s">
        <v>2929</v>
      </c>
      <c r="R924" s="5">
        <v>10.68</v>
      </c>
      <c r="S924" s="5">
        <v>5.45</v>
      </c>
    </row>
    <row r="925" spans="1:19" x14ac:dyDescent="0.25">
      <c r="A925" t="s">
        <v>2732</v>
      </c>
      <c r="B925" t="s">
        <v>227</v>
      </c>
      <c r="C925" t="s">
        <v>2733</v>
      </c>
      <c r="D925" t="s">
        <v>51</v>
      </c>
      <c r="E925" t="s">
        <v>65</v>
      </c>
      <c r="F925">
        <v>40</v>
      </c>
      <c r="G925" t="s">
        <v>2734</v>
      </c>
      <c r="H925">
        <v>2</v>
      </c>
      <c r="I925" s="2">
        <v>24.07</v>
      </c>
      <c r="J925">
        <v>7.85</v>
      </c>
      <c r="K925" t="s">
        <v>41</v>
      </c>
      <c r="L925" s="3">
        <v>45063</v>
      </c>
      <c r="M925" t="s">
        <v>48</v>
      </c>
      <c r="N925" s="4">
        <v>40</v>
      </c>
      <c r="O925" t="str" cm="1">
        <f t="array" ref="O92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25" t="s">
        <v>2734</v>
      </c>
      <c r="Q925" t="s">
        <v>2929</v>
      </c>
      <c r="R925" s="5">
        <v>24.07</v>
      </c>
      <c r="S925" s="5">
        <v>7.85</v>
      </c>
    </row>
    <row r="926" spans="1:19" x14ac:dyDescent="0.25">
      <c r="A926" t="s">
        <v>2735</v>
      </c>
      <c r="B926" t="s">
        <v>1173</v>
      </c>
      <c r="C926" s="3">
        <v>45637</v>
      </c>
      <c r="D926" t="s">
        <v>24</v>
      </c>
      <c r="E926" t="s">
        <v>31</v>
      </c>
      <c r="F926">
        <v>31</v>
      </c>
      <c r="G926" t="s">
        <v>2736</v>
      </c>
      <c r="H926">
        <v>1</v>
      </c>
      <c r="I926">
        <v>34.01</v>
      </c>
      <c r="J926">
        <v>10.32</v>
      </c>
      <c r="K926" t="s">
        <v>19</v>
      </c>
      <c r="L926" s="3">
        <v>45637</v>
      </c>
      <c r="M926" t="s">
        <v>34</v>
      </c>
      <c r="N926" s="4">
        <v>31</v>
      </c>
      <c r="O926" t="str" cm="1">
        <f t="array" ref="O92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26" t="s">
        <v>2736</v>
      </c>
      <c r="Q926" t="s">
        <v>2926</v>
      </c>
      <c r="R926" s="5">
        <v>34.01</v>
      </c>
      <c r="S926" s="5">
        <v>10.32</v>
      </c>
    </row>
    <row r="927" spans="1:19" x14ac:dyDescent="0.25">
      <c r="A927" t="s">
        <v>2737</v>
      </c>
      <c r="B927" t="s">
        <v>2738</v>
      </c>
      <c r="C927" s="1">
        <v>45440</v>
      </c>
      <c r="D927" t="s">
        <v>24</v>
      </c>
      <c r="E927" t="s">
        <v>60</v>
      </c>
      <c r="F927">
        <v>22</v>
      </c>
      <c r="G927" t="s">
        <v>2739</v>
      </c>
      <c r="H927">
        <v>1</v>
      </c>
      <c r="I927">
        <v>17.239999999999998</v>
      </c>
      <c r="J927">
        <v>5.88</v>
      </c>
      <c r="K927" t="s">
        <v>19</v>
      </c>
      <c r="L927" s="3">
        <v>45440</v>
      </c>
      <c r="M927" t="s">
        <v>48</v>
      </c>
      <c r="N927" s="4">
        <v>22</v>
      </c>
      <c r="O927" t="str" cm="1">
        <f t="array" ref="O92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27" t="s">
        <v>2739</v>
      </c>
      <c r="Q927" t="s">
        <v>2929</v>
      </c>
      <c r="R927" s="5">
        <v>17.239999999999998</v>
      </c>
      <c r="S927" s="5">
        <v>5.88</v>
      </c>
    </row>
    <row r="928" spans="1:19" x14ac:dyDescent="0.25">
      <c r="A928" t="s">
        <v>2740</v>
      </c>
      <c r="B928" t="s">
        <v>589</v>
      </c>
      <c r="C928" t="s">
        <v>2741</v>
      </c>
      <c r="D928" t="s">
        <v>16</v>
      </c>
      <c r="F928">
        <v>42</v>
      </c>
      <c r="G928" t="s">
        <v>842</v>
      </c>
      <c r="H928">
        <v>1</v>
      </c>
      <c r="I928" t="s">
        <v>2742</v>
      </c>
      <c r="J928">
        <v>6.97</v>
      </c>
      <c r="K928" t="s">
        <v>41</v>
      </c>
      <c r="L928" s="3">
        <v>45030</v>
      </c>
      <c r="M928" t="s">
        <v>20</v>
      </c>
      <c r="N928" s="4">
        <v>42</v>
      </c>
      <c r="O928" t="str" cm="1">
        <f t="array" ref="O92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28" t="s">
        <v>842</v>
      </c>
      <c r="Q928" t="s">
        <v>2927</v>
      </c>
      <c r="R928" s="5">
        <v>18.96</v>
      </c>
      <c r="S928" s="5">
        <v>6.97</v>
      </c>
    </row>
    <row r="929" spans="1:19" x14ac:dyDescent="0.25">
      <c r="A929" t="s">
        <v>2743</v>
      </c>
      <c r="B929" t="s">
        <v>2744</v>
      </c>
      <c r="C929" s="1">
        <v>45443</v>
      </c>
      <c r="D929" t="s">
        <v>30</v>
      </c>
      <c r="E929" t="s">
        <v>38</v>
      </c>
      <c r="F929" t="s">
        <v>435</v>
      </c>
      <c r="G929" t="s">
        <v>2745</v>
      </c>
      <c r="H929">
        <v>2</v>
      </c>
      <c r="I929">
        <v>22.26</v>
      </c>
      <c r="J929">
        <v>11.29</v>
      </c>
      <c r="K929" t="s">
        <v>19</v>
      </c>
      <c r="L929" s="3">
        <v>45443</v>
      </c>
      <c r="M929" t="s">
        <v>34</v>
      </c>
      <c r="N929" s="4"/>
      <c r="O929" t="str" cm="1">
        <f t="array" ref="O92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929" t="s">
        <v>2745</v>
      </c>
      <c r="Q929" t="s">
        <v>2926</v>
      </c>
      <c r="R929" s="5">
        <v>22.26</v>
      </c>
      <c r="S929" s="5">
        <v>11.29</v>
      </c>
    </row>
    <row r="930" spans="1:19" x14ac:dyDescent="0.25">
      <c r="A930" t="s">
        <v>2746</v>
      </c>
      <c r="B930" t="s">
        <v>558</v>
      </c>
      <c r="C930" t="s">
        <v>563</v>
      </c>
      <c r="D930" t="s">
        <v>16</v>
      </c>
      <c r="E930" t="s">
        <v>38</v>
      </c>
      <c r="F930">
        <v>14</v>
      </c>
      <c r="G930" t="s">
        <v>2747</v>
      </c>
      <c r="H930">
        <v>2</v>
      </c>
      <c r="I930" s="2">
        <v>21.65</v>
      </c>
      <c r="J930">
        <v>7.91</v>
      </c>
      <c r="K930" t="s">
        <v>19</v>
      </c>
      <c r="L930" s="3">
        <v>45385</v>
      </c>
      <c r="M930" t="s">
        <v>34</v>
      </c>
      <c r="N930" s="4">
        <v>14</v>
      </c>
      <c r="O930" t="str" cm="1">
        <f t="array" ref="O93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930" t="s">
        <v>2747</v>
      </c>
      <c r="Q930" t="s">
        <v>2929</v>
      </c>
      <c r="R930" s="5">
        <v>21.65</v>
      </c>
      <c r="S930" s="5">
        <v>7.91</v>
      </c>
    </row>
    <row r="931" spans="1:19" x14ac:dyDescent="0.25">
      <c r="A931" t="s">
        <v>2748</v>
      </c>
      <c r="B931" t="s">
        <v>215</v>
      </c>
      <c r="C931" t="s">
        <v>2749</v>
      </c>
      <c r="D931" t="s">
        <v>51</v>
      </c>
      <c r="E931" t="s">
        <v>38</v>
      </c>
      <c r="F931">
        <v>19</v>
      </c>
      <c r="G931" t="s">
        <v>2750</v>
      </c>
      <c r="H931">
        <v>4</v>
      </c>
      <c r="I931" s="2">
        <v>67.97</v>
      </c>
      <c r="J931">
        <v>23.39</v>
      </c>
      <c r="K931" t="s">
        <v>19</v>
      </c>
      <c r="L931" s="3">
        <v>45208</v>
      </c>
      <c r="M931" t="s">
        <v>34</v>
      </c>
      <c r="N931" s="4">
        <v>19</v>
      </c>
      <c r="O931" t="str" cm="1">
        <f t="array" ref="O93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31" t="s">
        <v>2750</v>
      </c>
      <c r="Q931" t="s">
        <v>2926</v>
      </c>
      <c r="R931" s="5">
        <v>67.97</v>
      </c>
      <c r="S931" s="5">
        <v>23.39</v>
      </c>
    </row>
    <row r="932" spans="1:19" x14ac:dyDescent="0.25">
      <c r="A932" t="s">
        <v>2751</v>
      </c>
      <c r="B932" t="s">
        <v>585</v>
      </c>
      <c r="C932" t="s">
        <v>2752</v>
      </c>
      <c r="D932" t="s">
        <v>51</v>
      </c>
      <c r="E932" t="s">
        <v>38</v>
      </c>
      <c r="F932">
        <v>75</v>
      </c>
      <c r="G932" t="s">
        <v>2753</v>
      </c>
      <c r="H932">
        <v>1</v>
      </c>
      <c r="I932" s="2">
        <v>19.3</v>
      </c>
      <c r="J932">
        <v>4.47</v>
      </c>
      <c r="K932" t="s">
        <v>41</v>
      </c>
      <c r="L932" s="3">
        <v>45419</v>
      </c>
      <c r="M932" t="s">
        <v>34</v>
      </c>
      <c r="N932" s="4">
        <v>75</v>
      </c>
      <c r="O932" t="str" cm="1">
        <f t="array" ref="O93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32" t="s">
        <v>2753</v>
      </c>
      <c r="Q932" t="s">
        <v>2927</v>
      </c>
      <c r="R932" s="5">
        <v>19.3</v>
      </c>
      <c r="S932" s="5">
        <v>4.47</v>
      </c>
    </row>
    <row r="933" spans="1:19" x14ac:dyDescent="0.25">
      <c r="A933" t="s">
        <v>2754</v>
      </c>
      <c r="B933" t="s">
        <v>1062</v>
      </c>
      <c r="C933" s="1">
        <v>45144</v>
      </c>
      <c r="D933" t="s">
        <v>51</v>
      </c>
      <c r="E933" t="s">
        <v>31</v>
      </c>
      <c r="F933">
        <v>18</v>
      </c>
      <c r="G933" t="s">
        <v>158</v>
      </c>
      <c r="H933">
        <v>1</v>
      </c>
      <c r="I933">
        <v>16.18</v>
      </c>
      <c r="J933" s="2">
        <v>7.39</v>
      </c>
      <c r="K933" t="s">
        <v>41</v>
      </c>
      <c r="L933" s="3">
        <v>45144</v>
      </c>
      <c r="M933" t="s">
        <v>34</v>
      </c>
      <c r="N933" s="4">
        <v>18</v>
      </c>
      <c r="O933" t="str" cm="1">
        <f t="array" ref="O93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33" t="s">
        <v>158</v>
      </c>
      <c r="Q933" t="s">
        <v>2926</v>
      </c>
      <c r="R933" s="5">
        <v>16.18</v>
      </c>
      <c r="S933" s="5">
        <v>7.39</v>
      </c>
    </row>
    <row r="934" spans="1:19" x14ac:dyDescent="0.25">
      <c r="A934" t="s">
        <v>2755</v>
      </c>
      <c r="B934" t="s">
        <v>202</v>
      </c>
      <c r="C934" s="1">
        <v>45599</v>
      </c>
      <c r="D934" t="s">
        <v>30</v>
      </c>
      <c r="E934" t="s">
        <v>65</v>
      </c>
      <c r="F934">
        <v>24</v>
      </c>
      <c r="G934" t="s">
        <v>2756</v>
      </c>
      <c r="H934">
        <v>1</v>
      </c>
      <c r="I934">
        <v>49.26</v>
      </c>
      <c r="J934">
        <v>27.94</v>
      </c>
      <c r="K934" t="s">
        <v>41</v>
      </c>
      <c r="L934" s="3">
        <v>45599</v>
      </c>
      <c r="M934" t="s">
        <v>48</v>
      </c>
      <c r="N934" s="4">
        <v>24</v>
      </c>
      <c r="O934" t="str" cm="1">
        <f t="array" ref="O93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34" t="s">
        <v>2756</v>
      </c>
      <c r="Q934" t="s">
        <v>2927</v>
      </c>
      <c r="R934" s="5">
        <v>49.26</v>
      </c>
      <c r="S934" s="5">
        <v>27.94</v>
      </c>
    </row>
    <row r="935" spans="1:19" x14ac:dyDescent="0.25">
      <c r="A935" t="s">
        <v>2757</v>
      </c>
      <c r="B935" t="s">
        <v>1537</v>
      </c>
      <c r="C935" t="s">
        <v>2758</v>
      </c>
      <c r="D935" t="s">
        <v>30</v>
      </c>
      <c r="F935">
        <v>71</v>
      </c>
      <c r="G935" t="s">
        <v>2158</v>
      </c>
      <c r="H935">
        <v>3</v>
      </c>
      <c r="I935" s="2">
        <v>71.5</v>
      </c>
      <c r="J935">
        <v>24.87</v>
      </c>
      <c r="K935" t="s">
        <v>19</v>
      </c>
      <c r="L935" s="3">
        <v>45293</v>
      </c>
      <c r="M935" t="s">
        <v>20</v>
      </c>
      <c r="N935" s="4">
        <v>71</v>
      </c>
      <c r="O935" t="str" cm="1">
        <f t="array" ref="O93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35" t="s">
        <v>2158</v>
      </c>
      <c r="Q935" t="s">
        <v>2926</v>
      </c>
      <c r="R935" s="5">
        <v>71.5</v>
      </c>
      <c r="S935" s="5">
        <v>24.87</v>
      </c>
    </row>
    <row r="936" spans="1:19" x14ac:dyDescent="0.25">
      <c r="A936" t="s">
        <v>2759</v>
      </c>
      <c r="B936" t="s">
        <v>1173</v>
      </c>
      <c r="C936" t="s">
        <v>2760</v>
      </c>
      <c r="D936" t="s">
        <v>16</v>
      </c>
      <c r="E936" t="s">
        <v>25</v>
      </c>
      <c r="F936">
        <v>58</v>
      </c>
      <c r="G936" t="s">
        <v>2761</v>
      </c>
      <c r="H936">
        <v>1</v>
      </c>
      <c r="I936">
        <v>17.489999999999998</v>
      </c>
      <c r="J936" t="s">
        <v>2762</v>
      </c>
      <c r="K936" t="s">
        <v>19</v>
      </c>
      <c r="L936" s="3">
        <v>45209</v>
      </c>
      <c r="M936" t="s">
        <v>20</v>
      </c>
      <c r="N936" s="4">
        <v>58</v>
      </c>
      <c r="O936" t="str" cm="1">
        <f t="array" ref="O93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36" t="s">
        <v>2761</v>
      </c>
      <c r="Q936" t="s">
        <v>2927</v>
      </c>
      <c r="R936" s="5">
        <v>17.489999999999998</v>
      </c>
      <c r="S936" s="5">
        <v>8.0299999999999994</v>
      </c>
    </row>
    <row r="937" spans="1:19" x14ac:dyDescent="0.25">
      <c r="A937" t="s">
        <v>2763</v>
      </c>
      <c r="B937" t="s">
        <v>2764</v>
      </c>
      <c r="C937" t="s">
        <v>2765</v>
      </c>
      <c r="D937" t="s">
        <v>16</v>
      </c>
      <c r="E937" t="s">
        <v>34</v>
      </c>
      <c r="F937">
        <v>35</v>
      </c>
      <c r="G937" t="s">
        <v>541</v>
      </c>
      <c r="H937">
        <v>2</v>
      </c>
      <c r="I937">
        <v>47.74</v>
      </c>
      <c r="J937">
        <v>25.34</v>
      </c>
      <c r="K937" t="s">
        <v>19</v>
      </c>
      <c r="L937" s="3">
        <v>45390</v>
      </c>
      <c r="M937" t="s">
        <v>34</v>
      </c>
      <c r="N937" s="4">
        <v>35</v>
      </c>
      <c r="O937" t="str" cm="1">
        <f t="array" ref="O93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37" t="s">
        <v>541</v>
      </c>
      <c r="Q937" t="s">
        <v>2926</v>
      </c>
      <c r="R937" s="5">
        <v>47.74</v>
      </c>
      <c r="S937" s="5">
        <v>25.34</v>
      </c>
    </row>
    <row r="938" spans="1:19" x14ac:dyDescent="0.25">
      <c r="A938" t="s">
        <v>2766</v>
      </c>
      <c r="B938" t="s">
        <v>1202</v>
      </c>
      <c r="C938" s="3">
        <v>44963</v>
      </c>
      <c r="D938" t="s">
        <v>129</v>
      </c>
      <c r="E938" t="s">
        <v>48</v>
      </c>
      <c r="F938">
        <v>24</v>
      </c>
      <c r="G938" t="s">
        <v>2666</v>
      </c>
      <c r="H938">
        <v>1</v>
      </c>
      <c r="I938" s="2">
        <v>19.5</v>
      </c>
      <c r="J938">
        <v>6.11</v>
      </c>
      <c r="K938" t="s">
        <v>19</v>
      </c>
      <c r="L938" s="3">
        <v>44963</v>
      </c>
      <c r="M938" t="s">
        <v>48</v>
      </c>
      <c r="N938" s="4">
        <v>24</v>
      </c>
      <c r="O938" t="str" cm="1">
        <f t="array" ref="O93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38" t="s">
        <v>2666</v>
      </c>
      <c r="Q938" t="s">
        <v>2927</v>
      </c>
      <c r="R938" s="5">
        <v>19.5</v>
      </c>
      <c r="S938" s="5">
        <v>6.11</v>
      </c>
    </row>
    <row r="939" spans="1:19" x14ac:dyDescent="0.25">
      <c r="A939" t="s">
        <v>2767</v>
      </c>
      <c r="B939" t="s">
        <v>854</v>
      </c>
      <c r="C939" s="1">
        <v>45313</v>
      </c>
      <c r="D939" t="s">
        <v>24</v>
      </c>
      <c r="E939" t="s">
        <v>34</v>
      </c>
      <c r="F939">
        <v>20</v>
      </c>
      <c r="G939" t="s">
        <v>2768</v>
      </c>
      <c r="H939">
        <v>1</v>
      </c>
      <c r="I939">
        <v>17.7</v>
      </c>
      <c r="J939">
        <v>6.45</v>
      </c>
      <c r="K939" t="s">
        <v>41</v>
      </c>
      <c r="L939" s="3">
        <v>45313</v>
      </c>
      <c r="M939" t="s">
        <v>34</v>
      </c>
      <c r="N939" s="4">
        <v>20</v>
      </c>
      <c r="O939" t="str" cm="1">
        <f t="array" ref="O93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39" t="s">
        <v>2768</v>
      </c>
      <c r="Q939" t="s">
        <v>2929</v>
      </c>
      <c r="R939" s="5">
        <v>17.7</v>
      </c>
      <c r="S939" s="5">
        <v>6.45</v>
      </c>
    </row>
    <row r="940" spans="1:19" x14ac:dyDescent="0.25">
      <c r="A940" t="s">
        <v>2769</v>
      </c>
      <c r="B940" t="s">
        <v>546</v>
      </c>
      <c r="C940" s="1">
        <v>44987</v>
      </c>
      <c r="D940" t="s">
        <v>129</v>
      </c>
      <c r="E940" t="s">
        <v>48</v>
      </c>
      <c r="F940">
        <v>44</v>
      </c>
      <c r="G940" t="s">
        <v>2770</v>
      </c>
      <c r="H940">
        <v>-1</v>
      </c>
      <c r="I940">
        <v>-4.25</v>
      </c>
      <c r="J940">
        <v>-2.2200000000000002</v>
      </c>
      <c r="K940" t="s">
        <v>41</v>
      </c>
      <c r="L940" s="3">
        <v>44987</v>
      </c>
      <c r="M940" t="s">
        <v>48</v>
      </c>
      <c r="N940" s="4">
        <v>44</v>
      </c>
      <c r="O940" t="str" cm="1">
        <f t="array" ref="O94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40" t="s">
        <v>2770</v>
      </c>
      <c r="Q940" t="s">
        <v>2927</v>
      </c>
      <c r="R940" s="5">
        <v>-4.25</v>
      </c>
      <c r="S940" s="5">
        <v>-2.2200000000000002</v>
      </c>
    </row>
    <row r="941" spans="1:19" x14ac:dyDescent="0.25">
      <c r="A941" t="s">
        <v>2771</v>
      </c>
      <c r="B941" t="s">
        <v>89</v>
      </c>
      <c r="C941" s="1">
        <v>44948</v>
      </c>
      <c r="D941" t="s">
        <v>24</v>
      </c>
      <c r="E941" t="s">
        <v>38</v>
      </c>
      <c r="F941">
        <v>16</v>
      </c>
      <c r="G941" t="s">
        <v>258</v>
      </c>
      <c r="H941">
        <v>2</v>
      </c>
      <c r="I941">
        <v>46.25</v>
      </c>
      <c r="J941">
        <v>15.69</v>
      </c>
      <c r="K941" t="s">
        <v>19</v>
      </c>
      <c r="L941" s="3">
        <v>44948</v>
      </c>
      <c r="M941" t="s">
        <v>34</v>
      </c>
      <c r="N941" s="4">
        <v>16</v>
      </c>
      <c r="O941" t="str" cm="1">
        <f t="array" ref="O94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941" t="s">
        <v>258</v>
      </c>
      <c r="Q941" t="s">
        <v>2927</v>
      </c>
      <c r="R941" s="5">
        <v>46.25</v>
      </c>
      <c r="S941" s="5">
        <v>15.69</v>
      </c>
    </row>
    <row r="942" spans="1:19" x14ac:dyDescent="0.25">
      <c r="A942" t="s">
        <v>2772</v>
      </c>
      <c r="B942" t="s">
        <v>594</v>
      </c>
      <c r="C942" t="s">
        <v>2105</v>
      </c>
      <c r="D942" t="s">
        <v>24</v>
      </c>
      <c r="E942" t="s">
        <v>48</v>
      </c>
      <c r="F942">
        <v>33</v>
      </c>
      <c r="G942" t="s">
        <v>2773</v>
      </c>
      <c r="H942">
        <v>1</v>
      </c>
      <c r="I942">
        <v>7.63</v>
      </c>
      <c r="J942">
        <v>4.1399999999999997</v>
      </c>
      <c r="K942" t="s">
        <v>19</v>
      </c>
      <c r="L942" s="3">
        <v>45040</v>
      </c>
      <c r="M942" t="s">
        <v>48</v>
      </c>
      <c r="N942" s="4">
        <v>33</v>
      </c>
      <c r="O942" t="str" cm="1">
        <f t="array" ref="O94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42" t="s">
        <v>2773</v>
      </c>
      <c r="Q942" t="s">
        <v>2927</v>
      </c>
      <c r="R942" s="5">
        <v>7.63</v>
      </c>
      <c r="S942" s="5">
        <v>4.1399999999999997</v>
      </c>
    </row>
    <row r="943" spans="1:19" x14ac:dyDescent="0.25">
      <c r="A943" t="s">
        <v>768</v>
      </c>
      <c r="B943" t="s">
        <v>2774</v>
      </c>
      <c r="C943" t="s">
        <v>769</v>
      </c>
      <c r="D943" t="s">
        <v>24</v>
      </c>
      <c r="E943" t="s">
        <v>365</v>
      </c>
      <c r="F943">
        <v>50</v>
      </c>
      <c r="G943" t="s">
        <v>2775</v>
      </c>
      <c r="H943">
        <v>1</v>
      </c>
      <c r="I943">
        <v>14.9</v>
      </c>
      <c r="J943">
        <v>7.77</v>
      </c>
      <c r="K943" t="s">
        <v>41</v>
      </c>
      <c r="L943" s="3">
        <v>45544</v>
      </c>
      <c r="M943" t="s">
        <v>48</v>
      </c>
      <c r="N943" s="4">
        <v>50</v>
      </c>
      <c r="O943" t="str" cm="1">
        <f t="array" ref="O94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43" t="s">
        <v>770</v>
      </c>
      <c r="Q943" t="s">
        <v>2929</v>
      </c>
      <c r="R943" s="5">
        <v>14.9</v>
      </c>
      <c r="S943" s="5">
        <v>7.77</v>
      </c>
    </row>
    <row r="944" spans="1:19" x14ac:dyDescent="0.25">
      <c r="A944" t="s">
        <v>2776</v>
      </c>
      <c r="B944" t="s">
        <v>453</v>
      </c>
      <c r="C944" s="1">
        <v>45627</v>
      </c>
      <c r="D944" t="s">
        <v>30</v>
      </c>
      <c r="E944" t="s">
        <v>70</v>
      </c>
      <c r="F944">
        <v>49</v>
      </c>
      <c r="G944" t="s">
        <v>2777</v>
      </c>
      <c r="H944">
        <v>1</v>
      </c>
      <c r="I944">
        <v>26.3</v>
      </c>
      <c r="J944" t="s">
        <v>2778</v>
      </c>
      <c r="K944" t="s">
        <v>19</v>
      </c>
      <c r="L944" s="3">
        <v>45627</v>
      </c>
      <c r="M944" t="s">
        <v>20</v>
      </c>
      <c r="N944" s="4">
        <v>49</v>
      </c>
      <c r="O944" t="str" cm="1">
        <f t="array" ref="O94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44" t="s">
        <v>2777</v>
      </c>
      <c r="Q944" t="s">
        <v>2929</v>
      </c>
      <c r="R944" s="5">
        <v>26.3</v>
      </c>
      <c r="S944" s="5">
        <v>7.94</v>
      </c>
    </row>
    <row r="945" spans="1:19" x14ac:dyDescent="0.25">
      <c r="A945" t="s">
        <v>2779</v>
      </c>
      <c r="B945" t="s">
        <v>477</v>
      </c>
      <c r="C945" s="1">
        <v>44934</v>
      </c>
      <c r="D945" t="s">
        <v>24</v>
      </c>
      <c r="F945">
        <v>33</v>
      </c>
      <c r="G945" t="s">
        <v>2780</v>
      </c>
      <c r="H945">
        <v>5</v>
      </c>
      <c r="I945" t="s">
        <v>2781</v>
      </c>
      <c r="J945">
        <v>13.08</v>
      </c>
      <c r="K945" t="s">
        <v>41</v>
      </c>
      <c r="L945" s="3">
        <v>44934</v>
      </c>
      <c r="M945" t="s">
        <v>20</v>
      </c>
      <c r="N945" s="4">
        <v>33</v>
      </c>
      <c r="O945" t="str" cm="1">
        <f t="array" ref="O94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45" t="s">
        <v>2780</v>
      </c>
      <c r="Q945" t="s">
        <v>2928</v>
      </c>
      <c r="R945" s="5">
        <v>28.61</v>
      </c>
      <c r="S945" s="5">
        <v>13.08</v>
      </c>
    </row>
    <row r="946" spans="1:19" x14ac:dyDescent="0.25">
      <c r="A946" t="s">
        <v>2782</v>
      </c>
      <c r="B946" t="s">
        <v>180</v>
      </c>
      <c r="C946" s="1">
        <v>45476</v>
      </c>
      <c r="D946" t="s">
        <v>16</v>
      </c>
      <c r="E946" t="s">
        <v>85</v>
      </c>
      <c r="F946">
        <v>53</v>
      </c>
      <c r="G946" t="s">
        <v>2783</v>
      </c>
      <c r="H946">
        <v>3</v>
      </c>
      <c r="I946" s="2">
        <v>75.98</v>
      </c>
      <c r="J946" t="s">
        <v>2784</v>
      </c>
      <c r="K946" t="s">
        <v>19</v>
      </c>
      <c r="L946" s="3">
        <v>45476</v>
      </c>
      <c r="M946" t="s">
        <v>34</v>
      </c>
      <c r="N946" s="4">
        <v>53</v>
      </c>
      <c r="O946" t="str" cm="1">
        <f t="array" ref="O94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46" t="s">
        <v>2783</v>
      </c>
      <c r="Q946" t="s">
        <v>2925</v>
      </c>
      <c r="R946" s="5">
        <v>75.98</v>
      </c>
      <c r="S946" s="5">
        <v>34.75</v>
      </c>
    </row>
    <row r="947" spans="1:19" x14ac:dyDescent="0.25">
      <c r="A947" t="s">
        <v>2031</v>
      </c>
      <c r="B947" t="s">
        <v>176</v>
      </c>
      <c r="C947" t="s">
        <v>2032</v>
      </c>
      <c r="D947" t="s">
        <v>129</v>
      </c>
      <c r="E947" t="s">
        <v>85</v>
      </c>
      <c r="F947">
        <v>64</v>
      </c>
      <c r="G947" t="s">
        <v>395</v>
      </c>
      <c r="H947">
        <v>4</v>
      </c>
      <c r="I947">
        <v>40.17</v>
      </c>
      <c r="J947">
        <v>18.649999999999999</v>
      </c>
      <c r="K947" t="s">
        <v>41</v>
      </c>
      <c r="L947" s="3">
        <v>45522</v>
      </c>
      <c r="M947" t="s">
        <v>34</v>
      </c>
      <c r="N947" s="4">
        <v>64</v>
      </c>
      <c r="O947" t="str" cm="1">
        <f t="array" ref="O94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47" t="s">
        <v>395</v>
      </c>
      <c r="Q947" t="s">
        <v>2925</v>
      </c>
      <c r="R947" s="5">
        <v>40.17</v>
      </c>
      <c r="S947" s="5">
        <v>18.649999999999999</v>
      </c>
    </row>
    <row r="948" spans="1:19" x14ac:dyDescent="0.25">
      <c r="A948" t="s">
        <v>2785</v>
      </c>
      <c r="B948" t="s">
        <v>2018</v>
      </c>
      <c r="C948" t="s">
        <v>2786</v>
      </c>
      <c r="D948" t="s">
        <v>16</v>
      </c>
      <c r="E948" t="s">
        <v>65</v>
      </c>
      <c r="F948">
        <v>38</v>
      </c>
      <c r="G948" t="s">
        <v>2787</v>
      </c>
      <c r="H948">
        <v>1</v>
      </c>
      <c r="I948">
        <v>24.45</v>
      </c>
      <c r="J948" t="s">
        <v>2788</v>
      </c>
      <c r="K948" t="s">
        <v>41</v>
      </c>
      <c r="L948" s="3">
        <v>45126</v>
      </c>
      <c r="M948" t="s">
        <v>48</v>
      </c>
      <c r="N948" s="4">
        <v>38</v>
      </c>
      <c r="O948" t="str" cm="1">
        <f t="array" ref="O94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48" t="s">
        <v>2787</v>
      </c>
      <c r="Q948" t="s">
        <v>2927</v>
      </c>
      <c r="R948" s="5">
        <v>24.45</v>
      </c>
      <c r="S948" s="5">
        <v>9.6999999999999993</v>
      </c>
    </row>
    <row r="949" spans="1:19" x14ac:dyDescent="0.25">
      <c r="A949" t="s">
        <v>2789</v>
      </c>
      <c r="B949" t="s">
        <v>477</v>
      </c>
      <c r="C949" s="3">
        <v>45203</v>
      </c>
      <c r="D949" t="s">
        <v>24</v>
      </c>
      <c r="E949" t="s">
        <v>48</v>
      </c>
      <c r="F949">
        <v>49</v>
      </c>
      <c r="G949" t="s">
        <v>243</v>
      </c>
      <c r="H949">
        <v>1</v>
      </c>
      <c r="I949" t="s">
        <v>2790</v>
      </c>
      <c r="J949">
        <v>18</v>
      </c>
      <c r="K949" t="s">
        <v>41</v>
      </c>
      <c r="L949" s="3">
        <v>45203</v>
      </c>
      <c r="M949" t="s">
        <v>48</v>
      </c>
      <c r="N949" s="4">
        <v>49</v>
      </c>
      <c r="O949" t="str" cm="1">
        <f t="array" ref="O94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49" t="s">
        <v>243</v>
      </c>
      <c r="Q949" t="s">
        <v>2928</v>
      </c>
      <c r="R949" s="5">
        <v>30.66</v>
      </c>
      <c r="S949" s="5">
        <v>18</v>
      </c>
    </row>
    <row r="950" spans="1:19" x14ac:dyDescent="0.25">
      <c r="A950" t="s">
        <v>2791</v>
      </c>
      <c r="B950" t="s">
        <v>477</v>
      </c>
      <c r="C950" s="1">
        <v>45404</v>
      </c>
      <c r="D950" t="s">
        <v>24</v>
      </c>
      <c r="E950" t="s">
        <v>132</v>
      </c>
      <c r="F950">
        <v>71</v>
      </c>
      <c r="G950" t="s">
        <v>722</v>
      </c>
      <c r="H950">
        <v>1</v>
      </c>
      <c r="I950">
        <v>7.84</v>
      </c>
      <c r="J950" t="s">
        <v>2792</v>
      </c>
      <c r="K950" t="s">
        <v>19</v>
      </c>
      <c r="L950" s="3">
        <v>45404</v>
      </c>
      <c r="M950" t="s">
        <v>132</v>
      </c>
      <c r="N950" s="4">
        <v>71</v>
      </c>
      <c r="O950" t="str" cm="1">
        <f t="array" ref="O95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50" t="s">
        <v>722</v>
      </c>
      <c r="Q950" t="s">
        <v>2926</v>
      </c>
      <c r="R950" s="5">
        <v>7.84</v>
      </c>
      <c r="S950" s="5">
        <v>2.4900000000000002</v>
      </c>
    </row>
    <row r="951" spans="1:19" x14ac:dyDescent="0.25">
      <c r="A951" t="s">
        <v>2793</v>
      </c>
      <c r="B951" t="s">
        <v>642</v>
      </c>
      <c r="C951" t="s">
        <v>2794</v>
      </c>
      <c r="D951" t="s">
        <v>30</v>
      </c>
      <c r="E951" t="s">
        <v>60</v>
      </c>
      <c r="F951">
        <v>46</v>
      </c>
      <c r="G951" t="s">
        <v>2795</v>
      </c>
      <c r="H951">
        <v>4</v>
      </c>
      <c r="I951">
        <v>120.7</v>
      </c>
      <c r="J951">
        <v>56.19</v>
      </c>
      <c r="K951" t="s">
        <v>19</v>
      </c>
      <c r="L951" s="3">
        <v>45474</v>
      </c>
      <c r="M951" t="s">
        <v>48</v>
      </c>
      <c r="N951" s="4">
        <v>46</v>
      </c>
      <c r="O951" t="str" cm="1">
        <f t="array" ref="O95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51" t="s">
        <v>553</v>
      </c>
      <c r="Q951" t="s">
        <v>2926</v>
      </c>
      <c r="R951" s="5">
        <v>120.7</v>
      </c>
      <c r="S951" s="5">
        <v>56.19</v>
      </c>
    </row>
    <row r="952" spans="1:19" x14ac:dyDescent="0.25">
      <c r="A952" t="s">
        <v>2796</v>
      </c>
      <c r="B952" t="s">
        <v>276</v>
      </c>
      <c r="C952" s="3">
        <v>45249</v>
      </c>
      <c r="D952" t="s">
        <v>51</v>
      </c>
      <c r="E952" t="s">
        <v>60</v>
      </c>
      <c r="F952">
        <v>34</v>
      </c>
      <c r="G952" t="s">
        <v>528</v>
      </c>
      <c r="H952">
        <v>4</v>
      </c>
      <c r="I952" t="s">
        <v>2797</v>
      </c>
      <c r="J952" t="s">
        <v>25</v>
      </c>
      <c r="K952" t="s">
        <v>41</v>
      </c>
      <c r="L952" s="3">
        <v>45249</v>
      </c>
      <c r="M952" t="s">
        <v>48</v>
      </c>
      <c r="N952" s="4">
        <v>34</v>
      </c>
      <c r="O952" t="str" cm="1">
        <f t="array" ref="O95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52" t="s">
        <v>528</v>
      </c>
      <c r="Q952" t="s">
        <v>2926</v>
      </c>
      <c r="R952" s="5">
        <v>238.61</v>
      </c>
      <c r="S952" s="5"/>
    </row>
    <row r="953" spans="1:19" x14ac:dyDescent="0.25">
      <c r="A953" t="s">
        <v>2798</v>
      </c>
      <c r="B953" t="s">
        <v>2018</v>
      </c>
      <c r="C953" t="s">
        <v>2799</v>
      </c>
      <c r="D953" t="s">
        <v>24</v>
      </c>
      <c r="E953" t="s">
        <v>45</v>
      </c>
      <c r="F953">
        <v>32</v>
      </c>
      <c r="G953" t="s">
        <v>974</v>
      </c>
      <c r="H953">
        <v>5</v>
      </c>
      <c r="I953">
        <v>62.71</v>
      </c>
      <c r="J953">
        <v>34.31</v>
      </c>
      <c r="K953" t="s">
        <v>41</v>
      </c>
      <c r="L953" s="3">
        <v>45143</v>
      </c>
      <c r="M953" t="s">
        <v>48</v>
      </c>
      <c r="N953" s="4">
        <v>32</v>
      </c>
      <c r="O953" t="str" cm="1">
        <f t="array" ref="O95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53" t="s">
        <v>974</v>
      </c>
      <c r="Q953" t="s">
        <v>2930</v>
      </c>
      <c r="R953" s="5">
        <v>62.71</v>
      </c>
      <c r="S953" s="5">
        <v>34.31</v>
      </c>
    </row>
    <row r="954" spans="1:19" x14ac:dyDescent="0.25">
      <c r="A954" t="s">
        <v>2800</v>
      </c>
      <c r="B954" t="s">
        <v>279</v>
      </c>
      <c r="C954" s="3">
        <v>45057</v>
      </c>
      <c r="D954" t="s">
        <v>16</v>
      </c>
      <c r="E954" t="s">
        <v>31</v>
      </c>
      <c r="F954">
        <v>19</v>
      </c>
      <c r="G954" t="s">
        <v>887</v>
      </c>
      <c r="H954">
        <v>1</v>
      </c>
      <c r="I954">
        <v>4.71</v>
      </c>
      <c r="J954">
        <v>1.71</v>
      </c>
      <c r="K954" t="s">
        <v>19</v>
      </c>
      <c r="L954" s="3">
        <v>45057</v>
      </c>
      <c r="M954" t="s">
        <v>34</v>
      </c>
      <c r="N954" s="4">
        <v>19</v>
      </c>
      <c r="O954" t="str" cm="1">
        <f t="array" ref="O95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54" t="s">
        <v>887</v>
      </c>
      <c r="Q954" t="s">
        <v>2929</v>
      </c>
      <c r="R954" s="5">
        <v>4.71</v>
      </c>
      <c r="S954" s="5">
        <v>1.71</v>
      </c>
    </row>
    <row r="955" spans="1:19" x14ac:dyDescent="0.25">
      <c r="A955" t="s">
        <v>2801</v>
      </c>
      <c r="B955" t="s">
        <v>2256</v>
      </c>
      <c r="C955" t="s">
        <v>2802</v>
      </c>
      <c r="D955" t="s">
        <v>24</v>
      </c>
      <c r="E955" t="s">
        <v>60</v>
      </c>
      <c r="F955">
        <v>54</v>
      </c>
      <c r="G955" t="s">
        <v>1471</v>
      </c>
      <c r="H955">
        <v>1</v>
      </c>
      <c r="I955">
        <v>22.47</v>
      </c>
      <c r="J955">
        <v>6.96</v>
      </c>
      <c r="K955" t="s">
        <v>19</v>
      </c>
      <c r="L955" s="3">
        <v>45647</v>
      </c>
      <c r="M955" t="s">
        <v>48</v>
      </c>
      <c r="N955" s="4">
        <v>54</v>
      </c>
      <c r="O955" t="str" cm="1">
        <f t="array" ref="O95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55" t="s">
        <v>1471</v>
      </c>
      <c r="Q955" t="s">
        <v>2926</v>
      </c>
      <c r="R955" s="5">
        <v>22.47</v>
      </c>
      <c r="S955" s="5">
        <v>6.96</v>
      </c>
    </row>
    <row r="956" spans="1:19" x14ac:dyDescent="0.25">
      <c r="A956" t="s">
        <v>2803</v>
      </c>
      <c r="B956" t="s">
        <v>657</v>
      </c>
      <c r="C956" s="1">
        <v>45030</v>
      </c>
      <c r="D956" t="s">
        <v>129</v>
      </c>
      <c r="E956" t="s">
        <v>45</v>
      </c>
      <c r="F956">
        <v>67</v>
      </c>
      <c r="G956" t="s">
        <v>356</v>
      </c>
      <c r="H956">
        <v>2</v>
      </c>
      <c r="I956">
        <v>40.36</v>
      </c>
      <c r="J956">
        <v>16.34</v>
      </c>
      <c r="K956" t="s">
        <v>19</v>
      </c>
      <c r="L956" s="3">
        <v>45030</v>
      </c>
      <c r="M956" t="s">
        <v>48</v>
      </c>
      <c r="N956" s="4">
        <v>67</v>
      </c>
      <c r="O956" t="str" cm="1">
        <f t="array" ref="O95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56" t="s">
        <v>356</v>
      </c>
      <c r="Q956" t="s">
        <v>2926</v>
      </c>
      <c r="R956" s="5">
        <v>40.36</v>
      </c>
      <c r="S956" s="5">
        <v>16.34</v>
      </c>
    </row>
    <row r="957" spans="1:19" x14ac:dyDescent="0.25">
      <c r="A957" t="s">
        <v>2804</v>
      </c>
      <c r="B957" t="s">
        <v>1718</v>
      </c>
      <c r="C957" t="s">
        <v>2805</v>
      </c>
      <c r="D957" t="s">
        <v>24</v>
      </c>
      <c r="E957" t="s">
        <v>60</v>
      </c>
      <c r="F957">
        <v>19</v>
      </c>
      <c r="G957" t="s">
        <v>2806</v>
      </c>
      <c r="H957">
        <v>1</v>
      </c>
      <c r="I957" s="2">
        <v>13.85</v>
      </c>
      <c r="J957">
        <v>4.78</v>
      </c>
      <c r="K957" t="s">
        <v>19</v>
      </c>
      <c r="L957" s="3">
        <v>44931</v>
      </c>
      <c r="M957" t="s">
        <v>48</v>
      </c>
      <c r="N957" s="4">
        <v>19</v>
      </c>
      <c r="O957" t="str" cm="1">
        <f t="array" ref="O95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57" t="s">
        <v>2806</v>
      </c>
      <c r="Q957" t="s">
        <v>2927</v>
      </c>
      <c r="R957" s="5">
        <v>13.85</v>
      </c>
      <c r="S957" s="5">
        <v>4.78</v>
      </c>
    </row>
    <row r="958" spans="1:19" x14ac:dyDescent="0.25">
      <c r="A958" t="s">
        <v>2807</v>
      </c>
      <c r="B958" t="s">
        <v>548</v>
      </c>
      <c r="C958" t="s">
        <v>2808</v>
      </c>
      <c r="D958" t="s">
        <v>30</v>
      </c>
      <c r="E958" t="s">
        <v>48</v>
      </c>
      <c r="F958">
        <v>75</v>
      </c>
      <c r="G958" t="s">
        <v>2809</v>
      </c>
      <c r="H958">
        <v>2</v>
      </c>
      <c r="I958" t="s">
        <v>2810</v>
      </c>
      <c r="J958" t="s">
        <v>2811</v>
      </c>
      <c r="K958" t="s">
        <v>41</v>
      </c>
      <c r="L958" s="3">
        <v>45530</v>
      </c>
      <c r="M958" t="s">
        <v>48</v>
      </c>
      <c r="N958" s="4">
        <v>75</v>
      </c>
      <c r="O958" t="str" cm="1">
        <f t="array" ref="O95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58" t="s">
        <v>2809</v>
      </c>
      <c r="Q958" t="s">
        <v>2926</v>
      </c>
      <c r="R958" s="5">
        <v>20.73</v>
      </c>
      <c r="S958" s="5">
        <v>9.1300000000000008</v>
      </c>
    </row>
    <row r="959" spans="1:19" x14ac:dyDescent="0.25">
      <c r="A959" t="s">
        <v>2812</v>
      </c>
      <c r="B959" t="s">
        <v>2813</v>
      </c>
      <c r="C959" t="s">
        <v>2814</v>
      </c>
      <c r="D959" t="s">
        <v>51</v>
      </c>
      <c r="E959" t="s">
        <v>34</v>
      </c>
      <c r="F959">
        <v>19</v>
      </c>
      <c r="G959" t="s">
        <v>845</v>
      </c>
      <c r="H959">
        <v>1</v>
      </c>
      <c r="I959">
        <v>31.02</v>
      </c>
      <c r="J959">
        <v>14.16</v>
      </c>
      <c r="K959" t="s">
        <v>41</v>
      </c>
      <c r="L959" s="3">
        <v>45383</v>
      </c>
      <c r="M959" t="s">
        <v>34</v>
      </c>
      <c r="N959" s="4">
        <v>19</v>
      </c>
      <c r="O959" t="str" cm="1">
        <f t="array" ref="O95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59" t="s">
        <v>845</v>
      </c>
      <c r="Q959" t="s">
        <v>2927</v>
      </c>
      <c r="R959" s="5">
        <v>31.02</v>
      </c>
      <c r="S959" s="5">
        <v>14.16</v>
      </c>
    </row>
    <row r="960" spans="1:19" x14ac:dyDescent="0.25">
      <c r="A960" t="s">
        <v>2815</v>
      </c>
      <c r="B960" t="s">
        <v>1074</v>
      </c>
      <c r="C960" t="s">
        <v>2816</v>
      </c>
      <c r="D960" t="s">
        <v>24</v>
      </c>
      <c r="E960" t="s">
        <v>34</v>
      </c>
      <c r="F960">
        <v>25</v>
      </c>
      <c r="G960" t="s">
        <v>2817</v>
      </c>
      <c r="H960">
        <v>1</v>
      </c>
      <c r="I960" s="2">
        <v>23.27</v>
      </c>
      <c r="J960">
        <v>7.38</v>
      </c>
      <c r="K960" t="s">
        <v>19</v>
      </c>
      <c r="L960" s="3">
        <v>45386</v>
      </c>
      <c r="M960" t="s">
        <v>34</v>
      </c>
      <c r="N960" s="4">
        <v>25</v>
      </c>
      <c r="O960" t="str" cm="1">
        <f t="array" ref="O96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60" t="s">
        <v>2817</v>
      </c>
      <c r="Q960" t="s">
        <v>2929</v>
      </c>
      <c r="R960" s="5">
        <v>23.27</v>
      </c>
      <c r="S960" s="5">
        <v>7.38</v>
      </c>
    </row>
    <row r="961" spans="1:19" x14ac:dyDescent="0.25">
      <c r="A961" t="s">
        <v>2818</v>
      </c>
      <c r="B961" t="s">
        <v>763</v>
      </c>
      <c r="C961" t="s">
        <v>2819</v>
      </c>
      <c r="D961" t="s">
        <v>129</v>
      </c>
      <c r="E961" t="s">
        <v>65</v>
      </c>
      <c r="F961">
        <v>55</v>
      </c>
      <c r="G961" t="s">
        <v>1442</v>
      </c>
      <c r="H961">
        <v>2</v>
      </c>
      <c r="I961">
        <v>32.11</v>
      </c>
      <c r="J961">
        <v>11.36</v>
      </c>
      <c r="K961" t="s">
        <v>41</v>
      </c>
      <c r="L961" s="3">
        <v>45424</v>
      </c>
      <c r="M961" t="s">
        <v>48</v>
      </c>
      <c r="N961" s="4">
        <v>55</v>
      </c>
      <c r="O961" t="str" cm="1">
        <f t="array" ref="O96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61" t="s">
        <v>1442</v>
      </c>
      <c r="Q961" t="s">
        <v>2927</v>
      </c>
      <c r="R961" s="5">
        <v>32.11</v>
      </c>
      <c r="S961" s="5">
        <v>11.36</v>
      </c>
    </row>
    <row r="962" spans="1:19" x14ac:dyDescent="0.25">
      <c r="A962" t="s">
        <v>2820</v>
      </c>
      <c r="B962" t="s">
        <v>2821</v>
      </c>
      <c r="C962" t="s">
        <v>2822</v>
      </c>
      <c r="D962" t="s">
        <v>129</v>
      </c>
      <c r="E962" t="s">
        <v>65</v>
      </c>
      <c r="F962">
        <v>63</v>
      </c>
      <c r="G962" t="s">
        <v>299</v>
      </c>
      <c r="H962">
        <v>1</v>
      </c>
      <c r="I962">
        <v>8.4499999999999993</v>
      </c>
      <c r="J962" s="2">
        <v>4.8600000000000003</v>
      </c>
      <c r="K962" t="s">
        <v>41</v>
      </c>
      <c r="L962" s="3">
        <v>45361</v>
      </c>
      <c r="M962" t="s">
        <v>48</v>
      </c>
      <c r="N962" s="4">
        <v>63</v>
      </c>
      <c r="O962" t="str" cm="1">
        <f t="array" ref="O96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62" t="s">
        <v>299</v>
      </c>
      <c r="Q962" t="s">
        <v>2926</v>
      </c>
      <c r="R962" s="5">
        <v>8.4499999999999993</v>
      </c>
      <c r="S962" s="5">
        <v>4.8600000000000003</v>
      </c>
    </row>
    <row r="963" spans="1:19" x14ac:dyDescent="0.25">
      <c r="A963" t="s">
        <v>2823</v>
      </c>
      <c r="B963" t="s">
        <v>2824</v>
      </c>
      <c r="C963" t="s">
        <v>2434</v>
      </c>
      <c r="D963" t="s">
        <v>24</v>
      </c>
      <c r="E963" t="s">
        <v>38</v>
      </c>
      <c r="F963">
        <v>29</v>
      </c>
      <c r="G963" t="s">
        <v>2825</v>
      </c>
      <c r="H963">
        <v>1</v>
      </c>
      <c r="I963">
        <v>17.420000000000002</v>
      </c>
      <c r="J963">
        <v>5.31</v>
      </c>
      <c r="K963" t="s">
        <v>41</v>
      </c>
      <c r="L963" s="3">
        <v>45287</v>
      </c>
      <c r="M963" t="s">
        <v>34</v>
      </c>
      <c r="N963" s="4">
        <v>29</v>
      </c>
      <c r="O963" t="str" cm="1">
        <f t="array" ref="O96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63" t="s">
        <v>2825</v>
      </c>
      <c r="Q963" t="s">
        <v>2926</v>
      </c>
      <c r="R963" s="5">
        <v>17.420000000000002</v>
      </c>
      <c r="S963" s="5">
        <v>5.31</v>
      </c>
    </row>
    <row r="964" spans="1:19" x14ac:dyDescent="0.25">
      <c r="A964" t="s">
        <v>2826</v>
      </c>
      <c r="B964" t="s">
        <v>490</v>
      </c>
      <c r="C964" t="s">
        <v>388</v>
      </c>
      <c r="D964" t="s">
        <v>24</v>
      </c>
      <c r="E964" t="s">
        <v>31</v>
      </c>
      <c r="F964">
        <v>66</v>
      </c>
      <c r="G964" t="s">
        <v>1131</v>
      </c>
      <c r="H964">
        <v>2</v>
      </c>
      <c r="I964">
        <v>57.95</v>
      </c>
      <c r="J964">
        <v>22.15</v>
      </c>
      <c r="K964" t="s">
        <v>19</v>
      </c>
      <c r="L964" s="3">
        <v>45072</v>
      </c>
      <c r="M964" t="s">
        <v>34</v>
      </c>
      <c r="N964" s="4">
        <v>66</v>
      </c>
      <c r="O964" t="str" cm="1">
        <f t="array" ref="O96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64" t="s">
        <v>1131</v>
      </c>
      <c r="Q964" t="s">
        <v>2926</v>
      </c>
      <c r="R964" s="5">
        <v>57.95</v>
      </c>
      <c r="S964" s="5">
        <v>22.15</v>
      </c>
    </row>
    <row r="965" spans="1:19" x14ac:dyDescent="0.25">
      <c r="A965" t="s">
        <v>2827</v>
      </c>
      <c r="B965" t="s">
        <v>2828</v>
      </c>
      <c r="C965" s="1">
        <v>44935</v>
      </c>
      <c r="D965" t="s">
        <v>51</v>
      </c>
      <c r="E965" t="s">
        <v>85</v>
      </c>
      <c r="F965">
        <v>51</v>
      </c>
      <c r="G965" t="s">
        <v>2829</v>
      </c>
      <c r="H965">
        <v>1</v>
      </c>
      <c r="I965">
        <v>44.99</v>
      </c>
      <c r="J965">
        <v>12.33</v>
      </c>
      <c r="K965" t="s">
        <v>41</v>
      </c>
      <c r="L965" s="3">
        <v>44935</v>
      </c>
      <c r="M965" t="s">
        <v>34</v>
      </c>
      <c r="N965" s="4">
        <v>51</v>
      </c>
      <c r="O965" t="str" cm="1">
        <f t="array" ref="O96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65" t="s">
        <v>2829</v>
      </c>
      <c r="Q965" t="s">
        <v>2926</v>
      </c>
      <c r="R965" s="5">
        <v>44.99</v>
      </c>
      <c r="S965" s="5">
        <v>12.33</v>
      </c>
    </row>
    <row r="966" spans="1:19" x14ac:dyDescent="0.25">
      <c r="A966" t="s">
        <v>2830</v>
      </c>
      <c r="B966" t="s">
        <v>2264</v>
      </c>
      <c r="C966" s="3">
        <v>45365</v>
      </c>
      <c r="D966" t="s">
        <v>16</v>
      </c>
      <c r="E966" t="s">
        <v>65</v>
      </c>
      <c r="F966">
        <v>72</v>
      </c>
      <c r="G966" t="s">
        <v>2831</v>
      </c>
      <c r="H966">
        <v>2</v>
      </c>
      <c r="I966" s="2">
        <v>27.98</v>
      </c>
      <c r="J966">
        <v>11.86</v>
      </c>
      <c r="K966" t="s">
        <v>41</v>
      </c>
      <c r="L966" s="3">
        <v>45365</v>
      </c>
      <c r="M966" t="s">
        <v>48</v>
      </c>
      <c r="N966" s="4">
        <v>72</v>
      </c>
      <c r="O966" t="str" cm="1">
        <f t="array" ref="O96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66" t="s">
        <v>2831</v>
      </c>
      <c r="Q966" t="s">
        <v>2926</v>
      </c>
      <c r="R966" s="5">
        <v>27.98</v>
      </c>
      <c r="S966" s="5">
        <v>11.86</v>
      </c>
    </row>
    <row r="967" spans="1:19" x14ac:dyDescent="0.25">
      <c r="A967" t="s">
        <v>2832</v>
      </c>
      <c r="B967" t="s">
        <v>390</v>
      </c>
      <c r="C967" s="1">
        <v>45533</v>
      </c>
      <c r="D967" t="s">
        <v>30</v>
      </c>
      <c r="E967" t="s">
        <v>65</v>
      </c>
      <c r="F967">
        <v>23</v>
      </c>
      <c r="G967" t="s">
        <v>2112</v>
      </c>
      <c r="H967">
        <v>1</v>
      </c>
      <c r="I967" t="s">
        <v>2833</v>
      </c>
      <c r="J967">
        <v>6.04</v>
      </c>
      <c r="K967" t="s">
        <v>41</v>
      </c>
      <c r="L967" s="3">
        <v>45533</v>
      </c>
      <c r="M967" t="s">
        <v>48</v>
      </c>
      <c r="N967" s="4">
        <v>23</v>
      </c>
      <c r="O967" t="str" cm="1">
        <f t="array" ref="O96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67" t="s">
        <v>2112</v>
      </c>
      <c r="Q967" t="s">
        <v>2926</v>
      </c>
      <c r="R967" s="5">
        <v>20.76</v>
      </c>
      <c r="S967" s="5">
        <v>6.04</v>
      </c>
    </row>
    <row r="968" spans="1:19" x14ac:dyDescent="0.25">
      <c r="A968" t="s">
        <v>2834</v>
      </c>
      <c r="B968" t="s">
        <v>763</v>
      </c>
      <c r="C968" t="s">
        <v>2835</v>
      </c>
      <c r="D968" t="s">
        <v>129</v>
      </c>
      <c r="E968" t="s">
        <v>48</v>
      </c>
      <c r="F968">
        <v>37</v>
      </c>
      <c r="G968" t="s">
        <v>2836</v>
      </c>
      <c r="H968">
        <v>1</v>
      </c>
      <c r="I968">
        <v>7.85</v>
      </c>
      <c r="J968" s="2">
        <v>3.21</v>
      </c>
      <c r="K968" t="s">
        <v>19</v>
      </c>
      <c r="L968" s="3">
        <v>45373</v>
      </c>
      <c r="M968" t="s">
        <v>48</v>
      </c>
      <c r="N968" s="4">
        <v>37</v>
      </c>
      <c r="O968" t="str" cm="1">
        <f t="array" ref="O96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68" t="s">
        <v>1936</v>
      </c>
      <c r="Q968" t="s">
        <v>2927</v>
      </c>
      <c r="R968" s="5">
        <v>7.85</v>
      </c>
      <c r="S968" s="5">
        <v>3.21</v>
      </c>
    </row>
    <row r="969" spans="1:19" x14ac:dyDescent="0.25">
      <c r="A969" t="s">
        <v>2837</v>
      </c>
      <c r="B969" t="s">
        <v>1948</v>
      </c>
      <c r="C969" s="3">
        <v>45626</v>
      </c>
      <c r="D969" t="s">
        <v>129</v>
      </c>
      <c r="E969" t="s">
        <v>132</v>
      </c>
      <c r="F969">
        <v>34</v>
      </c>
      <c r="G969" t="s">
        <v>838</v>
      </c>
      <c r="H969">
        <v>2</v>
      </c>
      <c r="I969">
        <v>55</v>
      </c>
      <c r="J969" t="s">
        <v>2838</v>
      </c>
      <c r="K969" t="s">
        <v>19</v>
      </c>
      <c r="L969" s="3">
        <v>45626</v>
      </c>
      <c r="M969" t="s">
        <v>132</v>
      </c>
      <c r="N969" s="4">
        <v>34</v>
      </c>
      <c r="O969" t="str" cm="1">
        <f t="array" ref="O96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69" t="s">
        <v>838</v>
      </c>
      <c r="Q969" t="s">
        <v>2927</v>
      </c>
      <c r="R969" s="5">
        <v>55</v>
      </c>
      <c r="S969" s="5">
        <v>25.51</v>
      </c>
    </row>
    <row r="970" spans="1:19" x14ac:dyDescent="0.25">
      <c r="A970" t="s">
        <v>2839</v>
      </c>
      <c r="B970" t="s">
        <v>405</v>
      </c>
      <c r="C970" t="s">
        <v>2840</v>
      </c>
      <c r="D970" t="s">
        <v>30</v>
      </c>
      <c r="E970" t="s">
        <v>85</v>
      </c>
      <c r="F970">
        <v>68</v>
      </c>
      <c r="G970" t="s">
        <v>2841</v>
      </c>
      <c r="H970">
        <v>1</v>
      </c>
      <c r="I970">
        <v>15.2</v>
      </c>
      <c r="J970">
        <v>7.47</v>
      </c>
      <c r="K970" t="s">
        <v>41</v>
      </c>
      <c r="L970" s="3">
        <v>45181</v>
      </c>
      <c r="M970" t="s">
        <v>34</v>
      </c>
      <c r="N970" s="4">
        <v>68</v>
      </c>
      <c r="O970" t="str" cm="1">
        <f t="array" ref="O97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70" t="s">
        <v>2841</v>
      </c>
      <c r="Q970" t="s">
        <v>2929</v>
      </c>
      <c r="R970" s="5">
        <v>15.2</v>
      </c>
      <c r="S970" s="5">
        <v>7.47</v>
      </c>
    </row>
    <row r="971" spans="1:19" x14ac:dyDescent="0.25">
      <c r="A971" t="s">
        <v>2842</v>
      </c>
      <c r="B971" t="s">
        <v>685</v>
      </c>
      <c r="C971" s="1">
        <v>45106</v>
      </c>
      <c r="D971" t="s">
        <v>16</v>
      </c>
      <c r="E971" t="s">
        <v>45</v>
      </c>
      <c r="F971">
        <v>53</v>
      </c>
      <c r="G971" t="s">
        <v>2843</v>
      </c>
      <c r="H971">
        <v>1</v>
      </c>
      <c r="I971" s="2">
        <v>7.3</v>
      </c>
      <c r="J971">
        <v>3.34</v>
      </c>
      <c r="K971" t="s">
        <v>41</v>
      </c>
      <c r="L971" s="3">
        <v>45106</v>
      </c>
      <c r="M971" t="s">
        <v>48</v>
      </c>
      <c r="N971" s="4">
        <v>53</v>
      </c>
      <c r="O971" t="str" cm="1">
        <f t="array" ref="O97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71" t="s">
        <v>2843</v>
      </c>
      <c r="Q971" t="s">
        <v>2929</v>
      </c>
      <c r="R971" s="5">
        <v>7.3</v>
      </c>
      <c r="S971" s="5">
        <v>3.34</v>
      </c>
    </row>
    <row r="972" spans="1:19" x14ac:dyDescent="0.25">
      <c r="A972" t="s">
        <v>2591</v>
      </c>
      <c r="B972" t="s">
        <v>2592</v>
      </c>
      <c r="C972" s="1">
        <v>45139</v>
      </c>
      <c r="D972" t="s">
        <v>51</v>
      </c>
      <c r="E972" t="s">
        <v>70</v>
      </c>
      <c r="F972">
        <v>24</v>
      </c>
      <c r="G972" t="s">
        <v>2593</v>
      </c>
      <c r="H972">
        <v>1</v>
      </c>
      <c r="I972">
        <v>31.53</v>
      </c>
      <c r="J972">
        <v>14.81</v>
      </c>
      <c r="K972" t="s">
        <v>41</v>
      </c>
      <c r="L972" s="3">
        <v>45139</v>
      </c>
      <c r="M972" t="s">
        <v>20</v>
      </c>
      <c r="N972" s="4">
        <v>24</v>
      </c>
      <c r="O972" t="str" cm="1">
        <f t="array" ref="O97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72" t="s">
        <v>2977</v>
      </c>
      <c r="Q972" t="s">
        <v>2932</v>
      </c>
      <c r="R972" s="5">
        <v>31.53</v>
      </c>
      <c r="S972" s="5">
        <v>14.81</v>
      </c>
    </row>
    <row r="973" spans="1:19" x14ac:dyDescent="0.25">
      <c r="A973" t="s">
        <v>2844</v>
      </c>
      <c r="B973" t="s">
        <v>783</v>
      </c>
      <c r="C973" s="3">
        <v>45431</v>
      </c>
      <c r="D973" t="s">
        <v>30</v>
      </c>
      <c r="E973" t="s">
        <v>65</v>
      </c>
      <c r="F973">
        <v>16</v>
      </c>
      <c r="G973" t="s">
        <v>1111</v>
      </c>
      <c r="H973">
        <v>4</v>
      </c>
      <c r="I973" t="s">
        <v>2845</v>
      </c>
      <c r="J973" s="2">
        <v>40.08</v>
      </c>
      <c r="K973" t="s">
        <v>41</v>
      </c>
      <c r="L973" s="3">
        <v>45431</v>
      </c>
      <c r="M973" t="s">
        <v>48</v>
      </c>
      <c r="N973" s="4">
        <v>16</v>
      </c>
      <c r="O973" t="str" cm="1">
        <f t="array" ref="O97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973" t="s">
        <v>1111</v>
      </c>
      <c r="Q973" t="s">
        <v>2926</v>
      </c>
      <c r="R973" s="5">
        <v>121.27</v>
      </c>
      <c r="S973" s="5">
        <v>40.08</v>
      </c>
    </row>
    <row r="974" spans="1:19" x14ac:dyDescent="0.25">
      <c r="A974" t="s">
        <v>2846</v>
      </c>
      <c r="B974" t="s">
        <v>2847</v>
      </c>
      <c r="C974" s="1">
        <v>45203</v>
      </c>
      <c r="D974" t="s">
        <v>16</v>
      </c>
      <c r="E974" t="s">
        <v>60</v>
      </c>
      <c r="F974">
        <v>43</v>
      </c>
      <c r="G974" t="s">
        <v>2848</v>
      </c>
      <c r="H974">
        <v>1</v>
      </c>
      <c r="I974">
        <v>20.72</v>
      </c>
      <c r="J974">
        <v>9.44</v>
      </c>
      <c r="K974" t="s">
        <v>41</v>
      </c>
      <c r="L974" s="3">
        <v>45203</v>
      </c>
      <c r="M974" t="s">
        <v>48</v>
      </c>
      <c r="N974" s="4">
        <v>43</v>
      </c>
      <c r="O974" t="str" cm="1">
        <f t="array" ref="O97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74" t="s">
        <v>2848</v>
      </c>
      <c r="Q974" t="s">
        <v>2927</v>
      </c>
      <c r="R974" s="5">
        <v>20.72</v>
      </c>
      <c r="S974" s="5">
        <v>9.44</v>
      </c>
    </row>
    <row r="975" spans="1:19" x14ac:dyDescent="0.25">
      <c r="A975" t="s">
        <v>2849</v>
      </c>
      <c r="B975" t="s">
        <v>2850</v>
      </c>
      <c r="C975" t="s">
        <v>1676</v>
      </c>
      <c r="D975" t="s">
        <v>16</v>
      </c>
      <c r="E975" t="s">
        <v>65</v>
      </c>
      <c r="F975">
        <v>47</v>
      </c>
      <c r="G975" t="s">
        <v>17</v>
      </c>
      <c r="H975">
        <v>2</v>
      </c>
      <c r="I975">
        <v>41.34</v>
      </c>
      <c r="J975">
        <v>21.58</v>
      </c>
      <c r="K975" t="s">
        <v>19</v>
      </c>
      <c r="L975" s="3">
        <v>45225</v>
      </c>
      <c r="M975" t="s">
        <v>48</v>
      </c>
      <c r="N975" s="4">
        <v>47</v>
      </c>
      <c r="O975" t="str" cm="1">
        <f t="array" ref="O97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75" t="s">
        <v>17</v>
      </c>
      <c r="Q975" t="s">
        <v>2925</v>
      </c>
      <c r="R975" s="5">
        <v>41.34</v>
      </c>
      <c r="S975" s="5">
        <v>21.58</v>
      </c>
    </row>
    <row r="976" spans="1:19" x14ac:dyDescent="0.25">
      <c r="A976" t="s">
        <v>2851</v>
      </c>
      <c r="B976" t="s">
        <v>2367</v>
      </c>
      <c r="C976" s="1">
        <v>44951</v>
      </c>
      <c r="D976" t="s">
        <v>51</v>
      </c>
      <c r="E976" t="s">
        <v>31</v>
      </c>
      <c r="F976">
        <v>37</v>
      </c>
      <c r="G976" t="s">
        <v>178</v>
      </c>
      <c r="H976">
        <v>1</v>
      </c>
      <c r="I976" t="s">
        <v>2852</v>
      </c>
      <c r="J976" s="2">
        <v>10.77</v>
      </c>
      <c r="K976" t="s">
        <v>41</v>
      </c>
      <c r="L976" s="3">
        <v>44951</v>
      </c>
      <c r="M976" t="s">
        <v>34</v>
      </c>
      <c r="N976" s="4">
        <v>37</v>
      </c>
      <c r="O976" t="str" cm="1">
        <f t="array" ref="O97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76" t="s">
        <v>178</v>
      </c>
      <c r="Q976" t="s">
        <v>2926</v>
      </c>
      <c r="R976" s="5">
        <v>39.380000000000003</v>
      </c>
      <c r="S976" s="5">
        <v>10.77</v>
      </c>
    </row>
    <row r="977" spans="1:19" x14ac:dyDescent="0.25">
      <c r="A977" t="s">
        <v>2853</v>
      </c>
      <c r="B977" t="s">
        <v>1703</v>
      </c>
      <c r="C977" s="1">
        <v>44972</v>
      </c>
      <c r="D977" t="s">
        <v>30</v>
      </c>
      <c r="E977" t="s">
        <v>25</v>
      </c>
      <c r="F977" t="s">
        <v>1063</v>
      </c>
      <c r="G977" t="s">
        <v>2854</v>
      </c>
      <c r="H977">
        <v>1</v>
      </c>
      <c r="I977">
        <v>22.58</v>
      </c>
      <c r="J977" s="2">
        <v>9.6</v>
      </c>
      <c r="K977" t="s">
        <v>41</v>
      </c>
      <c r="L977" s="3">
        <v>44972</v>
      </c>
      <c r="M977" t="s">
        <v>20</v>
      </c>
      <c r="N977" s="4">
        <v>18</v>
      </c>
      <c r="O977" t="str" cm="1">
        <f t="array" ref="O97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77" t="s">
        <v>2854</v>
      </c>
      <c r="Q977" t="s">
        <v>2926</v>
      </c>
      <c r="R977" s="5">
        <v>22.58</v>
      </c>
      <c r="S977" s="5">
        <v>9.6</v>
      </c>
    </row>
    <row r="978" spans="1:19" x14ac:dyDescent="0.25">
      <c r="A978" t="s">
        <v>2855</v>
      </c>
      <c r="B978" t="s">
        <v>453</v>
      </c>
      <c r="C978" t="s">
        <v>2856</v>
      </c>
      <c r="D978" t="s">
        <v>129</v>
      </c>
      <c r="E978" t="s">
        <v>85</v>
      </c>
      <c r="F978">
        <v>55</v>
      </c>
      <c r="G978" t="s">
        <v>2857</v>
      </c>
      <c r="H978">
        <v>1</v>
      </c>
      <c r="I978">
        <v>4.67</v>
      </c>
      <c r="J978" t="s">
        <v>2858</v>
      </c>
      <c r="K978" t="s">
        <v>19</v>
      </c>
      <c r="L978" s="3">
        <v>44937</v>
      </c>
      <c r="M978" t="s">
        <v>34</v>
      </c>
      <c r="N978" s="4">
        <v>55</v>
      </c>
      <c r="O978" t="str" cm="1">
        <f t="array" ref="O97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78" t="s">
        <v>2857</v>
      </c>
      <c r="Q978" t="s">
        <v>2927</v>
      </c>
      <c r="R978" s="5">
        <v>4.67</v>
      </c>
      <c r="S978" s="5">
        <v>1.1299999999999999</v>
      </c>
    </row>
    <row r="979" spans="1:19" x14ac:dyDescent="0.25">
      <c r="A979" t="s">
        <v>2859</v>
      </c>
      <c r="B979" t="s">
        <v>1556</v>
      </c>
      <c r="C979" t="s">
        <v>1043</v>
      </c>
      <c r="D979" t="s">
        <v>24</v>
      </c>
      <c r="E979" t="s">
        <v>65</v>
      </c>
      <c r="F979">
        <v>28</v>
      </c>
      <c r="G979" t="s">
        <v>2374</v>
      </c>
      <c r="H979">
        <v>2</v>
      </c>
      <c r="I979" t="s">
        <v>2860</v>
      </c>
      <c r="J979">
        <v>12.02</v>
      </c>
      <c r="K979" t="s">
        <v>19</v>
      </c>
      <c r="L979" s="3">
        <v>45122</v>
      </c>
      <c r="M979" t="s">
        <v>48</v>
      </c>
      <c r="N979" s="4">
        <v>28</v>
      </c>
      <c r="O979" t="str" cm="1">
        <f t="array" ref="O97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79" t="s">
        <v>2374</v>
      </c>
      <c r="Q979" t="s">
        <v>2925</v>
      </c>
      <c r="R979" s="5">
        <v>23.42</v>
      </c>
      <c r="S979" s="5">
        <v>12.02</v>
      </c>
    </row>
    <row r="980" spans="1:19" x14ac:dyDescent="0.25">
      <c r="A980" t="s">
        <v>2861</v>
      </c>
      <c r="B980" t="s">
        <v>725</v>
      </c>
      <c r="C980" s="3">
        <v>45061</v>
      </c>
      <c r="D980" t="s">
        <v>51</v>
      </c>
      <c r="E980" t="s">
        <v>34</v>
      </c>
      <c r="F980">
        <v>43</v>
      </c>
      <c r="G980" t="s">
        <v>2862</v>
      </c>
      <c r="H980">
        <v>1</v>
      </c>
      <c r="I980">
        <v>24.43</v>
      </c>
      <c r="J980">
        <v>7.9</v>
      </c>
      <c r="K980" t="s">
        <v>19</v>
      </c>
      <c r="L980" s="3">
        <v>45061</v>
      </c>
      <c r="M980" t="s">
        <v>34</v>
      </c>
      <c r="N980" s="4">
        <v>43</v>
      </c>
      <c r="O980" t="str" cm="1">
        <f t="array" ref="O98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80" t="s">
        <v>2862</v>
      </c>
      <c r="Q980" t="s">
        <v>2926</v>
      </c>
      <c r="R980" s="5">
        <v>24.43</v>
      </c>
      <c r="S980" s="5">
        <v>7.9</v>
      </c>
    </row>
    <row r="981" spans="1:19" x14ac:dyDescent="0.25">
      <c r="A981" t="s">
        <v>2863</v>
      </c>
      <c r="B981" t="s">
        <v>1282</v>
      </c>
      <c r="C981" s="1">
        <v>45284</v>
      </c>
      <c r="D981" t="s">
        <v>51</v>
      </c>
      <c r="E981" t="s">
        <v>45</v>
      </c>
      <c r="F981">
        <v>55</v>
      </c>
      <c r="G981" t="s">
        <v>531</v>
      </c>
      <c r="H981">
        <v>2</v>
      </c>
      <c r="I981">
        <v>73.16</v>
      </c>
      <c r="J981" t="s">
        <v>205</v>
      </c>
      <c r="K981" t="s">
        <v>19</v>
      </c>
      <c r="L981" s="3">
        <v>45284</v>
      </c>
      <c r="M981" t="s">
        <v>48</v>
      </c>
      <c r="N981" s="4">
        <v>55</v>
      </c>
      <c r="O981" t="str" cm="1">
        <f t="array" ref="O98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81" t="s">
        <v>531</v>
      </c>
      <c r="Q981" t="s">
        <v>2926</v>
      </c>
      <c r="R981" s="5">
        <v>73.16</v>
      </c>
      <c r="S981" s="5"/>
    </row>
    <row r="982" spans="1:19" x14ac:dyDescent="0.25">
      <c r="A982" t="s">
        <v>2864</v>
      </c>
      <c r="B982" t="s">
        <v>1091</v>
      </c>
      <c r="C982" s="1">
        <v>45350</v>
      </c>
      <c r="D982" t="s">
        <v>24</v>
      </c>
      <c r="E982" t="s">
        <v>45</v>
      </c>
      <c r="F982">
        <v>74</v>
      </c>
      <c r="G982" t="s">
        <v>2865</v>
      </c>
      <c r="H982">
        <v>1</v>
      </c>
      <c r="I982">
        <v>12.87</v>
      </c>
      <c r="J982" t="s">
        <v>2866</v>
      </c>
      <c r="K982" t="s">
        <v>41</v>
      </c>
      <c r="L982" s="3">
        <v>45350</v>
      </c>
      <c r="M982" t="s">
        <v>48</v>
      </c>
      <c r="N982" s="4">
        <v>74</v>
      </c>
      <c r="O982" t="str" cm="1">
        <f t="array" ref="O98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82" t="s">
        <v>2654</v>
      </c>
      <c r="Q982" t="s">
        <v>2927</v>
      </c>
      <c r="R982" s="5">
        <v>12.87</v>
      </c>
      <c r="S982" s="5">
        <v>8.4499999999999993</v>
      </c>
    </row>
    <row r="983" spans="1:19" x14ac:dyDescent="0.25">
      <c r="A983" t="s">
        <v>2867</v>
      </c>
      <c r="B983" t="s">
        <v>2219</v>
      </c>
      <c r="C983" s="3">
        <v>45402</v>
      </c>
      <c r="D983" t="s">
        <v>129</v>
      </c>
      <c r="E983" t="s">
        <v>34</v>
      </c>
      <c r="F983">
        <v>33</v>
      </c>
      <c r="G983" t="s">
        <v>845</v>
      </c>
      <c r="H983">
        <v>2</v>
      </c>
      <c r="I983" t="s">
        <v>2868</v>
      </c>
      <c r="J983" t="s">
        <v>2869</v>
      </c>
      <c r="K983" t="s">
        <v>41</v>
      </c>
      <c r="L983" s="3">
        <v>45402</v>
      </c>
      <c r="M983" t="s">
        <v>34</v>
      </c>
      <c r="N983" s="4">
        <v>33</v>
      </c>
      <c r="O983" t="str" cm="1">
        <f t="array" ref="O98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83" t="s">
        <v>845</v>
      </c>
      <c r="Q983" t="s">
        <v>2927</v>
      </c>
      <c r="R983" s="5">
        <v>30.24</v>
      </c>
      <c r="S983" s="5">
        <v>11.57</v>
      </c>
    </row>
    <row r="984" spans="1:19" x14ac:dyDescent="0.25">
      <c r="A984" t="s">
        <v>2870</v>
      </c>
      <c r="B984" t="s">
        <v>106</v>
      </c>
      <c r="C984" t="s">
        <v>2871</v>
      </c>
      <c r="D984" t="s">
        <v>24</v>
      </c>
      <c r="E984" t="s">
        <v>45</v>
      </c>
      <c r="F984">
        <v>62</v>
      </c>
      <c r="G984" t="s">
        <v>2532</v>
      </c>
      <c r="H984">
        <v>1</v>
      </c>
      <c r="I984" t="s">
        <v>2872</v>
      </c>
      <c r="J984">
        <v>8.9700000000000006</v>
      </c>
      <c r="K984" t="s">
        <v>41</v>
      </c>
      <c r="L984" s="3">
        <v>45112</v>
      </c>
      <c r="M984" t="s">
        <v>48</v>
      </c>
      <c r="N984" s="4">
        <v>62</v>
      </c>
      <c r="O984" t="str" cm="1">
        <f t="array" ref="O98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84" t="s">
        <v>2532</v>
      </c>
      <c r="Q984" t="s">
        <v>2927</v>
      </c>
      <c r="R984" s="5">
        <v>14.65</v>
      </c>
      <c r="S984" s="5">
        <v>8.9700000000000006</v>
      </c>
    </row>
    <row r="985" spans="1:19" x14ac:dyDescent="0.25">
      <c r="A985" t="s">
        <v>2873</v>
      </c>
      <c r="B985" t="s">
        <v>64</v>
      </c>
      <c r="C985" t="s">
        <v>2874</v>
      </c>
      <c r="D985" t="s">
        <v>129</v>
      </c>
      <c r="E985" t="s">
        <v>38</v>
      </c>
      <c r="F985">
        <v>44</v>
      </c>
      <c r="G985" t="s">
        <v>2875</v>
      </c>
      <c r="H985">
        <v>1</v>
      </c>
      <c r="I985">
        <v>14.3</v>
      </c>
      <c r="J985">
        <v>7.14</v>
      </c>
      <c r="K985" t="s">
        <v>41</v>
      </c>
      <c r="L985" s="3">
        <v>45312</v>
      </c>
      <c r="M985" t="s">
        <v>34</v>
      </c>
      <c r="N985" s="4">
        <v>44</v>
      </c>
      <c r="O985" t="str" cm="1">
        <f t="array" ref="O98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85" t="s">
        <v>2875</v>
      </c>
      <c r="Q985" t="s">
        <v>2926</v>
      </c>
      <c r="R985" s="5">
        <v>14.3</v>
      </c>
      <c r="S985" s="5">
        <v>7.14</v>
      </c>
    </row>
    <row r="986" spans="1:19" x14ac:dyDescent="0.25">
      <c r="A986" t="s">
        <v>2876</v>
      </c>
      <c r="B986" t="s">
        <v>154</v>
      </c>
      <c r="C986" t="s">
        <v>890</v>
      </c>
      <c r="D986" t="s">
        <v>24</v>
      </c>
      <c r="E986" t="s">
        <v>34</v>
      </c>
      <c r="F986">
        <v>33</v>
      </c>
      <c r="G986" t="s">
        <v>852</v>
      </c>
      <c r="H986">
        <v>-1</v>
      </c>
      <c r="I986">
        <v>-5.42</v>
      </c>
      <c r="J986">
        <v>-0.77</v>
      </c>
      <c r="K986" t="s">
        <v>41</v>
      </c>
      <c r="L986" s="3">
        <v>45266</v>
      </c>
      <c r="M986" t="s">
        <v>34</v>
      </c>
      <c r="N986" s="4">
        <v>33</v>
      </c>
      <c r="O986" t="str" cm="1">
        <f t="array" ref="O98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Adult (25-34)</v>
      </c>
      <c r="P986" t="s">
        <v>852</v>
      </c>
      <c r="Q986" t="s">
        <v>2926</v>
      </c>
      <c r="R986" s="5">
        <v>-5.42</v>
      </c>
      <c r="S986" s="5">
        <v>-0.77</v>
      </c>
    </row>
    <row r="987" spans="1:19" x14ac:dyDescent="0.25">
      <c r="A987" t="s">
        <v>2877</v>
      </c>
      <c r="B987" t="s">
        <v>469</v>
      </c>
      <c r="C987" s="1">
        <v>45385</v>
      </c>
      <c r="D987" t="s">
        <v>51</v>
      </c>
      <c r="E987" t="s">
        <v>48</v>
      </c>
      <c r="F987">
        <v>57</v>
      </c>
      <c r="G987" t="s">
        <v>922</v>
      </c>
      <c r="H987">
        <v>3</v>
      </c>
      <c r="I987" s="2">
        <v>134.5</v>
      </c>
      <c r="J987" t="s">
        <v>2878</v>
      </c>
      <c r="K987" t="s">
        <v>19</v>
      </c>
      <c r="L987" s="3">
        <v>45385</v>
      </c>
      <c r="M987" t="s">
        <v>48</v>
      </c>
      <c r="N987" s="4">
        <v>57</v>
      </c>
      <c r="O987" t="str" cm="1">
        <f t="array" ref="O98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87" t="s">
        <v>922</v>
      </c>
      <c r="Q987" t="s">
        <v>2926</v>
      </c>
      <c r="R987" s="5">
        <v>134.5</v>
      </c>
      <c r="S987" s="5">
        <v>44.45</v>
      </c>
    </row>
    <row r="988" spans="1:19" x14ac:dyDescent="0.25">
      <c r="A988" t="s">
        <v>2879</v>
      </c>
      <c r="B988" t="s">
        <v>1252</v>
      </c>
      <c r="C988" t="s">
        <v>2880</v>
      </c>
      <c r="D988" t="s">
        <v>24</v>
      </c>
      <c r="E988" t="s">
        <v>60</v>
      </c>
      <c r="F988">
        <v>18</v>
      </c>
      <c r="G988" t="s">
        <v>2881</v>
      </c>
      <c r="H988">
        <v>1</v>
      </c>
      <c r="I988" t="s">
        <v>2882</v>
      </c>
      <c r="J988">
        <v>3.07</v>
      </c>
      <c r="K988" t="s">
        <v>19</v>
      </c>
      <c r="L988" s="3">
        <v>45433</v>
      </c>
      <c r="M988" t="s">
        <v>48</v>
      </c>
      <c r="N988" s="4">
        <v>18</v>
      </c>
      <c r="O988" t="str" cm="1">
        <f t="array" ref="O98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Young Adult (18-24)</v>
      </c>
      <c r="P988" t="s">
        <v>2881</v>
      </c>
      <c r="Q988" t="s">
        <v>2926</v>
      </c>
      <c r="R988" s="5">
        <v>5.6</v>
      </c>
      <c r="S988" s="5">
        <v>3.07</v>
      </c>
    </row>
    <row r="989" spans="1:19" x14ac:dyDescent="0.25">
      <c r="A989" t="s">
        <v>2883</v>
      </c>
      <c r="B989" t="s">
        <v>434</v>
      </c>
      <c r="C989" t="s">
        <v>2884</v>
      </c>
      <c r="D989" t="s">
        <v>30</v>
      </c>
      <c r="F989">
        <v>56</v>
      </c>
      <c r="G989" t="s">
        <v>2885</v>
      </c>
      <c r="H989">
        <v>1</v>
      </c>
      <c r="I989">
        <v>12.19</v>
      </c>
      <c r="J989" s="2">
        <v>4.91</v>
      </c>
      <c r="K989" t="s">
        <v>19</v>
      </c>
      <c r="L989" s="3">
        <v>45441</v>
      </c>
      <c r="M989" t="s">
        <v>20</v>
      </c>
      <c r="N989" s="4">
        <v>56</v>
      </c>
      <c r="O989" t="str" cm="1">
        <f t="array" ref="O98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89" t="s">
        <v>2885</v>
      </c>
      <c r="Q989" t="s">
        <v>2929</v>
      </c>
      <c r="R989" s="5">
        <v>12.19</v>
      </c>
      <c r="S989" s="5">
        <v>4.91</v>
      </c>
    </row>
    <row r="990" spans="1:19" x14ac:dyDescent="0.25">
      <c r="A990" t="s">
        <v>2886</v>
      </c>
      <c r="B990" t="s">
        <v>551</v>
      </c>
      <c r="C990" t="s">
        <v>2887</v>
      </c>
      <c r="D990" t="s">
        <v>129</v>
      </c>
      <c r="E990" t="s">
        <v>38</v>
      </c>
      <c r="F990">
        <v>50</v>
      </c>
      <c r="G990" t="s">
        <v>2888</v>
      </c>
      <c r="H990">
        <v>2</v>
      </c>
      <c r="I990">
        <v>24.06</v>
      </c>
      <c r="J990" s="2">
        <v>10.32</v>
      </c>
      <c r="K990" t="s">
        <v>41</v>
      </c>
      <c r="L990" s="3">
        <v>45652</v>
      </c>
      <c r="M990" t="s">
        <v>34</v>
      </c>
      <c r="N990" s="4">
        <v>50</v>
      </c>
      <c r="O990" t="str" cm="1">
        <f t="array" ref="O99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90" t="s">
        <v>2982</v>
      </c>
      <c r="Q990" t="s">
        <v>2927</v>
      </c>
      <c r="R990" s="5">
        <v>24.06</v>
      </c>
      <c r="S990" s="5">
        <v>10.32</v>
      </c>
    </row>
    <row r="991" spans="1:19" x14ac:dyDescent="0.25">
      <c r="A991" t="s">
        <v>2889</v>
      </c>
      <c r="B991" t="s">
        <v>2890</v>
      </c>
      <c r="C991" s="3">
        <v>45509</v>
      </c>
      <c r="D991" t="s">
        <v>51</v>
      </c>
      <c r="E991" t="s">
        <v>38</v>
      </c>
      <c r="F991">
        <v>66</v>
      </c>
      <c r="G991" t="s">
        <v>2891</v>
      </c>
      <c r="H991">
        <v>2</v>
      </c>
      <c r="I991" s="2">
        <v>20.03</v>
      </c>
      <c r="J991">
        <v>9.2799999999999994</v>
      </c>
      <c r="K991" t="s">
        <v>19</v>
      </c>
      <c r="L991" s="3">
        <v>45509</v>
      </c>
      <c r="M991" t="s">
        <v>34</v>
      </c>
      <c r="N991" s="4">
        <v>66</v>
      </c>
      <c r="O991" t="str" cm="1">
        <f t="array" ref="O99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91" t="s">
        <v>2891</v>
      </c>
      <c r="Q991" t="s">
        <v>2925</v>
      </c>
      <c r="R991" s="5">
        <v>20.03</v>
      </c>
      <c r="S991" s="5">
        <v>9.2799999999999994</v>
      </c>
    </row>
    <row r="992" spans="1:19" x14ac:dyDescent="0.25">
      <c r="A992" t="s">
        <v>2892</v>
      </c>
      <c r="B992" t="s">
        <v>2893</v>
      </c>
      <c r="C992" t="s">
        <v>2894</v>
      </c>
      <c r="D992" t="s">
        <v>129</v>
      </c>
      <c r="E992" t="s">
        <v>45</v>
      </c>
      <c r="F992">
        <v>56</v>
      </c>
      <c r="G992" t="s">
        <v>2895</v>
      </c>
      <c r="H992">
        <v>3</v>
      </c>
      <c r="I992" t="s">
        <v>2896</v>
      </c>
      <c r="J992" t="s">
        <v>2897</v>
      </c>
      <c r="K992" t="s">
        <v>19</v>
      </c>
      <c r="L992" s="3">
        <v>45122</v>
      </c>
      <c r="M992" t="s">
        <v>48</v>
      </c>
      <c r="N992" s="4">
        <v>56</v>
      </c>
      <c r="O992" t="str" cm="1">
        <f t="array" ref="O992">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92" t="s">
        <v>2895</v>
      </c>
      <c r="Q992" t="s">
        <v>2929</v>
      </c>
      <c r="R992" s="5">
        <v>13.05</v>
      </c>
      <c r="S992" s="5">
        <v>6.26</v>
      </c>
    </row>
    <row r="993" spans="1:19" x14ac:dyDescent="0.25">
      <c r="A993" t="s">
        <v>2898</v>
      </c>
      <c r="B993" t="s">
        <v>1873</v>
      </c>
      <c r="C993" t="s">
        <v>2038</v>
      </c>
      <c r="D993" t="s">
        <v>51</v>
      </c>
      <c r="E993" t="s">
        <v>60</v>
      </c>
      <c r="F993">
        <v>15</v>
      </c>
      <c r="G993" t="s">
        <v>1728</v>
      </c>
      <c r="H993">
        <v>3</v>
      </c>
      <c r="I993">
        <v>55.52</v>
      </c>
      <c r="J993" t="s">
        <v>2899</v>
      </c>
      <c r="K993" t="s">
        <v>41</v>
      </c>
      <c r="L993" s="3">
        <v>44943</v>
      </c>
      <c r="M993" t="s">
        <v>48</v>
      </c>
      <c r="N993" s="4">
        <v>15</v>
      </c>
      <c r="O993" t="str" cm="1">
        <f t="array" ref="O993">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993" t="s">
        <v>1728</v>
      </c>
      <c r="Q993" t="s">
        <v>2927</v>
      </c>
      <c r="R993" s="5">
        <v>55.52</v>
      </c>
      <c r="S993" s="5">
        <v>16.88</v>
      </c>
    </row>
    <row r="994" spans="1:19" x14ac:dyDescent="0.25">
      <c r="A994" t="s">
        <v>2900</v>
      </c>
      <c r="B994" t="s">
        <v>2256</v>
      </c>
      <c r="C994" t="s">
        <v>2901</v>
      </c>
      <c r="D994" t="s">
        <v>51</v>
      </c>
      <c r="E994" t="s">
        <v>60</v>
      </c>
      <c r="F994">
        <v>13</v>
      </c>
      <c r="G994" t="s">
        <v>2902</v>
      </c>
      <c r="H994">
        <v>4</v>
      </c>
      <c r="I994">
        <v>178.56</v>
      </c>
      <c r="J994">
        <v>91.53</v>
      </c>
      <c r="K994" t="s">
        <v>41</v>
      </c>
      <c r="L994" s="3">
        <v>45442</v>
      </c>
      <c r="M994" t="s">
        <v>48</v>
      </c>
      <c r="N994" s="4">
        <v>13</v>
      </c>
      <c r="O994" t="str" cm="1">
        <f t="array" ref="O994">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994" t="s">
        <v>2902</v>
      </c>
      <c r="Q994" t="s">
        <v>2929</v>
      </c>
      <c r="R994" s="5">
        <v>178.56</v>
      </c>
      <c r="S994" s="5">
        <v>91.53</v>
      </c>
    </row>
    <row r="995" spans="1:19" x14ac:dyDescent="0.25">
      <c r="A995" t="s">
        <v>2903</v>
      </c>
      <c r="B995" t="s">
        <v>2904</v>
      </c>
      <c r="C995" t="s">
        <v>2905</v>
      </c>
      <c r="D995" t="s">
        <v>129</v>
      </c>
      <c r="E995" t="s">
        <v>45</v>
      </c>
      <c r="F995">
        <v>69</v>
      </c>
      <c r="G995" t="s">
        <v>2161</v>
      </c>
      <c r="H995">
        <v>2</v>
      </c>
      <c r="I995" s="2">
        <v>19.510000000000002</v>
      </c>
      <c r="J995">
        <v>8.89</v>
      </c>
      <c r="K995" t="s">
        <v>41</v>
      </c>
      <c r="L995" s="3">
        <v>44974</v>
      </c>
      <c r="M995" t="s">
        <v>48</v>
      </c>
      <c r="N995" s="4">
        <v>69</v>
      </c>
      <c r="O995" t="str" cm="1">
        <f t="array" ref="O995">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95" t="s">
        <v>2161</v>
      </c>
      <c r="Q995" t="s">
        <v>2925</v>
      </c>
      <c r="R995" s="5">
        <v>19.510000000000002</v>
      </c>
      <c r="S995" s="5">
        <v>8.89</v>
      </c>
    </row>
    <row r="996" spans="1:19" x14ac:dyDescent="0.25">
      <c r="A996" t="s">
        <v>2906</v>
      </c>
      <c r="B996" t="s">
        <v>2907</v>
      </c>
      <c r="C996" t="s">
        <v>2908</v>
      </c>
      <c r="D996" t="s">
        <v>51</v>
      </c>
      <c r="E996" t="s">
        <v>38</v>
      </c>
      <c r="F996">
        <v>43</v>
      </c>
      <c r="G996" t="s">
        <v>1768</v>
      </c>
      <c r="H996">
        <v>1</v>
      </c>
      <c r="I996" s="2">
        <v>17.34</v>
      </c>
      <c r="J996" t="s">
        <v>2909</v>
      </c>
      <c r="K996" t="s">
        <v>19</v>
      </c>
      <c r="L996" s="3">
        <v>45388</v>
      </c>
      <c r="M996" t="s">
        <v>34</v>
      </c>
      <c r="N996" s="4">
        <v>43</v>
      </c>
      <c r="O996" t="str" cm="1">
        <f t="array" ref="O996">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96" t="s">
        <v>1768</v>
      </c>
      <c r="Q996" t="s">
        <v>2926</v>
      </c>
      <c r="R996" s="5">
        <v>17.34</v>
      </c>
      <c r="S996" s="5">
        <v>8.26</v>
      </c>
    </row>
    <row r="997" spans="1:19" x14ac:dyDescent="0.25">
      <c r="A997" t="s">
        <v>2910</v>
      </c>
      <c r="B997" t="s">
        <v>2315</v>
      </c>
      <c r="C997" s="1">
        <v>45467</v>
      </c>
      <c r="D997" t="s">
        <v>24</v>
      </c>
      <c r="E997" t="s">
        <v>34</v>
      </c>
      <c r="F997">
        <v>42</v>
      </c>
      <c r="G997" t="s">
        <v>2911</v>
      </c>
      <c r="H997">
        <v>1</v>
      </c>
      <c r="I997" s="2">
        <v>37.619999999999997</v>
      </c>
      <c r="J997">
        <v>15.65</v>
      </c>
      <c r="K997" t="s">
        <v>41</v>
      </c>
      <c r="L997" s="3">
        <v>45467</v>
      </c>
      <c r="M997" t="s">
        <v>34</v>
      </c>
      <c r="N997" s="4">
        <v>42</v>
      </c>
      <c r="O997" t="str" cm="1">
        <f t="array" ref="O997">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997" t="s">
        <v>2911</v>
      </c>
      <c r="Q997" t="s">
        <v>2929</v>
      </c>
      <c r="R997" s="5">
        <v>37.619999999999997</v>
      </c>
      <c r="S997" s="5">
        <v>15.65</v>
      </c>
    </row>
    <row r="998" spans="1:19" x14ac:dyDescent="0.25">
      <c r="A998" t="s">
        <v>2912</v>
      </c>
      <c r="B998" t="s">
        <v>330</v>
      </c>
      <c r="C998" s="1">
        <v>45174</v>
      </c>
      <c r="D998" t="s">
        <v>129</v>
      </c>
      <c r="E998" t="s">
        <v>85</v>
      </c>
      <c r="G998" t="s">
        <v>2913</v>
      </c>
      <c r="H998">
        <v>2</v>
      </c>
      <c r="I998" t="s">
        <v>2914</v>
      </c>
      <c r="J998">
        <v>6.34</v>
      </c>
      <c r="K998" t="s">
        <v>19</v>
      </c>
      <c r="L998" s="3">
        <v>45174</v>
      </c>
      <c r="M998" t="s">
        <v>34</v>
      </c>
      <c r="N998" s="4"/>
      <c r="O998" t="str" cm="1">
        <f t="array" ref="O998">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Unknown</v>
      </c>
      <c r="P998" t="s">
        <v>1508</v>
      </c>
      <c r="Q998" t="s">
        <v>2926</v>
      </c>
      <c r="R998" s="5">
        <v>14.26</v>
      </c>
      <c r="S998" s="5">
        <v>6.34</v>
      </c>
    </row>
    <row r="999" spans="1:19" x14ac:dyDescent="0.25">
      <c r="A999" t="s">
        <v>2915</v>
      </c>
      <c r="B999" t="s">
        <v>2916</v>
      </c>
      <c r="C999" s="3">
        <v>44985</v>
      </c>
      <c r="D999" t="s">
        <v>16</v>
      </c>
      <c r="E999" t="s">
        <v>45</v>
      </c>
      <c r="F999">
        <v>66</v>
      </c>
      <c r="G999" t="s">
        <v>2917</v>
      </c>
      <c r="H999">
        <v>2</v>
      </c>
      <c r="I999" s="2">
        <v>43.15</v>
      </c>
      <c r="J999">
        <v>22.22</v>
      </c>
      <c r="K999" t="s">
        <v>41</v>
      </c>
      <c r="L999" s="3">
        <v>44985</v>
      </c>
      <c r="M999" t="s">
        <v>48</v>
      </c>
      <c r="N999" s="4">
        <v>66</v>
      </c>
      <c r="O999" t="str" cm="1">
        <f t="array" ref="O999">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Older Adult (55-75)</v>
      </c>
      <c r="P999" t="s">
        <v>2917</v>
      </c>
      <c r="Q999" t="s">
        <v>2925</v>
      </c>
      <c r="R999" s="5">
        <v>43.15</v>
      </c>
      <c r="S999" s="5">
        <v>22.22</v>
      </c>
    </row>
    <row r="1000" spans="1:19" x14ac:dyDescent="0.25">
      <c r="A1000" t="s">
        <v>2918</v>
      </c>
      <c r="B1000" t="s">
        <v>257</v>
      </c>
      <c r="C1000" t="s">
        <v>626</v>
      </c>
      <c r="D1000" t="s">
        <v>30</v>
      </c>
      <c r="E1000" t="s">
        <v>31</v>
      </c>
      <c r="F1000">
        <v>15</v>
      </c>
      <c r="G1000" t="s">
        <v>2919</v>
      </c>
      <c r="H1000">
        <v>1</v>
      </c>
      <c r="I1000">
        <v>25.56</v>
      </c>
      <c r="J1000" s="2">
        <v>11.14</v>
      </c>
      <c r="K1000" t="s">
        <v>41</v>
      </c>
      <c r="L1000" s="3">
        <v>45192</v>
      </c>
      <c r="M1000" t="s">
        <v>34</v>
      </c>
      <c r="N1000" s="4">
        <v>15</v>
      </c>
      <c r="O1000" t="str" cm="1">
        <f t="array" ref="O1000">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Teen (13-17)</v>
      </c>
      <c r="P1000" t="s">
        <v>2919</v>
      </c>
      <c r="Q1000" t="s">
        <v>2930</v>
      </c>
      <c r="R1000" s="5">
        <v>25.56</v>
      </c>
      <c r="S1000" s="5">
        <v>11.14</v>
      </c>
    </row>
    <row r="1001" spans="1:19" x14ac:dyDescent="0.25">
      <c r="A1001" t="s">
        <v>2920</v>
      </c>
      <c r="B1001" t="s">
        <v>581</v>
      </c>
      <c r="C1001" t="s">
        <v>2921</v>
      </c>
      <c r="D1001" t="s">
        <v>16</v>
      </c>
      <c r="E1001" t="s">
        <v>31</v>
      </c>
      <c r="F1001">
        <v>42</v>
      </c>
      <c r="G1001" t="s">
        <v>2922</v>
      </c>
      <c r="H1001">
        <v>1</v>
      </c>
      <c r="I1001">
        <v>6.21</v>
      </c>
      <c r="J1001">
        <v>3.42</v>
      </c>
      <c r="K1001" t="s">
        <v>19</v>
      </c>
      <c r="L1001" s="3">
        <v>45013</v>
      </c>
      <c r="M1001" t="s">
        <v>34</v>
      </c>
      <c r="N1001" s="4">
        <v>42</v>
      </c>
      <c r="O1001" t="str" cm="1">
        <f t="array" ref="O1001">IF(OR(Table1[[#This Row],[Age_CLEAN]]="",Table1[[#This Row],[Age_CLEAN]]=0),
"Unknown",
_xlfn.IFS(
Table1[[#This Row],[Age_CLEAN]]&lt;=17,"Teen (13-17)",
Table1[[#This Row],[Age_CLEAN]]&lt;=24,"Young Adult (18-24)",
Table1[[#This Row],[Age_CLEAN]]&lt;=34,"Adult (25-34)",
Table1[[#This Row],[Age_CLEAN]]&lt;=54,"Mid-Age (35-54)",
Table1[[#This Row],[Age_CLEAN]]&lt;=75,"Older Adult (55-75)",
TRUE,"Out of Range"
))</f>
        <v>Mid-Age (35-54)</v>
      </c>
      <c r="P1001" t="s">
        <v>2983</v>
      </c>
      <c r="Q1001" t="s">
        <v>2929</v>
      </c>
      <c r="R1001" s="5">
        <v>6.21</v>
      </c>
      <c r="S1001" s="5">
        <v>3.42</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AAC2D-8E9E-4C27-99D0-45B51B87C102}">
  <dimension ref="A2:G171"/>
  <sheetViews>
    <sheetView topLeftCell="A103" zoomScale="95" zoomScaleNormal="95" workbookViewId="0">
      <selection activeCell="J108" sqref="J108"/>
    </sheetView>
  </sheetViews>
  <sheetFormatPr defaultRowHeight="15" x14ac:dyDescent="0.25"/>
  <cols>
    <col min="1" max="1" width="19.85546875" bestFit="1" customWidth="1"/>
    <col min="2" max="2" width="16.85546875" bestFit="1" customWidth="1"/>
    <col min="3" max="3" width="9.42578125" bestFit="1" customWidth="1"/>
    <col min="4" max="4" width="11.28515625" bestFit="1" customWidth="1"/>
    <col min="5" max="5" width="7.42578125" bestFit="1" customWidth="1"/>
    <col min="6" max="6" width="25.28515625" bestFit="1" customWidth="1"/>
    <col min="7" max="7" width="11.28515625" bestFit="1" customWidth="1"/>
    <col min="8" max="8" width="8.5703125" customWidth="1"/>
    <col min="9" max="9" width="19.28515625" customWidth="1"/>
    <col min="10" max="10" width="25.28515625" bestFit="1" customWidth="1"/>
    <col min="11" max="11" width="20" bestFit="1" customWidth="1"/>
    <col min="12" max="12" width="24.85546875" bestFit="1" customWidth="1"/>
    <col min="13" max="13" width="25" bestFit="1" customWidth="1"/>
    <col min="14" max="14" width="19.85546875" bestFit="1" customWidth="1"/>
    <col min="15" max="15" width="20" bestFit="1" customWidth="1"/>
    <col min="16" max="16" width="19.85546875" bestFit="1" customWidth="1"/>
    <col min="17" max="17" width="20" bestFit="1" customWidth="1"/>
    <col min="18" max="18" width="19.85546875" bestFit="1" customWidth="1"/>
    <col min="19" max="19" width="20" bestFit="1" customWidth="1"/>
    <col min="20" max="20" width="19.85546875" bestFit="1" customWidth="1"/>
    <col min="21" max="21" width="20" bestFit="1" customWidth="1"/>
    <col min="22" max="22" width="24.85546875" bestFit="1" customWidth="1"/>
    <col min="23" max="23" width="25" bestFit="1" customWidth="1"/>
    <col min="24" max="24" width="4" bestFit="1" customWidth="1"/>
    <col min="25" max="31" width="5" bestFit="1" customWidth="1"/>
    <col min="32" max="32" width="4" bestFit="1" customWidth="1"/>
    <col min="33" max="37" width="5" bestFit="1" customWidth="1"/>
    <col min="38" max="38" width="4" bestFit="1" customWidth="1"/>
    <col min="39" max="57" width="5" bestFit="1" customWidth="1"/>
    <col min="58" max="58" width="4" bestFit="1" customWidth="1"/>
    <col min="59" max="64" width="5" bestFit="1" customWidth="1"/>
    <col min="65" max="65" width="4" bestFit="1" customWidth="1"/>
    <col min="66" max="71" width="5" bestFit="1" customWidth="1"/>
    <col min="72" max="72" width="4" bestFit="1" customWidth="1"/>
    <col min="73" max="77" width="5" bestFit="1" customWidth="1"/>
    <col min="78" max="78" width="2" bestFit="1" customWidth="1"/>
    <col min="79" max="79" width="5" bestFit="1" customWidth="1"/>
    <col min="80" max="80" width="4" bestFit="1" customWidth="1"/>
    <col min="81" max="85" width="5" bestFit="1" customWidth="1"/>
    <col min="86" max="86" width="4" bestFit="1" customWidth="1"/>
    <col min="87" max="99" width="5" bestFit="1" customWidth="1"/>
    <col min="100" max="100" width="4" bestFit="1" customWidth="1"/>
    <col min="101" max="102" width="5" bestFit="1" customWidth="1"/>
    <col min="103" max="103" width="6" bestFit="1" customWidth="1"/>
    <col min="104" max="104" width="5" bestFit="1" customWidth="1"/>
    <col min="105" max="106" width="6" bestFit="1" customWidth="1"/>
    <col min="107" max="107" width="5" bestFit="1" customWidth="1"/>
    <col min="108" max="127" width="6" bestFit="1" customWidth="1"/>
    <col min="128" max="128" width="5" bestFit="1" customWidth="1"/>
    <col min="129" max="154" width="6" bestFit="1" customWidth="1"/>
    <col min="155" max="155" width="5" bestFit="1" customWidth="1"/>
    <col min="156" max="158" width="6" bestFit="1" customWidth="1"/>
    <col min="159" max="159" width="5" bestFit="1" customWidth="1"/>
    <col min="160" max="171" width="6" bestFit="1" customWidth="1"/>
    <col min="172" max="172" width="5" bestFit="1" customWidth="1"/>
    <col min="173" max="175" width="6" bestFit="1" customWidth="1"/>
    <col min="176" max="176" width="5" bestFit="1" customWidth="1"/>
    <col min="177" max="182" width="6" bestFit="1" customWidth="1"/>
    <col min="183" max="183" width="5" bestFit="1" customWidth="1"/>
    <col min="184" max="187" width="6" bestFit="1" customWidth="1"/>
    <col min="188" max="188" width="5" bestFit="1" customWidth="1"/>
    <col min="189" max="190" width="6" bestFit="1" customWidth="1"/>
    <col min="191" max="191" width="5" bestFit="1" customWidth="1"/>
    <col min="192" max="196" width="6" bestFit="1" customWidth="1"/>
    <col min="197" max="197" width="5" bestFit="1" customWidth="1"/>
    <col min="198" max="198" width="6" bestFit="1" customWidth="1"/>
    <col min="199" max="199" width="5" bestFit="1" customWidth="1"/>
    <col min="200" max="209" width="6" bestFit="1" customWidth="1"/>
    <col min="210" max="210" width="5" bestFit="1" customWidth="1"/>
    <col min="211" max="233" width="6" bestFit="1" customWidth="1"/>
    <col min="234" max="234" width="5" bestFit="1" customWidth="1"/>
    <col min="235" max="235" width="6" bestFit="1" customWidth="1"/>
    <col min="236" max="236" width="5" bestFit="1" customWidth="1"/>
    <col min="237" max="253" width="6" bestFit="1" customWidth="1"/>
    <col min="254" max="254" width="5" bestFit="1" customWidth="1"/>
    <col min="255" max="257" width="6" bestFit="1" customWidth="1"/>
    <col min="258" max="259" width="5" bestFit="1" customWidth="1"/>
    <col min="260" max="264" width="6" bestFit="1" customWidth="1"/>
    <col min="265" max="265" width="5" bestFit="1" customWidth="1"/>
    <col min="266" max="285" width="6" bestFit="1" customWidth="1"/>
    <col min="286" max="287" width="5" bestFit="1" customWidth="1"/>
    <col min="288" max="295" width="6" bestFit="1" customWidth="1"/>
    <col min="296" max="296" width="5" bestFit="1" customWidth="1"/>
    <col min="297" max="307" width="6" bestFit="1" customWidth="1"/>
    <col min="308" max="308" width="5" bestFit="1" customWidth="1"/>
    <col min="309" max="317" width="6" bestFit="1" customWidth="1"/>
    <col min="318" max="318" width="5" bestFit="1" customWidth="1"/>
    <col min="319" max="322" width="6" bestFit="1" customWidth="1"/>
    <col min="323" max="323" width="5" bestFit="1" customWidth="1"/>
    <col min="324" max="324" width="6" bestFit="1" customWidth="1"/>
    <col min="325" max="325" width="5" bestFit="1" customWidth="1"/>
    <col min="326" max="330" width="6" bestFit="1" customWidth="1"/>
    <col min="331" max="331" width="5" bestFit="1" customWidth="1"/>
    <col min="332" max="347" width="6" bestFit="1" customWidth="1"/>
    <col min="348" max="348" width="5" bestFit="1" customWidth="1"/>
    <col min="349" max="350" width="6" bestFit="1" customWidth="1"/>
    <col min="351" max="351" width="5" bestFit="1" customWidth="1"/>
    <col min="352" max="353" width="6" bestFit="1" customWidth="1"/>
    <col min="354" max="354" width="5" bestFit="1" customWidth="1"/>
    <col min="355" max="355" width="6" bestFit="1" customWidth="1"/>
    <col min="356" max="356" width="5" bestFit="1" customWidth="1"/>
    <col min="357" max="358" width="6" bestFit="1" customWidth="1"/>
    <col min="359" max="359" width="5" bestFit="1" customWidth="1"/>
    <col min="360" max="360" width="6" bestFit="1" customWidth="1"/>
    <col min="361" max="361" width="5" bestFit="1" customWidth="1"/>
    <col min="362" max="366" width="6" bestFit="1" customWidth="1"/>
    <col min="367" max="367" width="5" bestFit="1" customWidth="1"/>
    <col min="368" max="368" width="6" bestFit="1" customWidth="1"/>
    <col min="369" max="369" width="5" bestFit="1" customWidth="1"/>
    <col min="370" max="380" width="6" bestFit="1" customWidth="1"/>
    <col min="381" max="381" width="5" bestFit="1" customWidth="1"/>
    <col min="382" max="383" width="6" bestFit="1" customWidth="1"/>
    <col min="384" max="384" width="5" bestFit="1" customWidth="1"/>
    <col min="385" max="397" width="6" bestFit="1" customWidth="1"/>
    <col min="398" max="398" width="5" bestFit="1" customWidth="1"/>
    <col min="399" max="401" width="6" bestFit="1" customWidth="1"/>
    <col min="402" max="402" width="5" bestFit="1" customWidth="1"/>
    <col min="403" max="438" width="6" bestFit="1" customWidth="1"/>
    <col min="439" max="439" width="5" bestFit="1" customWidth="1"/>
    <col min="440" max="456" width="6" bestFit="1" customWidth="1"/>
    <col min="457" max="457" width="5" bestFit="1" customWidth="1"/>
    <col min="458" max="470" width="6" bestFit="1" customWidth="1"/>
    <col min="471" max="471" width="3" bestFit="1" customWidth="1"/>
    <col min="472" max="479" width="6" bestFit="1" customWidth="1"/>
    <col min="480" max="480" width="5" bestFit="1" customWidth="1"/>
    <col min="481" max="487" width="6" bestFit="1" customWidth="1"/>
    <col min="488" max="488" width="5" bestFit="1" customWidth="1"/>
    <col min="489" max="489" width="6" bestFit="1" customWidth="1"/>
    <col min="490" max="490" width="5" bestFit="1" customWidth="1"/>
    <col min="491" max="499" width="6" bestFit="1" customWidth="1"/>
    <col min="500" max="501" width="5" bestFit="1" customWidth="1"/>
    <col min="502" max="509" width="6" bestFit="1" customWidth="1"/>
    <col min="510" max="510" width="5" bestFit="1" customWidth="1"/>
    <col min="511" max="521" width="6" bestFit="1" customWidth="1"/>
    <col min="522" max="522" width="5" bestFit="1" customWidth="1"/>
    <col min="523" max="529" width="6" bestFit="1" customWidth="1"/>
    <col min="530" max="530" width="5" bestFit="1" customWidth="1"/>
    <col min="531" max="557" width="6" bestFit="1" customWidth="1"/>
    <col min="558" max="558" width="5" bestFit="1" customWidth="1"/>
    <col min="559" max="561" width="6" bestFit="1" customWidth="1"/>
    <col min="562" max="562" width="3" bestFit="1" customWidth="1"/>
    <col min="563" max="572" width="6" bestFit="1" customWidth="1"/>
    <col min="573" max="573" width="5" bestFit="1" customWidth="1"/>
    <col min="574" max="589" width="6" bestFit="1" customWidth="1"/>
    <col min="590" max="590" width="5" bestFit="1" customWidth="1"/>
    <col min="591" max="591" width="6" bestFit="1" customWidth="1"/>
    <col min="592" max="592" width="5" bestFit="1" customWidth="1"/>
    <col min="593" max="595" width="6" bestFit="1" customWidth="1"/>
    <col min="596" max="596" width="5" bestFit="1" customWidth="1"/>
    <col min="597" max="597" width="6" bestFit="1" customWidth="1"/>
    <col min="598" max="598" width="5" bestFit="1" customWidth="1"/>
    <col min="599" max="599" width="6" bestFit="1" customWidth="1"/>
    <col min="600" max="600" width="5" bestFit="1" customWidth="1"/>
    <col min="601" max="607" width="6" bestFit="1" customWidth="1"/>
    <col min="608" max="608" width="5" bestFit="1" customWidth="1"/>
    <col min="609" max="617" width="6" bestFit="1" customWidth="1"/>
    <col min="618" max="618" width="3" bestFit="1" customWidth="1"/>
    <col min="619" max="620" width="6" bestFit="1" customWidth="1"/>
    <col min="621" max="621" width="5" bestFit="1" customWidth="1"/>
    <col min="622" max="622" width="6" bestFit="1" customWidth="1"/>
    <col min="623" max="623" width="5" bestFit="1" customWidth="1"/>
    <col min="624" max="637" width="6" bestFit="1" customWidth="1"/>
    <col min="638" max="638" width="3" bestFit="1" customWidth="1"/>
    <col min="639" max="661" width="6" bestFit="1" customWidth="1"/>
    <col min="662" max="670" width="7" bestFit="1" customWidth="1"/>
    <col min="671" max="671" width="6" bestFit="1" customWidth="1"/>
    <col min="672" max="677" width="7" bestFit="1" customWidth="1"/>
    <col min="678" max="678" width="6" bestFit="1" customWidth="1"/>
    <col min="679" max="693" width="7" bestFit="1" customWidth="1"/>
    <col min="694" max="694" width="6" bestFit="1" customWidth="1"/>
    <col min="695" max="702" width="7" bestFit="1" customWidth="1"/>
    <col min="703" max="703" width="6" bestFit="1" customWidth="1"/>
    <col min="704" max="723" width="10.85546875" bestFit="1" customWidth="1"/>
    <col min="724" max="724" width="11.5703125" bestFit="1" customWidth="1"/>
    <col min="725" max="728" width="10.85546875" bestFit="1" customWidth="1"/>
    <col min="729" max="729" width="11.85546875" bestFit="1" customWidth="1"/>
    <col min="730" max="733" width="10.85546875" bestFit="1" customWidth="1"/>
    <col min="734" max="736" width="9.85546875" bestFit="1" customWidth="1"/>
    <col min="737" max="740" width="10.85546875" bestFit="1" customWidth="1"/>
    <col min="741" max="741" width="9.85546875" bestFit="1" customWidth="1"/>
    <col min="742" max="744" width="10.85546875" bestFit="1" customWidth="1"/>
    <col min="745" max="745" width="5.5703125" bestFit="1" customWidth="1"/>
    <col min="746" max="747" width="6.5703125" bestFit="1" customWidth="1"/>
    <col min="748" max="748" width="5.5703125" bestFit="1" customWidth="1"/>
    <col min="749" max="749" width="6.28515625" bestFit="1" customWidth="1"/>
    <col min="750" max="750" width="6.5703125" bestFit="1" customWidth="1"/>
    <col min="751" max="751" width="5.5703125" bestFit="1" customWidth="1"/>
    <col min="752" max="752" width="6.5703125" bestFit="1" customWidth="1"/>
    <col min="753" max="753" width="5.5703125" bestFit="1" customWidth="1"/>
    <col min="754" max="754" width="6.5703125" bestFit="1" customWidth="1"/>
    <col min="755" max="764" width="5.5703125" bestFit="1" customWidth="1"/>
    <col min="765" max="765" width="6.5703125" bestFit="1" customWidth="1"/>
    <col min="766" max="771" width="5.5703125" bestFit="1" customWidth="1"/>
    <col min="772" max="773" width="6.5703125" bestFit="1" customWidth="1"/>
    <col min="774" max="794" width="5.5703125" bestFit="1" customWidth="1"/>
    <col min="795" max="795" width="4.5703125" bestFit="1" customWidth="1"/>
    <col min="796" max="796" width="5.5703125" bestFit="1" customWidth="1"/>
    <col min="797" max="799" width="4.5703125" bestFit="1" customWidth="1"/>
    <col min="800" max="800" width="5.5703125" bestFit="1" customWidth="1"/>
    <col min="801" max="801" width="4.5703125" bestFit="1" customWidth="1"/>
    <col min="802" max="802" width="5.5703125" bestFit="1" customWidth="1"/>
    <col min="803" max="803" width="4.5703125" bestFit="1" customWidth="1"/>
    <col min="804" max="807" width="5.5703125" bestFit="1" customWidth="1"/>
    <col min="808" max="808" width="4" bestFit="1" customWidth="1"/>
    <col min="809" max="818" width="10" bestFit="1" customWidth="1"/>
    <col min="819" max="819" width="11" bestFit="1" customWidth="1"/>
    <col min="820" max="822" width="10" bestFit="1" customWidth="1"/>
    <col min="823" max="823" width="11" bestFit="1" customWidth="1"/>
    <col min="824" max="825" width="10" bestFit="1" customWidth="1"/>
    <col min="826" max="826" width="11" bestFit="1" customWidth="1"/>
    <col min="827" max="855" width="10" bestFit="1" customWidth="1"/>
    <col min="856" max="857" width="9" bestFit="1" customWidth="1"/>
    <col min="858" max="860" width="10" bestFit="1" customWidth="1"/>
    <col min="861" max="861" width="10.7109375" bestFit="1" customWidth="1"/>
    <col min="862" max="866" width="10" bestFit="1" customWidth="1"/>
    <col min="867" max="868" width="9" bestFit="1" customWidth="1"/>
    <col min="869" max="879" width="10" bestFit="1" customWidth="1"/>
    <col min="880" max="880" width="10.7109375" bestFit="1" customWidth="1"/>
    <col min="881" max="886" width="10" bestFit="1" customWidth="1"/>
    <col min="887" max="887" width="9" bestFit="1" customWidth="1"/>
    <col min="888" max="888" width="9.7109375" bestFit="1" customWidth="1"/>
    <col min="889" max="892" width="9" bestFit="1" customWidth="1"/>
    <col min="893" max="894" width="10" bestFit="1" customWidth="1"/>
    <col min="895" max="895" width="9" bestFit="1" customWidth="1"/>
    <col min="896" max="898" width="10" bestFit="1" customWidth="1"/>
    <col min="899" max="899" width="4.28515625" bestFit="1" customWidth="1"/>
    <col min="900" max="900" width="7.28515625" bestFit="1" customWidth="1"/>
    <col min="901" max="901" width="11.28515625" bestFit="1" customWidth="1"/>
  </cols>
  <sheetData>
    <row r="2" spans="1:3" x14ac:dyDescent="0.25">
      <c r="A2" t="s">
        <v>2992</v>
      </c>
      <c r="B2" t="s">
        <v>2993</v>
      </c>
    </row>
    <row r="3" spans="1:3" x14ac:dyDescent="0.25">
      <c r="A3" s="24">
        <v>35344.529999999984</v>
      </c>
      <c r="B3" s="23">
        <v>14625.169999999989</v>
      </c>
    </row>
    <row r="5" spans="1:3" x14ac:dyDescent="0.25">
      <c r="A5" t="s">
        <v>3014</v>
      </c>
    </row>
    <row r="6" spans="1:3" x14ac:dyDescent="0.25">
      <c r="A6" s="6" t="s">
        <v>2986</v>
      </c>
      <c r="B6" t="s">
        <v>2992</v>
      </c>
      <c r="C6" t="s">
        <v>2993</v>
      </c>
    </row>
    <row r="7" spans="1:3" x14ac:dyDescent="0.25">
      <c r="A7" s="7" t="s">
        <v>2988</v>
      </c>
      <c r="B7" s="19">
        <v>18932.380000000005</v>
      </c>
      <c r="C7" s="19">
        <v>7943.8900000000021</v>
      </c>
    </row>
    <row r="8" spans="1:3" x14ac:dyDescent="0.25">
      <c r="A8" s="7" t="s">
        <v>2989</v>
      </c>
      <c r="B8" s="19">
        <v>16412.149999999998</v>
      </c>
      <c r="C8" s="19">
        <v>6681.2799999999979</v>
      </c>
    </row>
    <row r="9" spans="1:3" x14ac:dyDescent="0.25">
      <c r="A9" s="21" t="s">
        <v>2987</v>
      </c>
      <c r="B9" s="22">
        <v>35344.53</v>
      </c>
      <c r="C9" s="22">
        <v>14625.17</v>
      </c>
    </row>
    <row r="11" spans="1:3" x14ac:dyDescent="0.25">
      <c r="A11" t="s">
        <v>3007</v>
      </c>
    </row>
    <row r="12" spans="1:3" x14ac:dyDescent="0.25">
      <c r="A12" s="6" t="s">
        <v>2986</v>
      </c>
      <c r="B12" t="s">
        <v>2992</v>
      </c>
      <c r="C12" t="s">
        <v>2993</v>
      </c>
    </row>
    <row r="13" spans="1:3" x14ac:dyDescent="0.25">
      <c r="A13" t="s">
        <v>2926</v>
      </c>
      <c r="B13">
        <v>13260.100000000002</v>
      </c>
      <c r="C13">
        <v>5370.25</v>
      </c>
    </row>
    <row r="14" spans="1:3" x14ac:dyDescent="0.25">
      <c r="A14" s="7" t="s">
        <v>2927</v>
      </c>
      <c r="B14">
        <v>8563.5700000000015</v>
      </c>
      <c r="C14">
        <v>3627.4999999999991</v>
      </c>
    </row>
    <row r="15" spans="1:3" x14ac:dyDescent="0.25">
      <c r="A15" s="7" t="s">
        <v>2929</v>
      </c>
      <c r="B15">
        <v>4566.5499999999975</v>
      </c>
      <c r="C15">
        <v>1966.8799999999994</v>
      </c>
    </row>
    <row r="16" spans="1:3" x14ac:dyDescent="0.25">
      <c r="A16" s="7" t="s">
        <v>2925</v>
      </c>
      <c r="B16">
        <v>4253.2199999999993</v>
      </c>
      <c r="C16">
        <v>1708.5200000000004</v>
      </c>
    </row>
    <row r="17" spans="1:3" x14ac:dyDescent="0.25">
      <c r="A17" t="s">
        <v>2987</v>
      </c>
      <c r="B17">
        <v>30643.440000000002</v>
      </c>
      <c r="C17">
        <v>12673.149999999998</v>
      </c>
    </row>
    <row r="19" spans="1:3" x14ac:dyDescent="0.25">
      <c r="A19" s="6" t="s">
        <v>2986</v>
      </c>
      <c r="B19" t="s">
        <v>3019</v>
      </c>
    </row>
    <row r="20" spans="1:3" x14ac:dyDescent="0.25">
      <c r="A20" s="7" t="s">
        <v>2988</v>
      </c>
      <c r="B20" s="19">
        <v>899</v>
      </c>
    </row>
    <row r="21" spans="1:3" x14ac:dyDescent="0.25">
      <c r="A21" s="7" t="s">
        <v>2989</v>
      </c>
      <c r="B21" s="19">
        <v>809</v>
      </c>
    </row>
    <row r="22" spans="1:3" x14ac:dyDescent="0.25">
      <c r="A22" s="21" t="s">
        <v>2987</v>
      </c>
      <c r="B22" s="22">
        <v>1708</v>
      </c>
    </row>
    <row r="25" spans="1:3" x14ac:dyDescent="0.25">
      <c r="A25" t="s">
        <v>3006</v>
      </c>
    </row>
    <row r="26" spans="1:3" x14ac:dyDescent="0.25">
      <c r="A26" s="6" t="s">
        <v>2986</v>
      </c>
      <c r="B26" t="s">
        <v>2992</v>
      </c>
      <c r="C26" t="s">
        <v>2993</v>
      </c>
    </row>
    <row r="27" spans="1:3" x14ac:dyDescent="0.25">
      <c r="A27" s="7" t="s">
        <v>51</v>
      </c>
      <c r="B27" s="19">
        <v>11631.769999999999</v>
      </c>
      <c r="C27" s="19">
        <v>4890.3899999999994</v>
      </c>
    </row>
    <row r="28" spans="1:3" x14ac:dyDescent="0.25">
      <c r="A28" s="8" t="s">
        <v>2988</v>
      </c>
      <c r="B28" s="19">
        <v>6777.9599999999973</v>
      </c>
      <c r="C28" s="19">
        <v>2924.5499999999997</v>
      </c>
    </row>
    <row r="29" spans="1:3" x14ac:dyDescent="0.25">
      <c r="A29" s="8" t="s">
        <v>2989</v>
      </c>
      <c r="B29" s="19">
        <v>4853.8100000000013</v>
      </c>
      <c r="C29" s="19">
        <v>1965.84</v>
      </c>
    </row>
    <row r="30" spans="1:3" x14ac:dyDescent="0.25">
      <c r="A30" s="7" t="s">
        <v>30</v>
      </c>
      <c r="B30" s="19">
        <v>8225.9799999999977</v>
      </c>
      <c r="C30" s="19">
        <v>3385.13</v>
      </c>
    </row>
    <row r="31" spans="1:3" x14ac:dyDescent="0.25">
      <c r="A31" s="8" t="s">
        <v>2988</v>
      </c>
      <c r="B31" s="19">
        <v>4332.199999999998</v>
      </c>
      <c r="C31" s="19">
        <v>1718.3499999999997</v>
      </c>
    </row>
    <row r="32" spans="1:3" x14ac:dyDescent="0.25">
      <c r="A32" s="8" t="s">
        <v>2989</v>
      </c>
      <c r="B32" s="19">
        <v>3893.7799999999997</v>
      </c>
      <c r="C32" s="19">
        <v>1666.7800000000004</v>
      </c>
    </row>
    <row r="33" spans="1:3" x14ac:dyDescent="0.25">
      <c r="A33" s="7" t="s">
        <v>16</v>
      </c>
      <c r="B33" s="19">
        <v>6514.9600000000009</v>
      </c>
      <c r="C33" s="19">
        <v>2568.66</v>
      </c>
    </row>
    <row r="34" spans="1:3" x14ac:dyDescent="0.25">
      <c r="A34" s="8" t="s">
        <v>2988</v>
      </c>
      <c r="B34" s="19">
        <v>3160.5300000000011</v>
      </c>
      <c r="C34" s="19">
        <v>1334.3300000000002</v>
      </c>
    </row>
    <row r="35" spans="1:3" x14ac:dyDescent="0.25">
      <c r="A35" s="8" t="s">
        <v>2989</v>
      </c>
      <c r="B35" s="19">
        <v>3354.4300000000003</v>
      </c>
      <c r="C35" s="19">
        <v>1234.3299999999995</v>
      </c>
    </row>
    <row r="36" spans="1:3" x14ac:dyDescent="0.25">
      <c r="A36" s="7" t="s">
        <v>24</v>
      </c>
      <c r="B36" s="19">
        <v>5388.47</v>
      </c>
      <c r="C36" s="19">
        <v>2342.4300000000012</v>
      </c>
    </row>
    <row r="37" spans="1:3" x14ac:dyDescent="0.25">
      <c r="A37" s="8" t="s">
        <v>2988</v>
      </c>
      <c r="B37" s="19">
        <v>2987.2500000000005</v>
      </c>
      <c r="C37" s="19">
        <v>1309.9700000000005</v>
      </c>
    </row>
    <row r="38" spans="1:3" x14ac:dyDescent="0.25">
      <c r="A38" s="8" t="s">
        <v>2989</v>
      </c>
      <c r="B38" s="19">
        <v>2401.2199999999998</v>
      </c>
      <c r="C38" s="19">
        <v>1032.4600000000005</v>
      </c>
    </row>
    <row r="39" spans="1:3" x14ac:dyDescent="0.25">
      <c r="A39" s="7" t="s">
        <v>129</v>
      </c>
      <c r="B39" s="19">
        <v>3583.3500000000004</v>
      </c>
      <c r="C39" s="19">
        <v>1438.5600000000004</v>
      </c>
    </row>
    <row r="40" spans="1:3" x14ac:dyDescent="0.25">
      <c r="A40" s="8" t="s">
        <v>2988</v>
      </c>
      <c r="B40" s="19">
        <v>1674.44</v>
      </c>
      <c r="C40" s="19">
        <v>656.69</v>
      </c>
    </row>
    <row r="41" spans="1:3" x14ac:dyDescent="0.25">
      <c r="A41" s="8" t="s">
        <v>2989</v>
      </c>
      <c r="B41" s="19">
        <v>1908.9100000000003</v>
      </c>
      <c r="C41" s="19">
        <v>781.87000000000023</v>
      </c>
    </row>
    <row r="42" spans="1:3" x14ac:dyDescent="0.25">
      <c r="A42" s="7" t="s">
        <v>2987</v>
      </c>
      <c r="B42" s="19">
        <v>35344.53</v>
      </c>
      <c r="C42" s="19">
        <v>14625.170000000004</v>
      </c>
    </row>
    <row r="44" spans="1:3" x14ac:dyDescent="0.25">
      <c r="A44" t="s">
        <v>3015</v>
      </c>
    </row>
    <row r="45" spans="1:3" x14ac:dyDescent="0.25">
      <c r="A45" s="6" t="s">
        <v>2986</v>
      </c>
      <c r="B45" t="s">
        <v>3008</v>
      </c>
    </row>
    <row r="46" spans="1:3" x14ac:dyDescent="0.25">
      <c r="A46" s="7" t="s">
        <v>34</v>
      </c>
      <c r="B46" s="5">
        <v>36.077534562211987</v>
      </c>
    </row>
    <row r="47" spans="1:3" x14ac:dyDescent="0.25">
      <c r="A47" s="7" t="s">
        <v>48</v>
      </c>
      <c r="B47" s="5">
        <v>36.137335025380715</v>
      </c>
    </row>
    <row r="48" spans="1:3" x14ac:dyDescent="0.25">
      <c r="A48" s="7" t="s">
        <v>132</v>
      </c>
      <c r="B48" s="5">
        <v>34.594285714285725</v>
      </c>
    </row>
    <row r="49" spans="1:7" x14ac:dyDescent="0.25">
      <c r="A49" s="7" t="s">
        <v>20</v>
      </c>
      <c r="B49" s="5">
        <v>37.025867768595035</v>
      </c>
    </row>
    <row r="50" spans="1:7" x14ac:dyDescent="0.25">
      <c r="A50" s="21" t="s">
        <v>2987</v>
      </c>
      <c r="B50" s="25">
        <v>36.176591606960123</v>
      </c>
    </row>
    <row r="52" spans="1:7" x14ac:dyDescent="0.25">
      <c r="A52" t="s">
        <v>3016</v>
      </c>
    </row>
    <row r="53" spans="1:7" x14ac:dyDescent="0.25">
      <c r="A53" s="6" t="s">
        <v>2992</v>
      </c>
      <c r="B53" s="6" t="s">
        <v>2990</v>
      </c>
    </row>
    <row r="54" spans="1:7" x14ac:dyDescent="0.25">
      <c r="A54" s="6" t="s">
        <v>2986</v>
      </c>
      <c r="B54" t="s">
        <v>24</v>
      </c>
      <c r="C54" t="s">
        <v>51</v>
      </c>
      <c r="D54" t="s">
        <v>129</v>
      </c>
      <c r="E54" t="s">
        <v>30</v>
      </c>
      <c r="F54" t="s">
        <v>16</v>
      </c>
      <c r="G54" t="s">
        <v>2987</v>
      </c>
    </row>
    <row r="55" spans="1:7" x14ac:dyDescent="0.25">
      <c r="A55" s="7">
        <v>66</v>
      </c>
      <c r="B55" s="19">
        <v>144.35000000000002</v>
      </c>
      <c r="C55" s="19">
        <v>802.7399999999999</v>
      </c>
      <c r="D55" s="19">
        <v>25.67</v>
      </c>
      <c r="E55" s="19">
        <v>187.3</v>
      </c>
      <c r="F55" s="19">
        <v>102.16</v>
      </c>
      <c r="G55" s="19">
        <v>1262.22</v>
      </c>
    </row>
    <row r="56" spans="1:7" x14ac:dyDescent="0.25">
      <c r="A56" s="7" t="s">
        <v>2991</v>
      </c>
      <c r="B56" s="19">
        <v>112.95</v>
      </c>
      <c r="C56" s="19">
        <v>533.16000000000008</v>
      </c>
      <c r="D56" s="19">
        <v>46.96</v>
      </c>
      <c r="E56" s="19">
        <v>93.28</v>
      </c>
      <c r="F56" s="19">
        <v>273.78999999999996</v>
      </c>
      <c r="G56" s="19">
        <v>1060.1400000000001</v>
      </c>
    </row>
    <row r="57" spans="1:7" x14ac:dyDescent="0.25">
      <c r="A57" s="7">
        <v>38</v>
      </c>
      <c r="B57" s="19">
        <v>210.58999999999997</v>
      </c>
      <c r="C57" s="19">
        <v>578.59</v>
      </c>
      <c r="D57" s="19">
        <v>22.83</v>
      </c>
      <c r="E57" s="19">
        <v>65.19</v>
      </c>
      <c r="F57" s="19">
        <v>109.35000000000001</v>
      </c>
      <c r="G57" s="19">
        <v>986.55000000000007</v>
      </c>
    </row>
    <row r="58" spans="1:7" x14ac:dyDescent="0.25">
      <c r="A58" s="21" t="s">
        <v>2987</v>
      </c>
      <c r="B58" s="20">
        <v>467.89</v>
      </c>
      <c r="C58" s="20">
        <v>1914.49</v>
      </c>
      <c r="D58" s="20">
        <v>95.460000000000008</v>
      </c>
      <c r="E58" s="20">
        <v>345.77</v>
      </c>
      <c r="F58" s="20">
        <v>485.29999999999995</v>
      </c>
      <c r="G58" s="20">
        <v>3308.91</v>
      </c>
    </row>
    <row r="78" spans="1:4" x14ac:dyDescent="0.25">
      <c r="A78" t="s">
        <v>3017</v>
      </c>
    </row>
    <row r="79" spans="1:4" x14ac:dyDescent="0.25">
      <c r="A79" s="6" t="s">
        <v>2992</v>
      </c>
      <c r="B79" s="6" t="s">
        <v>2990</v>
      </c>
    </row>
    <row r="80" spans="1:4" x14ac:dyDescent="0.25">
      <c r="A80" s="6" t="s">
        <v>2986</v>
      </c>
      <c r="B80" t="s">
        <v>2988</v>
      </c>
      <c r="C80" t="s">
        <v>2989</v>
      </c>
      <c r="D80" t="s">
        <v>2987</v>
      </c>
    </row>
    <row r="81" spans="1:4" x14ac:dyDescent="0.25">
      <c r="A81" s="7" t="s">
        <v>2994</v>
      </c>
      <c r="B81" s="19">
        <v>1915.2799999999997</v>
      </c>
      <c r="C81" s="19">
        <v>1560.24</v>
      </c>
      <c r="D81" s="19">
        <v>3475.5199999999995</v>
      </c>
    </row>
    <row r="82" spans="1:4" x14ac:dyDescent="0.25">
      <c r="A82" s="7" t="s">
        <v>2995</v>
      </c>
      <c r="B82" s="19">
        <v>2083.6399999999994</v>
      </c>
      <c r="C82" s="19">
        <v>853.29</v>
      </c>
      <c r="D82" s="19">
        <v>2936.9299999999994</v>
      </c>
    </row>
    <row r="83" spans="1:4" x14ac:dyDescent="0.25">
      <c r="A83" s="7" t="s">
        <v>2996</v>
      </c>
      <c r="B83" s="19">
        <v>1908.6599999999999</v>
      </c>
      <c r="C83" s="19">
        <v>929.12000000000023</v>
      </c>
      <c r="D83" s="19">
        <v>2837.78</v>
      </c>
    </row>
    <row r="84" spans="1:4" x14ac:dyDescent="0.25">
      <c r="A84" s="7" t="s">
        <v>2997</v>
      </c>
      <c r="B84" s="19">
        <v>1683.4500000000003</v>
      </c>
      <c r="C84" s="19">
        <v>1456.7099999999998</v>
      </c>
      <c r="D84" s="19">
        <v>3140.16</v>
      </c>
    </row>
    <row r="85" spans="1:4" x14ac:dyDescent="0.25">
      <c r="A85" s="7" t="s">
        <v>2998</v>
      </c>
      <c r="B85" s="19">
        <v>1401.88</v>
      </c>
      <c r="C85" s="19">
        <v>1772.3600000000001</v>
      </c>
      <c r="D85" s="19">
        <v>3174.2400000000002</v>
      </c>
    </row>
    <row r="86" spans="1:4" x14ac:dyDescent="0.25">
      <c r="A86" s="7" t="s">
        <v>2999</v>
      </c>
      <c r="B86" s="19">
        <v>1901.4400000000003</v>
      </c>
      <c r="C86" s="19">
        <v>1614.5100000000002</v>
      </c>
      <c r="D86" s="19">
        <v>3515.9500000000007</v>
      </c>
    </row>
    <row r="87" spans="1:4" x14ac:dyDescent="0.25">
      <c r="A87" s="7" t="s">
        <v>3000</v>
      </c>
      <c r="B87" s="19">
        <v>1332.0699999999997</v>
      </c>
      <c r="C87" s="19">
        <v>1272.3499999999999</v>
      </c>
      <c r="D87" s="19">
        <v>2604.4199999999996</v>
      </c>
    </row>
    <row r="88" spans="1:4" x14ac:dyDescent="0.25">
      <c r="A88" s="7" t="s">
        <v>3001</v>
      </c>
      <c r="B88" s="19">
        <v>1179.94</v>
      </c>
      <c r="C88" s="19">
        <v>1214.4900000000002</v>
      </c>
      <c r="D88" s="19">
        <v>2394.4300000000003</v>
      </c>
    </row>
    <row r="89" spans="1:4" x14ac:dyDescent="0.25">
      <c r="A89" s="7" t="s">
        <v>3002</v>
      </c>
      <c r="B89" s="19">
        <v>1018.4899999999997</v>
      </c>
      <c r="C89" s="19">
        <v>962.22000000000014</v>
      </c>
      <c r="D89" s="19">
        <v>1980.7099999999998</v>
      </c>
    </row>
    <row r="90" spans="1:4" x14ac:dyDescent="0.25">
      <c r="A90" s="7" t="s">
        <v>3003</v>
      </c>
      <c r="B90" s="19">
        <v>1221.46</v>
      </c>
      <c r="C90" s="19">
        <v>948.40000000000009</v>
      </c>
      <c r="D90" s="19">
        <v>2169.86</v>
      </c>
    </row>
    <row r="91" spans="1:4" x14ac:dyDescent="0.25">
      <c r="A91" s="7" t="s">
        <v>3004</v>
      </c>
      <c r="B91" s="19">
        <v>1645.0700000000002</v>
      </c>
      <c r="C91" s="19">
        <v>1336.3</v>
      </c>
      <c r="D91" s="19">
        <v>2981.37</v>
      </c>
    </row>
    <row r="92" spans="1:4" x14ac:dyDescent="0.25">
      <c r="A92" s="7" t="s">
        <v>3005</v>
      </c>
      <c r="B92" s="19">
        <v>1641</v>
      </c>
      <c r="C92" s="19">
        <v>2492.1599999999994</v>
      </c>
      <c r="D92" s="19">
        <v>4133.16</v>
      </c>
    </row>
    <row r="93" spans="1:4" x14ac:dyDescent="0.25">
      <c r="A93" s="10" t="s">
        <v>2987</v>
      </c>
      <c r="B93" s="20">
        <v>18932.38</v>
      </c>
      <c r="C93" s="20">
        <v>16412.149999999998</v>
      </c>
      <c r="D93" s="20">
        <v>35344.53</v>
      </c>
    </row>
    <row r="95" spans="1:4" x14ac:dyDescent="0.25">
      <c r="A95" s="7" t="s">
        <v>3024</v>
      </c>
    </row>
    <row r="96" spans="1:4" x14ac:dyDescent="0.25">
      <c r="A96" s="6" t="s">
        <v>2986</v>
      </c>
      <c r="B96" t="s">
        <v>2992</v>
      </c>
      <c r="C96" t="s">
        <v>2993</v>
      </c>
    </row>
    <row r="97" spans="1:3" x14ac:dyDescent="0.25">
      <c r="A97" s="7" t="s">
        <v>3011</v>
      </c>
      <c r="B97" s="12">
        <v>11751.279999999997</v>
      </c>
      <c r="C97" s="12">
        <v>4819.5299999999988</v>
      </c>
    </row>
    <row r="98" spans="1:3" x14ac:dyDescent="0.25">
      <c r="A98" s="7" t="s">
        <v>3010</v>
      </c>
      <c r="B98" s="12">
        <v>9138.409999999998</v>
      </c>
      <c r="C98" s="12">
        <v>3953.6900000000005</v>
      </c>
    </row>
    <row r="99" spans="1:3" x14ac:dyDescent="0.25">
      <c r="A99" s="7" t="s">
        <v>3009</v>
      </c>
      <c r="B99" s="12">
        <v>6060.5899999999992</v>
      </c>
      <c r="C99" s="12">
        <v>2237.5499999999988</v>
      </c>
    </row>
    <row r="100" spans="1:3" x14ac:dyDescent="0.25">
      <c r="A100" s="7" t="s">
        <v>3012</v>
      </c>
      <c r="B100" s="12">
        <v>4038.4800000000005</v>
      </c>
      <c r="C100" s="12">
        <v>1691.8199999999997</v>
      </c>
    </row>
    <row r="101" spans="1:3" x14ac:dyDescent="0.25">
      <c r="A101" s="7" t="s">
        <v>3013</v>
      </c>
      <c r="B101" s="12">
        <v>3295.6299999999992</v>
      </c>
      <c r="C101" s="12">
        <v>1373.9199999999998</v>
      </c>
    </row>
    <row r="102" spans="1:3" x14ac:dyDescent="0.25">
      <c r="A102" s="7" t="s">
        <v>20</v>
      </c>
      <c r="B102" s="12">
        <v>1060.1400000000001</v>
      </c>
      <c r="C102" s="12">
        <v>548.66</v>
      </c>
    </row>
    <row r="103" spans="1:3" x14ac:dyDescent="0.25">
      <c r="A103" s="21" t="s">
        <v>2987</v>
      </c>
      <c r="B103" s="23">
        <v>35344.529999999992</v>
      </c>
      <c r="C103" s="23">
        <v>14625.169999999998</v>
      </c>
    </row>
    <row r="105" spans="1:3" x14ac:dyDescent="0.25">
      <c r="A105" s="7" t="s">
        <v>3023</v>
      </c>
    </row>
    <row r="106" spans="1:3" x14ac:dyDescent="0.25">
      <c r="A106" s="6" t="s">
        <v>2986</v>
      </c>
      <c r="B106" t="s">
        <v>2992</v>
      </c>
      <c r="C106" t="s">
        <v>2993</v>
      </c>
    </row>
    <row r="107" spans="1:3" x14ac:dyDescent="0.25">
      <c r="A107" s="7" t="s">
        <v>2988</v>
      </c>
      <c r="B107" s="12">
        <v>18932.379999999997</v>
      </c>
      <c r="C107" s="12">
        <v>7943.89</v>
      </c>
    </row>
    <row r="108" spans="1:3" x14ac:dyDescent="0.25">
      <c r="A108" s="8" t="s">
        <v>19</v>
      </c>
      <c r="B108" s="12">
        <v>9755.8300000000017</v>
      </c>
      <c r="C108" s="12">
        <v>4233.16</v>
      </c>
    </row>
    <row r="109" spans="1:3" x14ac:dyDescent="0.25">
      <c r="A109" s="8" t="s">
        <v>41</v>
      </c>
      <c r="B109" s="12">
        <v>9176.5499999999956</v>
      </c>
      <c r="C109" s="12">
        <v>3710.7300000000005</v>
      </c>
    </row>
    <row r="110" spans="1:3" x14ac:dyDescent="0.25">
      <c r="A110" s="7" t="s">
        <v>2989</v>
      </c>
      <c r="B110" s="12">
        <v>16412.149999999998</v>
      </c>
      <c r="C110" s="12">
        <v>6681.2800000000007</v>
      </c>
    </row>
    <row r="111" spans="1:3" x14ac:dyDescent="0.25">
      <c r="A111" s="8" t="s">
        <v>19</v>
      </c>
      <c r="B111" s="12">
        <v>8461.8799999999992</v>
      </c>
      <c r="C111" s="12">
        <v>3378.4200000000005</v>
      </c>
    </row>
    <row r="112" spans="1:3" x14ac:dyDescent="0.25">
      <c r="A112" s="8" t="s">
        <v>41</v>
      </c>
      <c r="B112" s="12">
        <v>7950.2699999999977</v>
      </c>
      <c r="C112" s="12">
        <v>3302.86</v>
      </c>
    </row>
    <row r="113" spans="1:3" x14ac:dyDescent="0.25">
      <c r="A113" s="21" t="s">
        <v>2987</v>
      </c>
      <c r="B113" s="23">
        <v>35344.529999999992</v>
      </c>
      <c r="C113" s="23">
        <v>14625.170000000002</v>
      </c>
    </row>
    <row r="163" spans="1:3" x14ac:dyDescent="0.25">
      <c r="A163" t="s">
        <v>3018</v>
      </c>
    </row>
    <row r="164" spans="1:3" x14ac:dyDescent="0.25">
      <c r="A164" s="6" t="s">
        <v>2986</v>
      </c>
      <c r="B164" t="s">
        <v>2992</v>
      </c>
      <c r="C164" t="s">
        <v>2993</v>
      </c>
    </row>
    <row r="165" spans="1:3" x14ac:dyDescent="0.25">
      <c r="A165" s="7" t="s">
        <v>2988</v>
      </c>
      <c r="B165">
        <v>18932.379999999997</v>
      </c>
      <c r="C165">
        <v>7943.89</v>
      </c>
    </row>
    <row r="166" spans="1:3" x14ac:dyDescent="0.25">
      <c r="A166" s="8" t="s">
        <v>19</v>
      </c>
      <c r="B166">
        <v>9755.8300000000017</v>
      </c>
      <c r="C166">
        <v>4233.16</v>
      </c>
    </row>
    <row r="167" spans="1:3" x14ac:dyDescent="0.25">
      <c r="A167" s="8" t="s">
        <v>41</v>
      </c>
      <c r="B167">
        <v>9176.5499999999956</v>
      </c>
      <c r="C167">
        <v>3710.7300000000005</v>
      </c>
    </row>
    <row r="168" spans="1:3" x14ac:dyDescent="0.25">
      <c r="A168" s="7" t="s">
        <v>2989</v>
      </c>
      <c r="B168">
        <v>16412.149999999998</v>
      </c>
      <c r="C168">
        <v>6681.2800000000007</v>
      </c>
    </row>
    <row r="169" spans="1:3" x14ac:dyDescent="0.25">
      <c r="A169" s="8" t="s">
        <v>19</v>
      </c>
      <c r="B169">
        <v>8461.8799999999992</v>
      </c>
      <c r="C169">
        <v>3378.4200000000005</v>
      </c>
    </row>
    <row r="170" spans="1:3" x14ac:dyDescent="0.25">
      <c r="A170" s="8" t="s">
        <v>41</v>
      </c>
      <c r="B170">
        <v>7950.2699999999977</v>
      </c>
      <c r="C170">
        <v>3302.86</v>
      </c>
    </row>
    <row r="171" spans="1:3" x14ac:dyDescent="0.25">
      <c r="A171" s="10" t="s">
        <v>2987</v>
      </c>
      <c r="B171" s="9">
        <v>35344.529999999992</v>
      </c>
      <c r="C171" s="9">
        <v>14625.170000000002</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F3218-4F6C-48D8-9E3A-3127ECCC1730}">
  <dimension ref="A2:Q18"/>
  <sheetViews>
    <sheetView showGridLines="0" tabSelected="1" zoomScaleNormal="100" workbookViewId="0">
      <selection activeCell="T23" sqref="T23"/>
    </sheetView>
  </sheetViews>
  <sheetFormatPr defaultRowHeight="15" x14ac:dyDescent="0.25"/>
  <cols>
    <col min="1" max="1" width="24.85546875" style="11" customWidth="1"/>
    <col min="2" max="2" width="2.140625" customWidth="1"/>
    <col min="3" max="3" width="17.42578125" customWidth="1"/>
    <col min="4" max="5" width="12.7109375" customWidth="1"/>
    <col min="6" max="6" width="3.7109375" customWidth="1"/>
    <col min="7" max="7" width="16.7109375" customWidth="1"/>
    <col min="8" max="9" width="12.7109375" customWidth="1"/>
    <col min="10" max="10" width="3.28515625" customWidth="1"/>
  </cols>
  <sheetData>
    <row r="2" spans="3:17" x14ac:dyDescent="0.25">
      <c r="K2" s="17" t="s">
        <v>3028</v>
      </c>
      <c r="L2" s="17"/>
      <c r="M2" s="17"/>
      <c r="N2" s="17"/>
      <c r="O2" s="17"/>
      <c r="P2" s="17"/>
      <c r="Q2" s="17"/>
    </row>
    <row r="10" spans="3:17" x14ac:dyDescent="0.25">
      <c r="C10" s="17" t="s">
        <v>3025</v>
      </c>
      <c r="D10" s="18"/>
      <c r="E10" s="18"/>
      <c r="G10" s="17" t="s">
        <v>3027</v>
      </c>
      <c r="H10" s="18"/>
      <c r="I10" s="18"/>
    </row>
    <row r="11" spans="3:17" x14ac:dyDescent="0.25">
      <c r="C11" s="13" t="s">
        <v>3020</v>
      </c>
      <c r="D11" s="13" t="s">
        <v>3021</v>
      </c>
      <c r="E11" s="13" t="s">
        <v>3022</v>
      </c>
      <c r="G11" s="13" t="s">
        <v>3026</v>
      </c>
      <c r="H11" s="13" t="s">
        <v>3021</v>
      </c>
      <c r="I11" s="13" t="s">
        <v>3022</v>
      </c>
    </row>
    <row r="12" spans="3:17" x14ac:dyDescent="0.25">
      <c r="C12" s="12" t="str">
        <f>'bbw_Pivot Table'!A97</f>
        <v>Older Adult (55-75)</v>
      </c>
      <c r="D12" s="12">
        <f>'bbw_Pivot Table'!B97</f>
        <v>11751.279999999997</v>
      </c>
      <c r="E12" s="12">
        <f>'bbw_Pivot Table'!C97</f>
        <v>4819.5299999999988</v>
      </c>
      <c r="G12" s="15" t="str">
        <f>'bbw_Pivot Table'!A107</f>
        <v>2023</v>
      </c>
      <c r="H12" s="15">
        <f>'bbw_Pivot Table'!B107</f>
        <v>18932.379999999997</v>
      </c>
      <c r="I12" s="15">
        <f>'bbw_Pivot Table'!C107</f>
        <v>7943.89</v>
      </c>
    </row>
    <row r="13" spans="3:17" x14ac:dyDescent="0.25">
      <c r="C13" s="12" t="str">
        <f>'bbw_Pivot Table'!A98</f>
        <v>Mid-Age (35-54)</v>
      </c>
      <c r="D13" s="12">
        <f>'bbw_Pivot Table'!B98</f>
        <v>9138.409999999998</v>
      </c>
      <c r="E13" s="12">
        <f>'bbw_Pivot Table'!C98</f>
        <v>3953.6900000000005</v>
      </c>
      <c r="G13" t="str">
        <f>'bbw_Pivot Table'!A108</f>
        <v>Online</v>
      </c>
      <c r="H13">
        <f>'bbw_Pivot Table'!B108</f>
        <v>9755.8300000000017</v>
      </c>
      <c r="I13">
        <f>'bbw_Pivot Table'!C108</f>
        <v>4233.16</v>
      </c>
    </row>
    <row r="14" spans="3:17" x14ac:dyDescent="0.25">
      <c r="C14" s="12" t="str">
        <f>'bbw_Pivot Table'!A99</f>
        <v>Adult (25-34)</v>
      </c>
      <c r="D14" s="12">
        <f>'bbw_Pivot Table'!B99</f>
        <v>6060.5899999999992</v>
      </c>
      <c r="E14" s="12">
        <f>'bbw_Pivot Table'!C99</f>
        <v>2237.5499999999988</v>
      </c>
      <c r="G14" t="str">
        <f>'bbw_Pivot Table'!A109</f>
        <v>Store</v>
      </c>
      <c r="H14">
        <f>'bbw_Pivot Table'!B109</f>
        <v>9176.5499999999956</v>
      </c>
      <c r="I14">
        <f>'bbw_Pivot Table'!C109</f>
        <v>3710.7300000000005</v>
      </c>
    </row>
    <row r="15" spans="3:17" x14ac:dyDescent="0.25">
      <c r="C15" s="12" t="str">
        <f>'bbw_Pivot Table'!A100</f>
        <v>Young Adult (18-24)</v>
      </c>
      <c r="D15" s="12">
        <f>'bbw_Pivot Table'!B100</f>
        <v>4038.4800000000005</v>
      </c>
      <c r="E15" s="12">
        <f>'bbw_Pivot Table'!C100</f>
        <v>1691.8199999999997</v>
      </c>
      <c r="G15" s="15" t="str">
        <f>'bbw_Pivot Table'!A110</f>
        <v>2024</v>
      </c>
      <c r="H15" s="15">
        <f>'bbw_Pivot Table'!B110</f>
        <v>16412.149999999998</v>
      </c>
      <c r="I15" s="15">
        <f>'bbw_Pivot Table'!C110</f>
        <v>6681.2800000000007</v>
      </c>
    </row>
    <row r="16" spans="3:17" x14ac:dyDescent="0.25">
      <c r="C16" s="12" t="str">
        <f>'bbw_Pivot Table'!A101</f>
        <v>Teen (13-17)</v>
      </c>
      <c r="D16" s="12">
        <f>'bbw_Pivot Table'!B101</f>
        <v>3295.6299999999992</v>
      </c>
      <c r="E16" s="12">
        <f>'bbw_Pivot Table'!C101</f>
        <v>1373.9199999999998</v>
      </c>
      <c r="G16" t="str">
        <f>'bbw_Pivot Table'!A111</f>
        <v>Online</v>
      </c>
      <c r="H16">
        <f>'bbw_Pivot Table'!B111</f>
        <v>8461.8799999999992</v>
      </c>
      <c r="I16">
        <f>'bbw_Pivot Table'!C111</f>
        <v>3378.4200000000005</v>
      </c>
    </row>
    <row r="17" spans="3:9" x14ac:dyDescent="0.25">
      <c r="C17" s="12" t="str">
        <f>'bbw_Pivot Table'!A102</f>
        <v>Unknown</v>
      </c>
      <c r="D17" s="12">
        <f>'bbw_Pivot Table'!B102</f>
        <v>1060.1400000000001</v>
      </c>
      <c r="E17" s="12">
        <f>'bbw_Pivot Table'!C102</f>
        <v>548.66</v>
      </c>
      <c r="G17" t="str">
        <f>'bbw_Pivot Table'!A112</f>
        <v>Store</v>
      </c>
      <c r="H17">
        <f>'bbw_Pivot Table'!B112</f>
        <v>7950.2699999999977</v>
      </c>
      <c r="I17">
        <f>'bbw_Pivot Table'!C112</f>
        <v>3302.86</v>
      </c>
    </row>
    <row r="18" spans="3:9" x14ac:dyDescent="0.25">
      <c r="C18" s="14" t="str">
        <f>'bbw_Pivot Table'!A103</f>
        <v>Grand Total</v>
      </c>
      <c r="D18" s="14">
        <f>'bbw_Pivot Table'!B103</f>
        <v>35344.529999999992</v>
      </c>
      <c r="E18" s="14">
        <f>'bbw_Pivot Table'!C103</f>
        <v>14625.169999999998</v>
      </c>
      <c r="G18" s="16" t="str">
        <f>'bbw_Pivot Table'!A113</f>
        <v>Grand Total</v>
      </c>
      <c r="H18" s="16">
        <f>'bbw_Pivot Table'!B113</f>
        <v>35344.529999999992</v>
      </c>
      <c r="I18" s="16">
        <f>'bbw_Pivot Table'!C113</f>
        <v>14625.170000000002</v>
      </c>
    </row>
  </sheetData>
  <mergeCells count="3">
    <mergeCell ref="C10:E10"/>
    <mergeCell ref="G10:I10"/>
    <mergeCell ref="K2: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D95ED5-DB2E-4EDD-8113-BB0CAB18FF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bbw_canada_sales_raw</vt:lpstr>
      <vt:lpstr>bbw_canada_sales_SOLUTION</vt:lpstr>
      <vt:lpstr>bbw_Pivot Table</vt:lpstr>
      <vt:lpstr>bbw_Dashboard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Tropa</dc:creator>
  <cp:lastModifiedBy>Tasnim Sorwar</cp:lastModifiedBy>
  <dcterms:created xsi:type="dcterms:W3CDTF">2025-12-21T23:12:30Z</dcterms:created>
  <dcterms:modified xsi:type="dcterms:W3CDTF">2025-12-27T01:51:20Z</dcterms:modified>
</cp:coreProperties>
</file>